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_Xuyu\Desktop\MHELCABS FILE\MY FILES\Job related Documents\PORTFOLIO\Projects\"/>
    </mc:Choice>
  </mc:AlternateContent>
  <xr:revisionPtr revIDLastSave="0" documentId="13_ncr:1_{2E2B537C-373C-4DD0-94B8-BCB9B8B4D7CD}" xr6:coauthVersionLast="47" xr6:coauthVersionMax="47" xr10:uidLastSave="{00000000-0000-0000-0000-000000000000}"/>
  <bookViews>
    <workbookView xWindow="-120" yWindow="-120" windowWidth="21840" windowHeight="13140" tabRatio="703" firstSheet="1" activeTab="1" xr2:uid="{E80B5FA6-4D14-4335-A45B-8E3CBBFF73C8}"/>
  </bookViews>
  <sheets>
    <sheet name="PROGRESS BOARD" sheetId="9" state="hidden" r:id="rId1"/>
    <sheet name="MAIN_DASHBOARD" sheetId="18" r:id="rId2"/>
    <sheet name="AnalysisTable" sheetId="28" state="hidden" r:id="rId3"/>
    <sheet name="SalesMenu" sheetId="8" r:id="rId4"/>
    <sheet name="PurchaseMenu" sheetId="12" r:id="rId5"/>
    <sheet name="CashSalesMenu" sheetId="19" r:id="rId6"/>
    <sheet name="ExpensesMenu" sheetId="25" r:id="rId7"/>
    <sheet name="PayrollTemplate" sheetId="22" r:id="rId8"/>
    <sheet name="ExpensesTable" sheetId="26" state="hidden" r:id="rId9"/>
    <sheet name="CashSalesTable" sheetId="27" state="hidden" r:id="rId10"/>
    <sheet name="EmpProfile" sheetId="21" r:id="rId11"/>
    <sheet name="Attendance" sheetId="24" r:id="rId12"/>
    <sheet name="PayrollTable" sheetId="23" state="hidden" r:id="rId13"/>
    <sheet name="SOASheet" sheetId="13" r:id="rId14"/>
    <sheet name="IRSheet" sheetId="17" r:id="rId15"/>
    <sheet name="ItemTable" sheetId="6" state="hidden" r:id="rId16"/>
    <sheet name="SalesTable" sheetId="3" state="hidden" r:id="rId17"/>
    <sheet name="PurchaseHistTable" sheetId="10" state="hidden" r:id="rId18"/>
    <sheet name="COST_SRP_Table" sheetId="4" state="hidden" r:id="rId19"/>
    <sheet name="RunningInv" sheetId="5" state="hidden" r:id="rId20"/>
    <sheet name="CodeTable" sheetId="11" state="hidden" r:id="rId21"/>
  </sheets>
  <functionGroups builtInGroupCount="19"/>
  <definedNames>
    <definedName name="_xlnm._FilterDatabase" localSheetId="15" hidden="1">ItemTable!$U$4:$U$1561</definedName>
    <definedName name="NJCALENDAR">CodeTable!$AI$5:$AK$16</definedName>
    <definedName name="SUPPLIER_NAME" localSheetId="14">SupplierTable[SUPPLIER NAME]</definedName>
    <definedName name="SUPPLIER_NAME">SupplierTable[SUPPLIER 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8" l="1"/>
  <c r="F4" i="18" s="1"/>
  <c r="J5" i="25"/>
  <c r="D3" i="27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S5" i="19"/>
  <c r="R5" i="19"/>
  <c r="Q5" i="19"/>
  <c r="P5" i="19"/>
  <c r="O5" i="19"/>
  <c r="N3" i="19"/>
  <c r="AM5" i="19" s="1"/>
  <c r="G29" i="19"/>
  <c r="G31" i="19" s="1"/>
  <c r="A30" i="19" s="1"/>
  <c r="AL5" i="19" s="1"/>
  <c r="A28" i="19"/>
  <c r="H29" i="19"/>
  <c r="AP5" i="19" l="1"/>
  <c r="H2" i="18"/>
  <c r="L5" i="18" s="1"/>
  <c r="G3" i="18"/>
  <c r="AK5" i="19"/>
  <c r="AJ5" i="19"/>
  <c r="AN5" i="19"/>
  <c r="AO5" i="19"/>
  <c r="I31" i="19"/>
  <c r="L7" i="18" l="1"/>
  <c r="L6" i="18"/>
  <c r="E10" i="28" s="1"/>
  <c r="M6" i="18"/>
  <c r="E11" i="28" s="1"/>
  <c r="M5" i="18"/>
  <c r="D11" i="28" s="1"/>
  <c r="J7" i="18"/>
  <c r="F8" i="28" s="1"/>
  <c r="U7" i="18"/>
  <c r="F19" i="28" s="1"/>
  <c r="M7" i="18"/>
  <c r="F11" i="28" s="1"/>
  <c r="T7" i="18"/>
  <c r="F18" i="28" s="1"/>
  <c r="F10" i="28"/>
  <c r="S7" i="18"/>
  <c r="F17" i="28" s="1"/>
  <c r="K7" i="18"/>
  <c r="F9" i="28" s="1"/>
  <c r="R7" i="18"/>
  <c r="F16" i="28" s="1"/>
  <c r="Q7" i="18"/>
  <c r="F15" i="28" s="1"/>
  <c r="P7" i="18"/>
  <c r="F14" i="28" s="1"/>
  <c r="N7" i="18"/>
  <c r="F12" i="28" s="1"/>
  <c r="O7" i="18"/>
  <c r="F13" i="28" s="1"/>
  <c r="I7" i="18"/>
  <c r="G7" i="18"/>
  <c r="H7" i="18"/>
  <c r="J6" i="18"/>
  <c r="E8" i="28" s="1"/>
  <c r="U6" i="18"/>
  <c r="E19" i="28" s="1"/>
  <c r="T6" i="18"/>
  <c r="E18" i="28" s="1"/>
  <c r="S6" i="18"/>
  <c r="E17" i="28" s="1"/>
  <c r="K6" i="18"/>
  <c r="E9" i="28" s="1"/>
  <c r="R6" i="18"/>
  <c r="E16" i="28" s="1"/>
  <c r="Q6" i="18"/>
  <c r="E15" i="28" s="1"/>
  <c r="P6" i="18"/>
  <c r="E14" i="28" s="1"/>
  <c r="O6" i="18"/>
  <c r="E13" i="28" s="1"/>
  <c r="N6" i="18"/>
  <c r="E12" i="28" s="1"/>
  <c r="I6" i="18"/>
  <c r="H6" i="18"/>
  <c r="J5" i="18"/>
  <c r="U5" i="18"/>
  <c r="D19" i="28" s="1"/>
  <c r="T5" i="18"/>
  <c r="D18" i="28" s="1"/>
  <c r="S5" i="18"/>
  <c r="D17" i="28" s="1"/>
  <c r="K5" i="18"/>
  <c r="D9" i="28" s="1"/>
  <c r="Q5" i="18"/>
  <c r="D15" i="28" s="1"/>
  <c r="P5" i="18"/>
  <c r="D14" i="28" s="1"/>
  <c r="R5" i="18"/>
  <c r="D16" i="28" s="1"/>
  <c r="O5" i="18"/>
  <c r="D13" i="28" s="1"/>
  <c r="N5" i="18"/>
  <c r="D12" i="28" s="1"/>
  <c r="D10" i="28"/>
  <c r="I5" i="18"/>
  <c r="G6" i="18"/>
  <c r="H5" i="18"/>
  <c r="G5" i="18"/>
  <c r="N5" i="19"/>
  <c r="D8" i="28" l="1"/>
  <c r="G9" i="28"/>
  <c r="N8" i="18"/>
  <c r="M8" i="18"/>
  <c r="I8" i="18"/>
  <c r="L8" i="18"/>
  <c r="U8" i="18"/>
  <c r="O8" i="18"/>
  <c r="J8" i="18"/>
  <c r="Q8" i="18"/>
  <c r="P8" i="18"/>
  <c r="T8" i="18"/>
  <c r="H8" i="18"/>
  <c r="R8" i="18"/>
  <c r="K8" i="18"/>
  <c r="S8" i="18"/>
  <c r="G8" i="18"/>
  <c r="E30" i="19"/>
  <c r="AI5" i="19" s="1"/>
  <c r="A27" i="19"/>
  <c r="A25" i="19"/>
  <c r="A23" i="19"/>
  <c r="A21" i="19"/>
  <c r="A19" i="19"/>
  <c r="A17" i="19"/>
  <c r="A15" i="19"/>
  <c r="A11" i="19"/>
  <c r="G11" i="28" l="1"/>
  <c r="F20" i="28"/>
  <c r="E20" i="28"/>
  <c r="G15" i="28"/>
  <c r="G13" i="28"/>
  <c r="G14" i="28"/>
  <c r="G19" i="28"/>
  <c r="G10" i="28"/>
  <c r="G17" i="28"/>
  <c r="G18" i="28"/>
  <c r="G12" i="28"/>
  <c r="G16" i="28"/>
  <c r="D20" i="28"/>
  <c r="G8" i="28"/>
  <c r="B3" i="19"/>
  <c r="G20" i="28" l="1"/>
  <c r="C3" i="19"/>
  <c r="B3" i="25"/>
  <c r="C3" i="25" s="1"/>
  <c r="D3" i="26"/>
  <c r="AG5" i="25"/>
  <c r="AF5" i="25"/>
  <c r="AE5" i="25"/>
  <c r="AD5" i="25"/>
  <c r="AC5" i="25"/>
  <c r="AB5" i="25"/>
  <c r="AA5" i="25"/>
  <c r="Z5" i="25"/>
  <c r="Y5" i="25"/>
  <c r="X5" i="25"/>
  <c r="W5" i="25"/>
  <c r="V5" i="25"/>
  <c r="U5" i="25"/>
  <c r="T5" i="25"/>
  <c r="S5" i="25"/>
  <c r="R5" i="25"/>
  <c r="Q5" i="25"/>
  <c r="P5" i="25"/>
  <c r="O5" i="25"/>
  <c r="N5" i="25"/>
  <c r="M3" i="25"/>
  <c r="BB3" i="12"/>
  <c r="AP3" i="8"/>
  <c r="G23" i="25"/>
  <c r="AM5" i="25" l="1"/>
  <c r="AL5" i="25"/>
  <c r="AH5" i="25"/>
  <c r="AK5" i="25"/>
  <c r="BK5" i="12"/>
  <c r="BN5" i="12"/>
  <c r="AY5" i="8"/>
  <c r="BA5" i="8"/>
  <c r="AZ5" i="8"/>
  <c r="AX5" i="8"/>
  <c r="G19" i="25"/>
  <c r="AI5" i="25"/>
  <c r="AJ5" i="25"/>
  <c r="BJ5" i="12"/>
  <c r="BL5" i="12"/>
  <c r="G17" i="25"/>
  <c r="G21" i="25"/>
  <c r="G7" i="25"/>
  <c r="G9" i="25"/>
  <c r="G13" i="25"/>
  <c r="G11" i="25"/>
  <c r="G15" i="25"/>
  <c r="F7" i="24"/>
  <c r="AD26" i="9"/>
  <c r="G18" i="24"/>
  <c r="E18" i="24"/>
  <c r="D18" i="24"/>
  <c r="G17" i="24"/>
  <c r="E17" i="24"/>
  <c r="D17" i="24"/>
  <c r="G16" i="24"/>
  <c r="E16" i="24"/>
  <c r="D16" i="24"/>
  <c r="G15" i="24"/>
  <c r="E15" i="24"/>
  <c r="D15" i="24"/>
  <c r="G14" i="24"/>
  <c r="E14" i="24"/>
  <c r="D14" i="24"/>
  <c r="G13" i="24"/>
  <c r="E13" i="24"/>
  <c r="D13" i="24"/>
  <c r="E15" i="22"/>
  <c r="H7" i="24"/>
  <c r="J7" i="24" s="1"/>
  <c r="L7" i="24" s="1"/>
  <c r="N7" i="24" s="1"/>
  <c r="P7" i="24" s="1"/>
  <c r="R7" i="24" s="1"/>
  <c r="T7" i="24" s="1"/>
  <c r="V7" i="24" s="1"/>
  <c r="X7" i="24" s="1"/>
  <c r="Z7" i="24" s="1"/>
  <c r="AB7" i="24" s="1"/>
  <c r="AD7" i="24" s="1"/>
  <c r="AF7" i="24" s="1"/>
  <c r="AH7" i="24" s="1"/>
  <c r="AJ7" i="24" s="1"/>
  <c r="AL7" i="24" s="1"/>
  <c r="AM15" i="22"/>
  <c r="AL15" i="22"/>
  <c r="AK15" i="22"/>
  <c r="AB3" i="22"/>
  <c r="G12" i="24"/>
  <c r="G11" i="24"/>
  <c r="G10" i="24"/>
  <c r="G9" i="24"/>
  <c r="E12" i="24"/>
  <c r="E11" i="24"/>
  <c r="E10" i="24"/>
  <c r="E9" i="24"/>
  <c r="AD25" i="9"/>
  <c r="D26" i="23"/>
  <c r="D6" i="23"/>
  <c r="AS15" i="22"/>
  <c r="AR15" i="22"/>
  <c r="AQ15" i="22"/>
  <c r="AP15" i="22"/>
  <c r="AO15" i="22"/>
  <c r="AN15" i="22"/>
  <c r="AJ15" i="22"/>
  <c r="AI15" i="22"/>
  <c r="AH15" i="22"/>
  <c r="AG15" i="22"/>
  <c r="AF15" i="22"/>
  <c r="AE15" i="22"/>
  <c r="AD15" i="22"/>
  <c r="AC15" i="22"/>
  <c r="AB15" i="22"/>
  <c r="AA15" i="22"/>
  <c r="Z15" i="22"/>
  <c r="V15" i="22"/>
  <c r="V14" i="22"/>
  <c r="V13" i="22"/>
  <c r="V12" i="22"/>
  <c r="V11" i="22"/>
  <c r="V10" i="22"/>
  <c r="V9" i="22"/>
  <c r="V8" i="22"/>
  <c r="D14" i="22"/>
  <c r="AK14" i="22" s="1"/>
  <c r="D13" i="22"/>
  <c r="AM13" i="22" s="1"/>
  <c r="D12" i="22"/>
  <c r="D11" i="22"/>
  <c r="AL11" i="22" s="1"/>
  <c r="D10" i="22"/>
  <c r="AK10" i="22" s="1"/>
  <c r="D9" i="22"/>
  <c r="AM9" i="22" s="1"/>
  <c r="D8" i="22"/>
  <c r="J8" i="22" s="1"/>
  <c r="D8" i="21"/>
  <c r="D7" i="21"/>
  <c r="D6" i="21"/>
  <c r="D5" i="21"/>
  <c r="F8" i="21"/>
  <c r="F7" i="21"/>
  <c r="F6" i="21"/>
  <c r="F5" i="21"/>
  <c r="B8" i="21"/>
  <c r="D12" i="24" s="1"/>
  <c r="B7" i="21"/>
  <c r="D11" i="24" s="1"/>
  <c r="B6" i="21"/>
  <c r="D10" i="24" s="1"/>
  <c r="B5" i="21"/>
  <c r="D9" i="24" s="1"/>
  <c r="AD24" i="9"/>
  <c r="AD23" i="9"/>
  <c r="I3" i="11"/>
  <c r="BB5" i="12" l="1"/>
  <c r="AP5" i="8"/>
  <c r="M5" i="25"/>
  <c r="F14" i="24"/>
  <c r="F10" i="24"/>
  <c r="F16" i="24"/>
  <c r="AK11" i="22"/>
  <c r="AM11" i="22"/>
  <c r="E9" i="22"/>
  <c r="AL13" i="22"/>
  <c r="E10" i="22"/>
  <c r="AB10" i="22" s="1"/>
  <c r="F11" i="24"/>
  <c r="AL14" i="22"/>
  <c r="E11" i="22"/>
  <c r="AB11" i="22" s="1"/>
  <c r="A6" i="24"/>
  <c r="A7" i="24" s="1"/>
  <c r="J12" i="22"/>
  <c r="AK8" i="22"/>
  <c r="AM14" i="22"/>
  <c r="E14" i="22"/>
  <c r="AK9" i="22"/>
  <c r="AL9" i="22"/>
  <c r="AM10" i="22"/>
  <c r="AL10" i="22"/>
  <c r="AK13" i="22"/>
  <c r="E13" i="22"/>
  <c r="G13" i="22"/>
  <c r="J13" i="22"/>
  <c r="F17" i="24"/>
  <c r="G14" i="22"/>
  <c r="J14" i="22"/>
  <c r="AL8" i="22"/>
  <c r="G15" i="22"/>
  <c r="I15" i="22" s="1"/>
  <c r="J15" i="22"/>
  <c r="F15" i="24"/>
  <c r="AM8" i="22"/>
  <c r="E8" i="22"/>
  <c r="AB8" i="22" s="1"/>
  <c r="G8" i="22"/>
  <c r="AD8" i="22" s="1"/>
  <c r="G9" i="22"/>
  <c r="AD9" i="22" s="1"/>
  <c r="J9" i="22"/>
  <c r="F13" i="24"/>
  <c r="F9" i="24"/>
  <c r="F18" i="24"/>
  <c r="AK12" i="22"/>
  <c r="G10" i="22"/>
  <c r="J10" i="22"/>
  <c r="AL12" i="22"/>
  <c r="G11" i="22"/>
  <c r="J11" i="22"/>
  <c r="F12" i="24"/>
  <c r="AM12" i="22"/>
  <c r="E12" i="22"/>
  <c r="G12" i="22"/>
  <c r="D4" i="22"/>
  <c r="E4" i="22" s="1"/>
  <c r="AP14" i="22"/>
  <c r="AE12" i="22"/>
  <c r="AD14" i="22"/>
  <c r="AG12" i="22"/>
  <c r="AI14" i="22"/>
  <c r="AQ14" i="22"/>
  <c r="L15" i="22"/>
  <c r="AH12" i="22"/>
  <c r="Z12" i="22"/>
  <c r="AC13" i="22"/>
  <c r="Z14" i="22"/>
  <c r="AE13" i="22"/>
  <c r="AN9" i="22"/>
  <c r="AF13" i="22"/>
  <c r="AO9" i="22"/>
  <c r="AH8" i="22"/>
  <c r="AA14" i="22"/>
  <c r="AN13" i="22"/>
  <c r="AE9" i="22"/>
  <c r="AC14" i="22"/>
  <c r="AO13" i="22"/>
  <c r="AQ10" i="22"/>
  <c r="Z8" i="22"/>
  <c r="AE10" i="22"/>
  <c r="AA12" i="22"/>
  <c r="AI12" i="22"/>
  <c r="AG13" i="22"/>
  <c r="AE14" i="22"/>
  <c r="AN8" i="22"/>
  <c r="AP9" i="22"/>
  <c r="AR10" i="22"/>
  <c r="AN12" i="22"/>
  <c r="AP13" i="22"/>
  <c r="AR14" i="22"/>
  <c r="Z9" i="22"/>
  <c r="AA8" i="22"/>
  <c r="AH9" i="22"/>
  <c r="AB12" i="22"/>
  <c r="AJ12" i="22"/>
  <c r="AH13" i="22"/>
  <c r="AF14" i="22"/>
  <c r="AO8" i="22"/>
  <c r="AQ9" i="22"/>
  <c r="AS10" i="22"/>
  <c r="AO12" i="22"/>
  <c r="AQ13" i="22"/>
  <c r="AS14" i="22"/>
  <c r="Z10" i="22"/>
  <c r="AA9" i="22"/>
  <c r="AE11" i="22"/>
  <c r="AC12" i="22"/>
  <c r="AA13" i="22"/>
  <c r="AI13" i="22"/>
  <c r="AG14" i="22"/>
  <c r="AP8" i="22"/>
  <c r="AR9" i="22"/>
  <c r="AN11" i="22"/>
  <c r="AP12" i="22"/>
  <c r="AR13" i="22"/>
  <c r="Z11" i="22"/>
  <c r="AE8" i="22"/>
  <c r="AB9" i="22"/>
  <c r="AH10" i="22"/>
  <c r="AD12" i="22"/>
  <c r="AB13" i="22"/>
  <c r="AJ13" i="22"/>
  <c r="AH14" i="22"/>
  <c r="AQ8" i="22"/>
  <c r="AS9" i="22"/>
  <c r="AO11" i="22"/>
  <c r="AQ12" i="22"/>
  <c r="AS13" i="22"/>
  <c r="AS11" i="22"/>
  <c r="AA10" i="22"/>
  <c r="AR8" i="22"/>
  <c r="AN10" i="22"/>
  <c r="AP11" i="22"/>
  <c r="AR12" i="22"/>
  <c r="AN14" i="22"/>
  <c r="Z13" i="22"/>
  <c r="AH11" i="22"/>
  <c r="AF12" i="22"/>
  <c r="AD13" i="22"/>
  <c r="AB14" i="22"/>
  <c r="AJ14" i="22"/>
  <c r="AS8" i="22"/>
  <c r="AO10" i="22"/>
  <c r="AQ11" i="22"/>
  <c r="AS12" i="22"/>
  <c r="AO14" i="22"/>
  <c r="AA11" i="22"/>
  <c r="AP10" i="22"/>
  <c r="AR11" i="22"/>
  <c r="AD11" i="22"/>
  <c r="C3" i="11"/>
  <c r="AD27" i="9"/>
  <c r="AD22" i="9"/>
  <c r="AD21" i="9"/>
  <c r="AD20" i="9"/>
  <c r="O5" i="4" a="1"/>
  <c r="O5" i="4" s="1"/>
  <c r="O6" i="4" a="1"/>
  <c r="O6" i="4" s="1"/>
  <c r="O7" i="4" a="1"/>
  <c r="O7" i="4" s="1"/>
  <c r="O8" i="4" a="1"/>
  <c r="O8" i="4" s="1"/>
  <c r="O9" i="4" a="1"/>
  <c r="O9" i="4" s="1"/>
  <c r="O10" i="4" a="1"/>
  <c r="O10" i="4" s="1"/>
  <c r="O11" i="4" a="1"/>
  <c r="O11" i="4" s="1"/>
  <c r="AD15" i="10"/>
  <c r="AE15" i="10"/>
  <c r="AD14" i="10"/>
  <c r="AE14" i="10"/>
  <c r="AD13" i="10"/>
  <c r="AE13" i="10"/>
  <c r="AD12" i="10"/>
  <c r="AE12" i="10"/>
  <c r="I8" i="22" l="1"/>
  <c r="AF8" i="22" s="1"/>
  <c r="M15" i="22"/>
  <c r="F15" i="22" s="1"/>
  <c r="L8" i="22"/>
  <c r="I14" i="22"/>
  <c r="L14" i="22"/>
  <c r="I13" i="22"/>
  <c r="L13" i="22"/>
  <c r="I12" i="22"/>
  <c r="L12" i="22"/>
  <c r="I10" i="22"/>
  <c r="AD10" i="22"/>
  <c r="I11" i="22"/>
  <c r="I9" i="22"/>
  <c r="AE5" i="10"/>
  <c r="AE6" i="10"/>
  <c r="AE7" i="10"/>
  <c r="AE8" i="10"/>
  <c r="AE9" i="10"/>
  <c r="AE10" i="10"/>
  <c r="AE11" i="10"/>
  <c r="AI8" i="22" l="1"/>
  <c r="M8" i="22"/>
  <c r="F8" i="22" s="1"/>
  <c r="AG8" i="22"/>
  <c r="M13" i="22"/>
  <c r="F13" i="22" s="1"/>
  <c r="AF11" i="22"/>
  <c r="L10" i="22"/>
  <c r="AI10" i="22" s="1"/>
  <c r="AG10" i="22"/>
  <c r="L9" i="22"/>
  <c r="AI9" i="22" s="1"/>
  <c r="AG9" i="22"/>
  <c r="M14" i="22"/>
  <c r="F14" i="22" s="1"/>
  <c r="AF10" i="22"/>
  <c r="AF9" i="22"/>
  <c r="M12" i="22"/>
  <c r="F12" i="22" s="1"/>
  <c r="L11" i="22"/>
  <c r="AI11" i="22" s="1"/>
  <c r="AG11" i="22"/>
  <c r="AD11" i="10"/>
  <c r="AD10" i="10"/>
  <c r="AD9" i="10"/>
  <c r="AD8" i="10"/>
  <c r="AD7" i="10"/>
  <c r="AD6" i="10"/>
  <c r="AD5" i="10"/>
  <c r="C5" i="12"/>
  <c r="E3" i="12"/>
  <c r="BP5" i="12"/>
  <c r="E3" i="10"/>
  <c r="BA5" i="12"/>
  <c r="BD5" i="12"/>
  <c r="BC5" i="12"/>
  <c r="AW5" i="12"/>
  <c r="AU5" i="12"/>
  <c r="AJ12" i="12"/>
  <c r="AH15" i="12" s="1"/>
  <c r="AX5" i="12" s="1"/>
  <c r="AT5" i="12"/>
  <c r="AQ5" i="12"/>
  <c r="AS5" i="12" s="1"/>
  <c r="AH9" i="12" s="1"/>
  <c r="E3" i="8"/>
  <c r="C3" i="3"/>
  <c r="BB5" i="8"/>
  <c r="AD18" i="9"/>
  <c r="AN12" i="12"/>
  <c r="BP36" i="12"/>
  <c r="BP35" i="12"/>
  <c r="BP34" i="12"/>
  <c r="BP33" i="12"/>
  <c r="BP32" i="12"/>
  <c r="BP31" i="12"/>
  <c r="BP30" i="12"/>
  <c r="BP29" i="12"/>
  <c r="BP28" i="12"/>
  <c r="BP27" i="12"/>
  <c r="BP26" i="12"/>
  <c r="BP25" i="12"/>
  <c r="BP24" i="12"/>
  <c r="BP23" i="12"/>
  <c r="BP22" i="12"/>
  <c r="BP21" i="12"/>
  <c r="BP20" i="12"/>
  <c r="BP19" i="12"/>
  <c r="BP18" i="12"/>
  <c r="BP17" i="12"/>
  <c r="BP16" i="12"/>
  <c r="BP15" i="12"/>
  <c r="BP14" i="12"/>
  <c r="BP13" i="12"/>
  <c r="BP12" i="12"/>
  <c r="BP11" i="12"/>
  <c r="BP10" i="12"/>
  <c r="BP9" i="12"/>
  <c r="BP8" i="12"/>
  <c r="BP7" i="12"/>
  <c r="BP6" i="12"/>
  <c r="AQ2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I3" i="12"/>
  <c r="I2" i="12"/>
  <c r="AD19" i="9"/>
  <c r="AD17" i="9"/>
  <c r="AD16" i="9"/>
  <c r="AD15" i="9"/>
  <c r="AD14" i="9"/>
  <c r="AD13" i="9"/>
  <c r="AD12" i="9"/>
  <c r="AD11" i="9"/>
  <c r="AD10" i="9"/>
  <c r="AD9" i="9"/>
  <c r="AD8" i="9"/>
  <c r="AD7" i="9"/>
  <c r="AD6" i="9"/>
  <c r="BB36" i="8"/>
  <c r="BB35" i="8"/>
  <c r="BB34" i="8"/>
  <c r="BB33" i="8"/>
  <c r="BB32" i="8"/>
  <c r="BB31" i="8"/>
  <c r="BB30" i="8"/>
  <c r="BB29" i="8"/>
  <c r="BB28" i="8"/>
  <c r="BB27" i="8"/>
  <c r="BB26" i="8"/>
  <c r="BB25" i="8"/>
  <c r="BB24" i="8"/>
  <c r="BB23" i="8"/>
  <c r="BB22" i="8"/>
  <c r="BB21" i="8"/>
  <c r="BB20" i="8"/>
  <c r="BB19" i="8"/>
  <c r="BB18" i="8"/>
  <c r="BB17" i="8"/>
  <c r="BB16" i="8"/>
  <c r="BB15" i="8"/>
  <c r="BB14" i="8"/>
  <c r="BB13" i="8"/>
  <c r="BB12" i="8"/>
  <c r="BB11" i="8"/>
  <c r="BB10" i="8"/>
  <c r="BB9" i="8"/>
  <c r="BB8" i="8"/>
  <c r="BB7" i="8"/>
  <c r="BB6" i="8"/>
  <c r="AU5" i="8"/>
  <c r="AC9" i="8" s="1"/>
  <c r="AA12" i="8" s="1"/>
  <c r="AF12" i="8" s="1"/>
  <c r="AT5" i="8"/>
  <c r="AL5" i="8"/>
  <c r="AK5" i="8"/>
  <c r="AJ5" i="8"/>
  <c r="AV5" i="8" s="1"/>
  <c r="AG9" i="8" s="1"/>
  <c r="R14" i="6" a="1"/>
  <c r="R14" i="6" s="1"/>
  <c r="R13" i="6" a="1"/>
  <c r="R13" i="6" s="1"/>
  <c r="R12" i="6" a="1"/>
  <c r="R12" i="6" s="1"/>
  <c r="R11" i="6" a="1"/>
  <c r="R11" i="6" s="1"/>
  <c r="R10" i="6" a="1"/>
  <c r="R10" i="6" s="1"/>
  <c r="R9" i="6" a="1"/>
  <c r="R9" i="6" s="1"/>
  <c r="R8" i="6" a="1"/>
  <c r="R8" i="6" s="1"/>
  <c r="R7" i="6" a="1"/>
  <c r="R7" i="6" s="1"/>
  <c r="R6" i="6" a="1"/>
  <c r="R6" i="6" s="1"/>
  <c r="R5" i="6" a="1"/>
  <c r="R5" i="6" s="1"/>
  <c r="U14" i="11"/>
  <c r="U13" i="11"/>
  <c r="U12" i="11"/>
  <c r="U11" i="11"/>
  <c r="U10" i="11"/>
  <c r="U9" i="11"/>
  <c r="U8" i="11"/>
  <c r="U7" i="11"/>
  <c r="U6" i="11"/>
  <c r="U5" i="11"/>
  <c r="B3" i="6"/>
  <c r="C3" i="6" s="1"/>
  <c r="H3" i="11"/>
  <c r="B3" i="11"/>
  <c r="AQ5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AS5" i="8"/>
  <c r="AR5" i="8"/>
  <c r="AM5" i="8"/>
  <c r="I3" i="8"/>
  <c r="AF19" i="8" s="1"/>
  <c r="I2" i="8"/>
  <c r="C5" i="8"/>
  <c r="AJ2" i="8"/>
  <c r="AJ3" i="8"/>
  <c r="AQ3" i="12"/>
  <c r="M9" i="22" l="1"/>
  <c r="M11" i="22"/>
  <c r="AC8" i="22"/>
  <c r="AJ8" i="22"/>
  <c r="M10" i="22"/>
  <c r="F10" i="22" s="1"/>
  <c r="BF3" i="12"/>
  <c r="BF5" i="12" s="1"/>
  <c r="AR5" i="12"/>
  <c r="D3" i="12"/>
  <c r="AF9" i="12"/>
  <c r="BE5" i="12"/>
  <c r="AV5" i="12"/>
  <c r="AN5" i="8"/>
  <c r="AO5" i="8" s="1"/>
  <c r="AW5" i="8"/>
  <c r="D3" i="8"/>
  <c r="AV3" i="12"/>
  <c r="AX3" i="12"/>
  <c r="AN15" i="12"/>
  <c r="AZ5" i="12" s="1"/>
  <c r="AJ15" i="12"/>
  <c r="AY5" i="12" s="1"/>
  <c r="C3" i="12"/>
  <c r="AF15" i="8"/>
  <c r="Y9" i="8"/>
  <c r="AA9" i="8"/>
  <c r="AE9" i="8"/>
  <c r="C3" i="8"/>
  <c r="F11" i="22" l="1"/>
  <c r="AC11" i="22" s="1"/>
  <c r="F9" i="22"/>
  <c r="AC9" i="22" s="1"/>
  <c r="AJ9" i="22"/>
  <c r="AJ11" i="22"/>
  <c r="AC10" i="22"/>
  <c r="AJ10" i="22"/>
  <c r="AN9" i="12"/>
  <c r="BM5" i="12"/>
  <c r="AL9" i="12"/>
  <c r="BH5" i="12"/>
  <c r="AJ9" i="12"/>
  <c r="BI5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Mhelcabs</author>
  </authors>
  <commentList>
    <comment ref="Y3" authorId="0" shapeId="0" xr:uid="{82A4CFF6-AB8C-40B3-B487-F4B1D5B53CAE}">
      <text>
        <r>
          <rPr>
            <b/>
            <sz val="9"/>
            <color indexed="81"/>
            <rFont val="Tahoma"/>
            <family val="2"/>
          </rPr>
          <t>REMINDER:
Example:
For the date:
Dember 25, 2023
Type:
25 12 2023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Mhelcabs</author>
  </authors>
  <commentList>
    <comment ref="AF3" authorId="0" shapeId="0" xr:uid="{6C0B091C-265D-4790-86FF-94663FF0967A}">
      <text>
        <r>
          <rPr>
            <b/>
            <sz val="9"/>
            <color indexed="81"/>
            <rFont val="Tahoma"/>
            <family val="2"/>
          </rPr>
          <t>REMINDER:
Example:
For the date
December 25, 2023
Type
25 12 2023</t>
        </r>
      </text>
    </comment>
    <comment ref="AF15" authorId="0" shapeId="0" xr:uid="{BD25BC83-F974-4036-8C78-EA13C448E237}">
      <text>
        <r>
          <rPr>
            <b/>
            <sz val="9"/>
            <color indexed="81"/>
            <rFont val="Tahoma"/>
            <family val="2"/>
          </rPr>
          <t>Profit Interest:
sample format
  20 means 20%
  in decimal equals .2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Mhelcabs</author>
  </authors>
  <commentList>
    <comment ref="E5" authorId="0" shapeId="0" xr:uid="{1887615D-6EC7-4C37-91BC-9C5A7BA690F4}">
      <text>
        <r>
          <rPr>
            <b/>
            <sz val="9"/>
            <color indexed="81"/>
            <rFont val="Tahoma"/>
            <family val="2"/>
          </rPr>
          <t>---&gt; REMINDER &lt;---
Example:
For the date
December 25, 2023
Type:
25 12 2023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Mhelcabs</author>
  </authors>
  <commentList>
    <comment ref="E5" authorId="0" shapeId="0" xr:uid="{AC5C73F2-A05F-4419-A549-2A181B80D6AF}">
      <text>
        <r>
          <rPr>
            <b/>
            <sz val="9"/>
            <color indexed="81"/>
            <rFont val="Tahoma"/>
            <family val="2"/>
          </rPr>
          <t>---&gt; REMINDER &lt;---
Example:
For the date
December 25, 2023
Type:
25 12 2023</t>
        </r>
      </text>
    </comment>
  </commentList>
</comments>
</file>

<file path=xl/sharedStrings.xml><?xml version="1.0" encoding="utf-8"?>
<sst xmlns="http://schemas.openxmlformats.org/spreadsheetml/2006/main" count="12678" uniqueCount="3814">
  <si>
    <t>SEQ</t>
  </si>
  <si>
    <t>SKU Code</t>
  </si>
  <si>
    <t>Item Description</t>
  </si>
  <si>
    <t>Price</t>
  </si>
  <si>
    <t>Total</t>
  </si>
  <si>
    <t>Qty</t>
  </si>
  <si>
    <t>Trans. Date</t>
  </si>
  <si>
    <t>Cust. Name</t>
  </si>
  <si>
    <t>OR No.</t>
  </si>
  <si>
    <t>Ref. No.</t>
  </si>
  <si>
    <t>COST</t>
  </si>
  <si>
    <t>SRP</t>
  </si>
  <si>
    <t>END</t>
  </si>
  <si>
    <t>SKU</t>
  </si>
  <si>
    <t>ITEMS DESCRIPTION</t>
  </si>
  <si>
    <t>BRAND</t>
  </si>
  <si>
    <t>SUPPLIER</t>
  </si>
  <si>
    <t>QTY SOLD</t>
  </si>
  <si>
    <t>INVENTORY</t>
  </si>
  <si>
    <t>COST PRICE</t>
  </si>
  <si>
    <t>SRP PRICE</t>
  </si>
  <si>
    <t>Profit</t>
  </si>
  <si>
    <t>Profit Percentage</t>
  </si>
  <si>
    <t>G,I C- PURLINS 2X3X1.2MM (WHITE)</t>
  </si>
  <si>
    <t>PCS</t>
  </si>
  <si>
    <t>G,I C- PURLINS 2X3X1.5MM</t>
  </si>
  <si>
    <t>G,I C- PURLINS 2X4X1.2MM (WHITE)</t>
  </si>
  <si>
    <t>G,I C- PURLINS 2X4X1.5MM</t>
  </si>
  <si>
    <t>G,I C- PURLINS 2X6X1.2MM</t>
  </si>
  <si>
    <t>G,I C- PURLINS 2X6X1.5MM</t>
  </si>
  <si>
    <t>G,I PIPE S20 1/2''</t>
  </si>
  <si>
    <t>G,I PIPE S20 3/4''</t>
  </si>
  <si>
    <t>G,I PIPE S20 1''</t>
  </si>
  <si>
    <t>G,I PIPE S20 1-1/4''</t>
  </si>
  <si>
    <t>G,I PIPE S20 1-1/2''</t>
  </si>
  <si>
    <t>G,I PIPE S20 2''</t>
  </si>
  <si>
    <t>G,I PIPE S20 2-1/2''</t>
  </si>
  <si>
    <t>G,I PIPE S20 3''</t>
  </si>
  <si>
    <t>G,I PIPE S40 1/2''</t>
  </si>
  <si>
    <t>G,I PIPE S40 3/4''</t>
  </si>
  <si>
    <t>G,I PIPE S40 1''</t>
  </si>
  <si>
    <t>G,I PIPE S40 1-1/4''</t>
  </si>
  <si>
    <t>G,I PIPE S40 1-1/2''</t>
  </si>
  <si>
    <t>G,I PIPE S40 2''</t>
  </si>
  <si>
    <t>G,I PIPE S40 2-1/2''</t>
  </si>
  <si>
    <t>G,I PIPE S40 3''</t>
  </si>
  <si>
    <t>B,I PIPE S40 1/2''</t>
  </si>
  <si>
    <t>B,I PIPE S40 3/4''</t>
  </si>
  <si>
    <t>B,I PIPE S40 1''</t>
  </si>
  <si>
    <t>B,I PIPE S40 1-1/4''</t>
  </si>
  <si>
    <t>B,I PIPE S40 1-1/2''</t>
  </si>
  <si>
    <t>B,I PIPE S40 2''</t>
  </si>
  <si>
    <t>B,I PIPE S40 2-1/2''</t>
  </si>
  <si>
    <t>B,I PIPE S40 3''</t>
  </si>
  <si>
    <t>WELDING ROD 2.5MM X 300MM 20kls (per kilo)</t>
  </si>
  <si>
    <t>KLS</t>
  </si>
  <si>
    <t>WELDING ROD 3.2MM X 350MM 20kls (per kilo)</t>
  </si>
  <si>
    <t>SHOVEL ( Round Pointed )</t>
  </si>
  <si>
    <t>RUBBER GLOVES ( Orange )</t>
  </si>
  <si>
    <t>TIE WIRE #16 25kls (per kilo)</t>
  </si>
  <si>
    <t>COMMON WIRE NAILS #1 25kls (per kilo)</t>
  </si>
  <si>
    <t>COMMON WIRE NAILS #1 1/2 25kls (per kilo)</t>
  </si>
  <si>
    <t>COMMON WIRE NAILS #2 25kls (per kilo)</t>
  </si>
  <si>
    <t>COMMON WIRE NAILS #2 1/2 25kls (per kilo)</t>
  </si>
  <si>
    <t>COMMON WIRE NAILS #3 25kls (per kilo)</t>
  </si>
  <si>
    <t>COMMON WIRE NAILS #4 25kls (per kilo)</t>
  </si>
  <si>
    <t>DE FORM BARS 10MM</t>
  </si>
  <si>
    <t>DE FORM BARS 9MM 2.2KG</t>
  </si>
  <si>
    <t>DE FORM BARS 8MM 1.4KG</t>
  </si>
  <si>
    <t>MEGALUME CORR 0.25MM TCTx10ft. 3</t>
  </si>
  <si>
    <t>MEGALUME</t>
  </si>
  <si>
    <t>SUPERLUME EXCEL Corr, 0.4MM x 8ft. 12</t>
  </si>
  <si>
    <t>SUPERLUME</t>
  </si>
  <si>
    <t>SUPERLUME EXCEL Corr. 0.4MM TCT x 10ft. 13</t>
  </si>
  <si>
    <t>SUPERLUME EXCEL Corr. 0.3MM x 12ft. 0</t>
  </si>
  <si>
    <t>DURALUME Corr. 0.35MM TCT x 8ft. 3</t>
  </si>
  <si>
    <t>DURALUME</t>
  </si>
  <si>
    <t>DURALUME Corr. 0.35MM TCT x 10ft. 3</t>
  </si>
  <si>
    <t>DURALUME Corr. 0.35MM TCT x 12ft. 2</t>
  </si>
  <si>
    <t>ORDINARY PLYWOOD 4MM 1/4 X4X8-HCH(Local) BABAISON</t>
  </si>
  <si>
    <t>ORDINARY PLYWOOD 3/4 (Local) BME</t>
  </si>
  <si>
    <t>ORDINARY PLYWOOD 9MM 1/2 X4X8-TOP FOREST(Local) DJN</t>
  </si>
  <si>
    <t>ORDINARY PLYWOOD 10MM 1/2 X4X8 (Local) (TOP FOREST)</t>
  </si>
  <si>
    <t>WELCOAT RED LEAD PRIMER WPRE3940 1/4 Litter</t>
  </si>
  <si>
    <t>WELCOAT</t>
  </si>
  <si>
    <t>WELCOAT RED LEAD PRIMER WPRE3940 1Litter</t>
  </si>
  <si>
    <t>WELCOAT RED OXIDE PRIMER WPRE4010 1/4 Litter</t>
  </si>
  <si>
    <t>WELCOAT RED OXIDE PRIMER WPRE4010 1Litter</t>
  </si>
  <si>
    <t>WELCOAT RED OXIDE PRIMER WPRE4010 1Gallon</t>
  </si>
  <si>
    <t>BOYSEN RED OXIDE METAL PRIMER #310 1Litter</t>
  </si>
  <si>
    <t>BOYSEN</t>
  </si>
  <si>
    <t>BOYSEN RED OXIDE METAL PRIMER #310 1Gallon</t>
  </si>
  <si>
    <t>INSULATION 1-SIDE ALUM, 5MM X 50M 1Roll (per meter)</t>
  </si>
  <si>
    <t>MTR</t>
  </si>
  <si>
    <t>INSULATION 2-SIDE ALUM, 5MM X 50M 1Roll (per meter)</t>
  </si>
  <si>
    <t>ORDINARY PLYWOOD 18MM 3/4 (ALFA/TOP FOREST) 1SHT</t>
  </si>
  <si>
    <t>MARINE PLYWOOD 9mm 1/2 x 4 x 8 (TOP FOREST)</t>
  </si>
  <si>
    <t>MARINE PLYWOOD 10mm 1/2 x 4 x 8 (TOP FOREST)</t>
  </si>
  <si>
    <t>MARINE PLYWOOD 18mm 3/4 x 4 x 8 (TOP FOREST)</t>
  </si>
  <si>
    <t>PHENOLIC BOARD 12mm x 4 x 8</t>
  </si>
  <si>
    <t>PHENOLIC BOARD 18mm 3/4 x 4 x 8</t>
  </si>
  <si>
    <t>B,I STEEL MATING #10 (2.7mm) 2''x2''x 4ft x 8ft. 1pcs</t>
  </si>
  <si>
    <t>B,I STEEL MATING #6 (4.5mm) 2''x2''x4ft x 8ft. 1pcs</t>
  </si>
  <si>
    <t>G,I STEEL MATING #10 (2.7mm) 2''x2''x 4ft x 8ft. 1pcs</t>
  </si>
  <si>
    <t>G,I STEEL MATING #8 (3.5mm) 2''x2''x 4ft x 8ft. 1pcs</t>
  </si>
  <si>
    <t>G,I PLAIN GALVAMET/GALVAROCT 0.18mm TCT x 8ft.</t>
  </si>
  <si>
    <t>BESTLUME PLAIN 0.18mm x 8ft.</t>
  </si>
  <si>
    <t>BESTLUME</t>
  </si>
  <si>
    <t>TREND RED OXIDE #PRE409 1Litter</t>
  </si>
  <si>
    <t>PAINTPRO/HUNTER MINI-ROLLER BRUSH 4''W/ HANDLE</t>
  </si>
  <si>
    <t>PAINTPRO MINI-ROLLER BRUSH 6''W/ HANDLE</t>
  </si>
  <si>
    <t>CONSTRUCTION PAIL PVC (per piece)</t>
  </si>
  <si>
    <t>NYLON LATEX COATED GLOOVES MAX/HUNTER 1pair</t>
  </si>
  <si>
    <t>CHINA WELDING ROD #6013 (3/32) 2.5mm (1Box) (Perpiece)</t>
  </si>
  <si>
    <t>CHINA</t>
  </si>
  <si>
    <t>CHINA WELDING ROD #6013 (1/8) (1Box) (Perpiece)</t>
  </si>
  <si>
    <t>SAND PAPER #150 (per piece) EAGLE BRAND</t>
  </si>
  <si>
    <t>SAND PAPER # 240 (per piece) EAGLE BRAND</t>
  </si>
  <si>
    <t>SAND PAPER # 1,000 (per piece) EAGLE BRAND</t>
  </si>
  <si>
    <t>SAND PAPER # 60 (per piece) EAGLE BRAND</t>
  </si>
  <si>
    <t>SAND PAPER # 80 (per piece) EAGLE BRAND</t>
  </si>
  <si>
    <t>PVC SOLVENT CEMENT SMALL (SHERMAN)</t>
  </si>
  <si>
    <t>OASIS CUTTING DISC STAINLESS (per piece)</t>
  </si>
  <si>
    <t>TYROLIT GRINDING (per piece)</t>
  </si>
  <si>
    <t>TYROLIT</t>
  </si>
  <si>
    <t>ELECTRICAL TAPE #Small (per piece)</t>
  </si>
  <si>
    <t>ELECTRICAL TAPE #Medium (per piece)</t>
  </si>
  <si>
    <t>IRWEN DIAMOND CUTTING (per piece)</t>
  </si>
  <si>
    <t>IRWEN</t>
  </si>
  <si>
    <t>FLOOR DRAIN (per piece)</t>
  </si>
  <si>
    <t>HACKSAW BLADE SANDFLEX (per piece)</t>
  </si>
  <si>
    <t>SOLDERING IRON (per piece)</t>
  </si>
  <si>
    <t>BUFFING DISC (per piece)</t>
  </si>
  <si>
    <t>MEASURE TAPE 3Meter (per piece)</t>
  </si>
  <si>
    <t>MEASURE TAPE 5Meter (per piece)</t>
  </si>
  <si>
    <t>MEASURE TAPE 7.5Meter (per piece)</t>
  </si>
  <si>
    <t>DIAMOND WHEEL</t>
  </si>
  <si>
    <t>CARBON BRUSH #50A (per piece)</t>
  </si>
  <si>
    <t>CARBON BRUSH #408A (per piece)</t>
  </si>
  <si>
    <t>CARBON BRUSH #51A (per piece)</t>
  </si>
  <si>
    <t>CARBON BRUSH #101A (per piece)</t>
  </si>
  <si>
    <t>CARBON BRUSH #411 (per piece)</t>
  </si>
  <si>
    <t>TEXT SCREW ADAPTOR (per piece)</t>
  </si>
  <si>
    <t>DRILL BIT DORMER 1/8 (per piece)</t>
  </si>
  <si>
    <t>DRILL BIT DORMER 9/64 (per piece)</t>
  </si>
  <si>
    <t>DRILL BIT DORMER 5/32 (per piece)</t>
  </si>
  <si>
    <t>DRILL BIT DORMER 3/16 (per piece)</t>
  </si>
  <si>
    <t>DRILL BIT DORMER 1/4 (per piece)</t>
  </si>
  <si>
    <t>MASONRY #6 (per piece) IRWIN (BARINA)</t>
  </si>
  <si>
    <t>MASONRY #5 (per piece)IRWIN (BARINA)</t>
  </si>
  <si>
    <t>MASONRY #12 (per piece)IRWIN (BARINA)</t>
  </si>
  <si>
    <t>PVC COUPLING 1/2</t>
  </si>
  <si>
    <t>FEMALE ADAPTOR</t>
  </si>
  <si>
    <t>MALE COUPLING</t>
  </si>
  <si>
    <t>ELBOW THREADED</t>
  </si>
  <si>
    <t>TEE THREADED</t>
  </si>
  <si>
    <t>P-E COUPLING</t>
  </si>
  <si>
    <t>P-E ELBOW</t>
  </si>
  <si>
    <t>TEE COUPLING</t>
  </si>
  <si>
    <t>MALE COUPLING/POLY THYLENE PLUG (per piece)</t>
  </si>
  <si>
    <t>FEMALE COUPLING THREADED (per piece)</t>
  </si>
  <si>
    <t>TEE PLAIN- PVC</t>
  </si>
  <si>
    <t>DRAWER SLIDE BALL BEARING #10</t>
  </si>
  <si>
    <t>DRAWER SLIDE BALL BEARING #14</t>
  </si>
  <si>
    <t>DRAWER SLIDE BALL BEARING #16</t>
  </si>
  <si>
    <t>DRAWER SLIDE BALL BEARING #18</t>
  </si>
  <si>
    <t>DRAWER SLIDE BALL BEARING #20</t>
  </si>
  <si>
    <t>DRAWER SLIDE BALL BEARING #22</t>
  </si>
  <si>
    <t>DRILL CHUCK KEY 1/2</t>
  </si>
  <si>
    <t>DRILL CHUCK KEY 3/8</t>
  </si>
  <si>
    <t>POWER BIT 2X50MM</t>
  </si>
  <si>
    <t>POWER BIT 2X65MM</t>
  </si>
  <si>
    <t>BLIND REVETS 5/32X1 (1Box)</t>
  </si>
  <si>
    <t>BLIND REVETS 5/32X3/4 (1Box)</t>
  </si>
  <si>
    <t>ROPE/LUBID #12 (per meter)</t>
  </si>
  <si>
    <t>TOX #10 (pack)</t>
  </si>
  <si>
    <t>BOX</t>
  </si>
  <si>
    <t>TOX #8 (pack)</t>
  </si>
  <si>
    <t>TOX #6 (pack)</t>
  </si>
  <si>
    <t>BBY ROLLER #4 (per piece)</t>
  </si>
  <si>
    <t>BBY ROLLER #6 (per piece)</t>
  </si>
  <si>
    <t>BBY ROLLER #7 (per piece)</t>
  </si>
  <si>
    <t>BLIND RIVETS 1/8X1/2 (4Box)</t>
  </si>
  <si>
    <t>BLIND RIVETS 5/32X1/2 (1Box)</t>
  </si>
  <si>
    <t>BLIND RIVETS 1/8X1 (2Box)</t>
  </si>
  <si>
    <t>BLIND RIVETS 3/16X1/2 (1Box)</t>
  </si>
  <si>
    <t>BLIND RIVETS 3/16X3/4 (1Box)</t>
  </si>
  <si>
    <t>STEEL BRUSH (per piece)</t>
  </si>
  <si>
    <t>TEX SCREW #2 500pcs (for metal)</t>
  </si>
  <si>
    <t>TEX SCREW #2.5 350pcs (for metal)</t>
  </si>
  <si>
    <t>TEX SCREW #2 500pcs (for wood)</t>
  </si>
  <si>
    <t>TEX SCREW #2.5 350pcs (for Wood)</t>
  </si>
  <si>
    <t>GYPSUM SCREW METAL 1 1/2 (1box 600pcs each)</t>
  </si>
  <si>
    <t>FLAP DISC (per piece)</t>
  </si>
  <si>
    <t>HOLESAW #3</t>
  </si>
  <si>
    <t>HOLESAW #6</t>
  </si>
  <si>
    <t>L-BAR 12X14</t>
  </si>
  <si>
    <t>L-ANGLE BARS 10X12</t>
  </si>
  <si>
    <t>SILICONE GUN</t>
  </si>
  <si>
    <t>NACARAT GLUE GUN</t>
  </si>
  <si>
    <t>PUTTY KNIFE 125mm</t>
  </si>
  <si>
    <t>PUTTY KNIFE 100mm</t>
  </si>
  <si>
    <t>PUTTY KNIFE 50mm</t>
  </si>
  <si>
    <t>WELDING WIRE</t>
  </si>
  <si>
    <t>BULB SOCKET</t>
  </si>
  <si>
    <t>SOLDERING IRON 35W</t>
  </si>
  <si>
    <t>EXPANSION NAIL CAP</t>
  </si>
  <si>
    <t>BOLT</t>
  </si>
  <si>
    <t>TOX #6 per pieces</t>
  </si>
  <si>
    <t>SAND PAPER 150</t>
  </si>
  <si>
    <t>SAND PAPER 100</t>
  </si>
  <si>
    <t>SAND PAPER 120</t>
  </si>
  <si>
    <t>VEST G/O</t>
  </si>
  <si>
    <t>REFLECTIVE VEST</t>
  </si>
  <si>
    <t>SHOVEL 68cm</t>
  </si>
  <si>
    <t>FLOWER SHEARS</t>
  </si>
  <si>
    <t>CLAW BAR</t>
  </si>
  <si>
    <t>CARLO-SCRAPER</t>
  </si>
  <si>
    <t>SAND PAPER 120 (EAGLE BRAND)</t>
  </si>
  <si>
    <t>YITAI SERIES</t>
  </si>
  <si>
    <t>AMES BARREL B</t>
  </si>
  <si>
    <t>AMES BARREL 2"</t>
  </si>
  <si>
    <t>AMES BARREL 4"</t>
  </si>
  <si>
    <t>LATCH 8</t>
  </si>
  <si>
    <t>TERMINAL SET</t>
  </si>
  <si>
    <t>AMES SCREW</t>
  </si>
  <si>
    <t>BRACKET SMALL - 5X6</t>
  </si>
  <si>
    <t>TRIANGULAR</t>
  </si>
  <si>
    <t>CABLE CLIPS</t>
  </si>
  <si>
    <t>S/S FLOOR STR</t>
  </si>
  <si>
    <t>TEK SCREW</t>
  </si>
  <si>
    <t>NS BRASS - GATE VALVE</t>
  </si>
  <si>
    <t>TEFLON 1/2</t>
  </si>
  <si>
    <t>ALLOY GATE BULB</t>
  </si>
  <si>
    <t>ALLOY FAUCET</t>
  </si>
  <si>
    <t>FAUCET WHITE</t>
  </si>
  <si>
    <t>AMES 06 PLAST</t>
  </si>
  <si>
    <t>ZINC ALLOY FA</t>
  </si>
  <si>
    <t>HINGE #3</t>
  </si>
  <si>
    <t>HINGE #2</t>
  </si>
  <si>
    <t>GRIPTITE AUTO BODY FILLER (Gal.)</t>
  </si>
  <si>
    <t>DURAPATCH BODY FILLER (LITER)</t>
  </si>
  <si>
    <t>MAYON LACQUER THINNER (Bottle)</t>
  </si>
  <si>
    <t>G,I PAINT THINNER (Bottle)</t>
  </si>
  <si>
    <t>SIKALITE WATERPROOFING</t>
  </si>
  <si>
    <t>VULCA SEAL 75ml Jr.</t>
  </si>
  <si>
    <t>SURESEAL EASTOMERIC SEALANT (82.5ml)</t>
  </si>
  <si>
    <t>SURESEAL</t>
  </si>
  <si>
    <t>MAC MASTER US LOOSE PIN HINGES 3-1/2''</t>
  </si>
  <si>
    <t>MAC MASTER</t>
  </si>
  <si>
    <t>MAC MASTER US LOOSE PIN HINGES 4''</t>
  </si>
  <si>
    <t>WINCRAFT HSS DRILL BIT FOR STEEL 1/8''</t>
  </si>
  <si>
    <t>WINCRAFT</t>
  </si>
  <si>
    <t>WINCRAFT HSS DRILL BIT FOR STEEL 5/32''</t>
  </si>
  <si>
    <t>WINCRAFT HSS DRILL BIT FOR STEEL 3/16''</t>
  </si>
  <si>
    <t>WINCRAFT HSS DRILL BIT FOR STEEL 1/4''</t>
  </si>
  <si>
    <t>EASTON CARBIDE TIP MASONRY DRILL BIT 1/8''</t>
  </si>
  <si>
    <t>EASTON</t>
  </si>
  <si>
    <t>EASTON CARBIDE TIP MASONRY DRILL BIT 1/4''</t>
  </si>
  <si>
    <t>G,I PLASTIC VARNISH--MAHOGANY</t>
  </si>
  <si>
    <t>G,I PLASTIC VARNISH--MAPLE</t>
  </si>
  <si>
    <t>G,I PLASTIC VARNISH--NATURAL</t>
  </si>
  <si>
    <t>G,I PLASTIC VARNISH--WALNUT</t>
  </si>
  <si>
    <t>SISTEMA BEARING SLIDE 3-FOLD DRAWER GUIDE 12'' (145.50.022</t>
  </si>
  <si>
    <t>SISTEMA</t>
  </si>
  <si>
    <t>SISTEMA BEARING SLIDE 3-FOLD DRAWER GUIDE 14'' (145.50.024</t>
  </si>
  <si>
    <t>SISTEMA BEARING SLIDE 3-FOLD DRAWER GUIDE 16'' (145.50.026</t>
  </si>
  <si>
    <t>HUNTER CLAW HAMMER FIBERGLASS HANDLE (HM-F) 16oz.</t>
  </si>
  <si>
    <t>HUNTER CLAW</t>
  </si>
  <si>
    <t>RYDER/HUNTER CLAW HAMMER TUBULAR STEEL HANDLE (HM-S) 16oz.</t>
  </si>
  <si>
    <t>HUNTER CLAW HAMMER WOODEN HANDLE (HM-W) 16oz.</t>
  </si>
  <si>
    <t>SHOVEL POINTED ARMOR ALL-STEEL (SSP-01)</t>
  </si>
  <si>
    <t>HUNTER ALUMINUM LEVEL 3-Vials 40cm (AL-312)</t>
  </si>
  <si>
    <t>HUNTER</t>
  </si>
  <si>
    <t>HUNTER ALUMINUM LEVEL 3-Vials 45cm (AL-318)</t>
  </si>
  <si>
    <t>HUNTER ALUMINUM LEVEL 3-Vials 60cm (AL-324)</t>
  </si>
  <si>
    <t>HUNTER ALUMINUM LEVEL 3-Vials 32'' (AL-332)</t>
  </si>
  <si>
    <t>HACKSAW FRAME HUNTER PVC HANDLE (HF-PO2)</t>
  </si>
  <si>
    <t>HACKSAW FRAME HUNTER TRP Rubber Handle (HF-TO1)</t>
  </si>
  <si>
    <t>TIN SNIP 8'' CRESTON (aps)-208)</t>
  </si>
  <si>
    <t>TIN SNIP 12'' CRESTON (APS-212)</t>
  </si>
  <si>
    <t>TIN SNIP 14'' CRESTON (APS-214)</t>
  </si>
  <si>
    <t>WINCRAFT STEEL TAPE 3-Meter</t>
  </si>
  <si>
    <t>WINCRAFT STEEL TAPE 5-meter</t>
  </si>
  <si>
    <t>WINCRAFT STEEL TAPE 7.5 meter</t>
  </si>
  <si>
    <t>HAND RIVITER HUNTER HEAVY DUTY GRAY</t>
  </si>
  <si>
    <t>HAND RIVITER HUNTER HEAVY DUTY CHROME (HRC-02)</t>
  </si>
  <si>
    <t>STANLEY SLIP JOINT PILER 6''</t>
  </si>
  <si>
    <t>STANLEY</t>
  </si>
  <si>
    <t>HUNTER HANDSAW PVC HANDLE 20'' (HSP-20)</t>
  </si>
  <si>
    <t>HUNTER HANDSAW WOODEN HANDLE 20'' (HSW-20)</t>
  </si>
  <si>
    <t>HUNTER TRI-SQUARE 10''</t>
  </si>
  <si>
    <t>HUNTER TRI-SQUARE 12''</t>
  </si>
  <si>
    <t>HUNTER TRI-SQUARE 8''</t>
  </si>
  <si>
    <t>EMT PIPE 1/2 X 10ft</t>
  </si>
  <si>
    <t>EMT PIPE 3/4 X 10ft</t>
  </si>
  <si>
    <t>EMT ELBOW 3/4 Long</t>
  </si>
  <si>
    <t>EMT ELBOW 1/2 Short</t>
  </si>
  <si>
    <t>ALUMINUM WIRE 8/2</t>
  </si>
  <si>
    <t>ALUMINUM WIRE 10/1</t>
  </si>
  <si>
    <t>PVC CLAMP 1/2 W/ NAILS</t>
  </si>
  <si>
    <t>PVC CLAMP 3/4</t>
  </si>
  <si>
    <t>SADDLE CLAMP 1/2</t>
  </si>
  <si>
    <t>SADDLE CLAMP 3/4</t>
  </si>
  <si>
    <t>WIRE HOLDER (Big)</t>
  </si>
  <si>
    <t>WIRE HOLDER (Small)</t>
  </si>
  <si>
    <t>SECONDARY RACK 2W</t>
  </si>
  <si>
    <t>MALE PLUG REGULAR (Royu)</t>
  </si>
  <si>
    <t>FEMALE PLUG (Royu)</t>
  </si>
  <si>
    <t>STICKWELL WOOD GLUE POUCH 250g</t>
  </si>
  <si>
    <t>3gang OUTLET (Royu St)</t>
  </si>
  <si>
    <t>LED BULB 9W (ECOLUM)</t>
  </si>
  <si>
    <t>LED BULB 7W (OSTAR))</t>
  </si>
  <si>
    <t>MECA TUBE 1/4</t>
  </si>
  <si>
    <t>STAPLE WIRE #1</t>
  </si>
  <si>
    <t>ELECTRIC METER BASE 3/4'' (Koreno)</t>
  </si>
  <si>
    <t>FLEXIBALE HOSE 1/2X100m</t>
  </si>
  <si>
    <t>FLEXIBALE HOSE 3/4X100m</t>
  </si>
  <si>
    <t>PVC PIPE ORANGE 1/2</t>
  </si>
  <si>
    <t>PVC PIPE ORANGE 3/4</t>
  </si>
  <si>
    <t>PVC ELBOW 1/2 Short</t>
  </si>
  <si>
    <t>PVC ELBOW 1/2 Long</t>
  </si>
  <si>
    <t>PVC ELBOW 3/4 Short</t>
  </si>
  <si>
    <t>PVC ELBOW 3/4 Long</t>
  </si>
  <si>
    <t>EMT CONNECTOR 1/2</t>
  </si>
  <si>
    <t>EMT CONNECTOR 3/4</t>
  </si>
  <si>
    <t>FLEXIBLE CONNECTOR 1/2</t>
  </si>
  <si>
    <t>FLEXIBLE CONNECTOR 3/4</t>
  </si>
  <si>
    <t>JUNCTION BOX PVC w/cover</t>
  </si>
  <si>
    <t>UTILITY BOX PVC Plain</t>
  </si>
  <si>
    <t>1 OUTLET (Royu ft)</t>
  </si>
  <si>
    <t>2 OUTLET (Royu ft)</t>
  </si>
  <si>
    <t>3 OUTLET (Royu ft)</t>
  </si>
  <si>
    <t>1 SWITCH (Royu)</t>
  </si>
  <si>
    <t>2 SWITCH (Royu)</t>
  </si>
  <si>
    <t>3 SWITCH (Royu)</t>
  </si>
  <si>
    <t>FLATCORD 16/2</t>
  </si>
  <si>
    <t>FLATCORD 14/2</t>
  </si>
  <si>
    <t>LED BULB 3W (Sylvania)</t>
  </si>
  <si>
    <t>LED BULB 5W (Sylvania)</t>
  </si>
  <si>
    <t>LED BULB 13W (Ecolink)</t>
  </si>
  <si>
    <t>PAINT DAVIES PROLUX PUTTY WHITE (Litter)</t>
  </si>
  <si>
    <t>DAVIES</t>
  </si>
  <si>
    <t>STANLEY SNAP OFF KNIFE</t>
  </si>
  <si>
    <t>GRINDING WHEEL LOTUS (Metal)</t>
  </si>
  <si>
    <t>LOTUS</t>
  </si>
  <si>
    <t>CUTTING DISC LOTUS STAINLESS</t>
  </si>
  <si>
    <t>HOMEAID RUBBER WHEEL</t>
  </si>
  <si>
    <t>HOMEAID</t>
  </si>
  <si>
    <t>HAUSMANN HINGES (Box)</t>
  </si>
  <si>
    <t>HAUSMANN</t>
  </si>
  <si>
    <t>CUTTER HAUSMANN 9mm</t>
  </si>
  <si>
    <t>TURNBUCKLE HAUSMANN 4mm (5/32'') EYE/HOOK</t>
  </si>
  <si>
    <t>TURNBUCKLE 8mm</t>
  </si>
  <si>
    <t>TACKLE PULLEY 1/2</t>
  </si>
  <si>
    <t>TACKLE PULLEY 3/4</t>
  </si>
  <si>
    <t>TACKLE PULLEY 2''</t>
  </si>
  <si>
    <t>CYLINDRICAL HINGES 3/8</t>
  </si>
  <si>
    <t>CYLINDRICAL HINGES 5/8</t>
  </si>
  <si>
    <t>JENEX CYLINDRICAL HINGES 3/4</t>
  </si>
  <si>
    <t>JENEX</t>
  </si>
  <si>
    <t>JENEX CYLINDRICAL HINGES 1</t>
  </si>
  <si>
    <t>DOUBLE FURRING .3 (DDY)</t>
  </si>
  <si>
    <t>SINGLE FURRING (L)</t>
  </si>
  <si>
    <t>WALL ANGLE (L)</t>
  </si>
  <si>
    <t>METAL STUDS 3'' (DDY)</t>
  </si>
  <si>
    <t>METAL STUDS 2 1/2 (L)</t>
  </si>
  <si>
    <t>METAL STUDS 2'' (L) PRIOMETAL</t>
  </si>
  <si>
    <t>METAL STUDS 4'' (L) PRIOMETAL</t>
  </si>
  <si>
    <t>CARRYING CHANNEL (L)</t>
  </si>
  <si>
    <t>DOUBLE CLIP</t>
  </si>
  <si>
    <t>PVC PIPE SANITARY #2 (S600)</t>
  </si>
  <si>
    <t>PVC PIPE SANITARY #2 (S500)</t>
  </si>
  <si>
    <t>PVC PIPE SANITARY #3 (S600)</t>
  </si>
  <si>
    <t>PVC PIPE SANITARY #3 (S500)</t>
  </si>
  <si>
    <t>TOILET BOWL</t>
  </si>
  <si>
    <t>ONE TILE ADHESIVE (Bags)</t>
  </si>
  <si>
    <t>SKIM COAT (Bags) BIG ELEPHANT</t>
  </si>
  <si>
    <t>BIG ELEPHANT</t>
  </si>
  <si>
    <t>HARDWARE CLOTHE/HAYAGAN (Roll)</t>
  </si>
  <si>
    <t>SMART BOARD 3.5</t>
  </si>
  <si>
    <t>SMART BOARD 4.5</t>
  </si>
  <si>
    <t>HARDINAILS (Kls)</t>
  </si>
  <si>
    <t>OASIS GRINDING WHEEL DISC</t>
  </si>
  <si>
    <t>OASIS</t>
  </si>
  <si>
    <t>BOSCH DRILL BIT 1/8'' (Metal)</t>
  </si>
  <si>
    <t>BOSCH</t>
  </si>
  <si>
    <t>SIEGER PAINT BRUSH 1</t>
  </si>
  <si>
    <t>SIEGER</t>
  </si>
  <si>
    <t>SIEGER PAINT BRUSH 2 1/2</t>
  </si>
  <si>
    <t>SIEGER PAINT BRUSH 2</t>
  </si>
  <si>
    <t>SIEGER PAINT BRUSH 1 1/2</t>
  </si>
  <si>
    <t>NYLON ROPE (PANGLINSA)</t>
  </si>
  <si>
    <t>SQUARE CIRCLE LOCK (small) 30mm</t>
  </si>
  <si>
    <t>SQUARE CIRCLE LOCK (Big) 40mm</t>
  </si>
  <si>
    <t>BAOLING LOCK 40mm</t>
  </si>
  <si>
    <t>BAOLING LOCK 30mm</t>
  </si>
  <si>
    <t>SWERTE HARDWARE (small tool screw)</t>
  </si>
  <si>
    <t>SWERTE HARDWARE</t>
  </si>
  <si>
    <t>AMES HARDWARE (small tool screw)</t>
  </si>
  <si>
    <t>AMES HARDWARE</t>
  </si>
  <si>
    <t>SWERTE HARDWARE Tool screw/ L stainless</t>
  </si>
  <si>
    <t>BESTGUARD (Tool)</t>
  </si>
  <si>
    <t>BESTGUARD</t>
  </si>
  <si>
    <t>AMES HARDWARE TOX tool (small)</t>
  </si>
  <si>
    <t>AMES HARWARE TOX tool (big)</t>
  </si>
  <si>
    <t>DOOR HANDLE W/SCREW</t>
  </si>
  <si>
    <t>DOOR HANDLE W/SCREW (Small)</t>
  </si>
  <si>
    <t>DRAWER LOCKS CORE</t>
  </si>
  <si>
    <t>JOSE TOP SECURITY LOCKS</t>
  </si>
  <si>
    <t>JOSE</t>
  </si>
  <si>
    <t>TIGON HEAVY DUTY LOCKS</t>
  </si>
  <si>
    <t>TIGON</t>
  </si>
  <si>
    <t>SUN CRUISES LOCKS R-96</t>
  </si>
  <si>
    <t>SUN CRUISES</t>
  </si>
  <si>
    <t>SUN CRUISES LOCKS R-97</t>
  </si>
  <si>
    <t>HIGH QUALITY HARDWARE DOOR SAFETY</t>
  </si>
  <si>
    <t>GOLDEN DRAGON DOOR SAFETY</t>
  </si>
  <si>
    <t>GOLDEN DRAGON</t>
  </si>
  <si>
    <t>JOSE HARDWARE DOOR SAFETY 8''</t>
  </si>
  <si>
    <t>SUN AMES DOOR SAFETY 8'' (Big)</t>
  </si>
  <si>
    <t>SUN AMES</t>
  </si>
  <si>
    <t>SUN AMES DOOR SAFETY 4'' (Small)</t>
  </si>
  <si>
    <t>SUN AMES DOOR SAFETY (Medium)</t>
  </si>
  <si>
    <t>MASKING TAPE 1"(TECHNO)</t>
  </si>
  <si>
    <t>PACKAGING TAPE (Brown)</t>
  </si>
  <si>
    <t>NIKKO SPRAY PAINT (Flat black) #140</t>
  </si>
  <si>
    <t>NIKKO</t>
  </si>
  <si>
    <t>NIKKO SPRAY PAINT (Gloss white) #111</t>
  </si>
  <si>
    <t>NIKKO SPRAY PAINT (Bright silver) #117</t>
  </si>
  <si>
    <t>NIKKO SPRAY PAINT (Light yellow) #150</t>
  </si>
  <si>
    <t>NIKKO SPRAY PAINT (Apple green) #124</t>
  </si>
  <si>
    <t>NIKKO SPRAY PAINT (Honda blue) #155</t>
  </si>
  <si>
    <t>NIKKO SPRAY PAINT (Brown) #134</t>
  </si>
  <si>
    <t>PVC ATLANTA/NELTEX BLUE PIPE 1/2</t>
  </si>
  <si>
    <t>PVC ATLANTA/NELTEX BLUE PIPE 3/4</t>
  </si>
  <si>
    <t>MEGALUME PLAIN SHEET 0.25mm TCT X 8ft.</t>
  </si>
  <si>
    <t>DURALUME PLAIN SHEET 0.35mm TCT X 8ft.</t>
  </si>
  <si>
    <t>MEGALUME CORR 0.25mm TCT X 8ft.</t>
  </si>
  <si>
    <t>YAGA TILE ADHESIVE</t>
  </si>
  <si>
    <t>YAGA</t>
  </si>
  <si>
    <t>BOYSEN PERM. FLAT LATEX WHITE #701 (GAL)</t>
  </si>
  <si>
    <t>BOYSEN GLASING PUTTY WHITE #311 (GAL)</t>
  </si>
  <si>
    <t>BOYSEN LAC. SPOT PUTTY WHITE #306 (GAL)</t>
  </si>
  <si>
    <t>BOYSEN PERM. FLAT LATEX WHITE #701 (Liter)</t>
  </si>
  <si>
    <t>BOYSEN LAC. SPOT PUTTY WHITE #306 (Liter)</t>
  </si>
  <si>
    <t>STRAW /HIKOT (COLORS)</t>
  </si>
  <si>
    <t>GARBAGE BAG (Small)</t>
  </si>
  <si>
    <t>GARBAGE BAG (Medium)</t>
  </si>
  <si>
    <t>BAIRAN SMALL</t>
  </si>
  <si>
    <t>PALITA WOODEN HANDLE</t>
  </si>
  <si>
    <t>PALITA ORANGE HANDLE</t>
  </si>
  <si>
    <t>BAIRAN BIG</t>
  </si>
  <si>
    <t>BRACKET MEDIUM - 6X8</t>
  </si>
  <si>
    <t>JOSE PAINT BRUSH (Small)</t>
  </si>
  <si>
    <t>JOSE PAINT BRUSH (Big)</t>
  </si>
  <si>
    <t>BRACKET LARGE - 8X10</t>
  </si>
  <si>
    <t>FULL CHAIN FIREFLY SOCKET</t>
  </si>
  <si>
    <t>CEILING RECEPTACLE 2 1/4 FIREFLY</t>
  </si>
  <si>
    <t>FIREFLY</t>
  </si>
  <si>
    <t>CEILENG RECEPTACLE 4 1/4 FIREFLY</t>
  </si>
  <si>
    <t>SWITCH BOX PVC (Royu)</t>
  </si>
  <si>
    <t>ROYU</t>
  </si>
  <si>
    <t>SNAP SWITCH (Royu)</t>
  </si>
  <si>
    <t>REGULAR MALE PLUG (Royu)</t>
  </si>
  <si>
    <t>RUBBER SOCKET S</t>
  </si>
  <si>
    <t>3 GANG OUTLET EXTENSION 5METER (Kopez)</t>
  </si>
  <si>
    <t>KOPEZ</t>
  </si>
  <si>
    <t>2 GANG OUTLET EXTENSION 3METER (Kopez)</t>
  </si>
  <si>
    <t>3 GANG OUTLET (Royu) ST</t>
  </si>
  <si>
    <t>2 GANG OUTLET (Royu) ST</t>
  </si>
  <si>
    <t>ELECTRICAL TAPE (ARMAK)</t>
  </si>
  <si>
    <t>ARMAK</t>
  </si>
  <si>
    <t>ELECTRICAL TAPE (TARTAN 3M)</t>
  </si>
  <si>
    <t>TARTAN 3M</t>
  </si>
  <si>
    <t>FEMALE PLUG (Kopez)</t>
  </si>
  <si>
    <t>PANEL BOX 2 POLE PLUG-IN</t>
  </si>
  <si>
    <t>SQUARE BOX ORANGE PVC (Royu)</t>
  </si>
  <si>
    <t>TOX #10 per pieces</t>
  </si>
  <si>
    <t>TOX #8 per pieces</t>
  </si>
  <si>
    <t>PVC SOLVENT CEMENT BIG (SHERMAN)</t>
  </si>
  <si>
    <t>SHERMAN</t>
  </si>
  <si>
    <t>HITECH PAINT ROLLER #9 REFILL</t>
  </si>
  <si>
    <t>HITECH</t>
  </si>
  <si>
    <t>HITECH PAINT ROLLER #9 W/ HANDLE</t>
  </si>
  <si>
    <t>LETEC FLEXIBLE HOSE 20'' (Water)</t>
  </si>
  <si>
    <t>LETEC</t>
  </si>
  <si>
    <t>LETEC ANGLE VALVE Model #5645</t>
  </si>
  <si>
    <t>LETEC ANGLE VALVE Model #5650</t>
  </si>
  <si>
    <t>WATER METER (CHINA)</t>
  </si>
  <si>
    <t>TYROLIT CUTTING DISC 4''</t>
  </si>
  <si>
    <t>BRASS FAUCET (PLAIN BIBB)</t>
  </si>
  <si>
    <t>LPG REGULATOR SMALL (Kornileu)</t>
  </si>
  <si>
    <t>KORNILEU</t>
  </si>
  <si>
    <t>LPG REGULATOR BIG (Kornileu)</t>
  </si>
  <si>
    <t>PHILDEX FAUCET #5113</t>
  </si>
  <si>
    <t>PHILDEX</t>
  </si>
  <si>
    <t>SATURN TELEPHONE SHOWER #2714</t>
  </si>
  <si>
    <t>SATURN</t>
  </si>
  <si>
    <t>SATURN TELEPHONE SHOWER #2709</t>
  </si>
  <si>
    <t>LETEC 2 WAY FAUCET #5663</t>
  </si>
  <si>
    <t>GOOSENECK FAUCET #8023</t>
  </si>
  <si>
    <t>GOOSENECK</t>
  </si>
  <si>
    <t>GYPSUM SCREW WOOD 1 1/4 (3box 800pcs each box)</t>
  </si>
  <si>
    <t>GYPSUM</t>
  </si>
  <si>
    <t>GYPSUM SCREW WOOD 2 (3box 500pcs each box)</t>
  </si>
  <si>
    <t>GYPSUM SCREW WOOD 1 1/2 (2box 600pcs each box)</t>
  </si>
  <si>
    <t>GYPSUM SCREW METAL 1 1/4 (3box 800pcs each box)</t>
  </si>
  <si>
    <t>GYPSUM SCREW METAL 2 (3box 500pcs each box)</t>
  </si>
  <si>
    <t>BLIND RIVETS 1/8 x 3/4 (3box)</t>
  </si>
  <si>
    <t>LOTUS DRILL BIT</t>
  </si>
  <si>
    <t>HAUSMANN DRILL BIT (Masonry 5mm)</t>
  </si>
  <si>
    <t>HAUSMANN DRILL BIT (Masonry 6mm)</t>
  </si>
  <si>
    <t>LOTUS MASONRY DRILL BIT (size 10)</t>
  </si>
  <si>
    <t>LOTUS HSS-CO DRILL BIT 5/64''</t>
  </si>
  <si>
    <t>LOTUS HSS-G DRILL BIT 3/32''</t>
  </si>
  <si>
    <t>CYLINDRICAL HINGES 1/2</t>
  </si>
  <si>
    <t>HOOK&amp;EYE 5/16 TURN BUCKLE</t>
  </si>
  <si>
    <t>HOOK&amp;EYE</t>
  </si>
  <si>
    <t>HOOK&amp;EYE 1/4 TURN BUCKLE</t>
  </si>
  <si>
    <t>EGRET PADLOCK 25mm</t>
  </si>
  <si>
    <t>EGRET</t>
  </si>
  <si>
    <t>EGRET PADLOCK 20mm</t>
  </si>
  <si>
    <t>REGINA HYDRAULIC BUFFERING (Hinges)</t>
  </si>
  <si>
    <t>REGINA</t>
  </si>
  <si>
    <t>PIONEER BUILDER'S BOND POUCH 100g</t>
  </si>
  <si>
    <t>PIONEER</t>
  </si>
  <si>
    <t>WINCRAFT CONCELLED HINGES FULL-OVERLAY(CHF-C1)</t>
  </si>
  <si>
    <t>WINCRAFT CONCELLED HINGES HALF-OVERLAY(CHH-C2)</t>
  </si>
  <si>
    <t>WINCRAFT CONCELLED HINGES INSET(CH1-C3)</t>
  </si>
  <si>
    <t>WINCRAFT HYDRAULIC SOFT-CLOSING CONCELLED HINGES FULL-OVERLY(CSF-CS1)</t>
  </si>
  <si>
    <t>WINCRAFT HYDRAULIC SOFT-CLOSING CONCELLED HINGES HALF-OVERLY(CSH-CS2)</t>
  </si>
  <si>
    <t>WINCRAFT HYDRAULIC SOFT-CLOSING CONCELLED HINGES INSET (CSI-CS3)</t>
  </si>
  <si>
    <t>EGRET PADLOCK 30mm</t>
  </si>
  <si>
    <t>FLOOR SANDING #60 3meter</t>
  </si>
  <si>
    <t>FLOOR SANDING #80 3meter</t>
  </si>
  <si>
    <t>FLOOR SANDING #100 3meter</t>
  </si>
  <si>
    <t>MASKING TAPE 1/2 (Hunter)</t>
  </si>
  <si>
    <t>HUNTER CYLINDRICAL LOCKSET #587 SS</t>
  </si>
  <si>
    <t>HUNTER CYLINDRICAL LOCKSET #588 AB</t>
  </si>
  <si>
    <t>CONCRETE NAIL #1 25 kilos @72 per kilo</t>
  </si>
  <si>
    <t>CONCRETE NAIL #3 25 kilos @72 per kilo</t>
  </si>
  <si>
    <t>FINISHING NAIL #2 per 1kilo</t>
  </si>
  <si>
    <t>GRAND MASTER LACQUER THINNER</t>
  </si>
  <si>
    <t>GRAND MASTER</t>
  </si>
  <si>
    <t>NYLON CABLE TIE 3mm x 60mm (500pcs)</t>
  </si>
  <si>
    <t>SCHT</t>
  </si>
  <si>
    <t>NYLON CABLE TIE 3mm x 100mm (80pcs)</t>
  </si>
  <si>
    <t>NYLON CABLE TIE 3mm x 200mm (60pcs)</t>
  </si>
  <si>
    <t>NYLON CABLE TIE 4mm x 200mm (100pcs)</t>
  </si>
  <si>
    <t>NYLON CABLE TIE 3mm x 300mm (100pcs)</t>
  </si>
  <si>
    <t>NYLON CABLE TIE 5mm x 350mm (25pcs)</t>
  </si>
  <si>
    <t>NYLON CABLE TIE 3mm x 150mm (80pcs)</t>
  </si>
  <si>
    <t>BOLT ZINC PLATED 5/16 x 2-3/4</t>
  </si>
  <si>
    <t>BOLT ZINC PLATED 3/8 x 1-1/2</t>
  </si>
  <si>
    <t>BOLT ZINC PLATED 1/4 x 3/4</t>
  </si>
  <si>
    <t>BOLT ZINC PLATED 3/8 x 4</t>
  </si>
  <si>
    <t>BOLT ZINC PLATED 5/16 x 3-1/4</t>
  </si>
  <si>
    <t>FLOOR DRAIN (Nice Diamond)</t>
  </si>
  <si>
    <t>PLASTIC PULLY 40mm</t>
  </si>
  <si>
    <t>PLASTIC PULLY 30mm</t>
  </si>
  <si>
    <t>PLASTIC PULLY 25mm</t>
  </si>
  <si>
    <t>METAL PULLY 25mm</t>
  </si>
  <si>
    <t>WHEEL RED (Small)</t>
  </si>
  <si>
    <t>WHEEL BLACK (Small)</t>
  </si>
  <si>
    <t>WHEEL WHITE (Small)</t>
  </si>
  <si>
    <t>WHEEL BLACK (Medium)</t>
  </si>
  <si>
    <t>WHEEL RED (Medium)</t>
  </si>
  <si>
    <t>WHEEL BLUE (Medium)</t>
  </si>
  <si>
    <t>WHEEL ORANGE (Medium)</t>
  </si>
  <si>
    <t>WHEEL CASTER BLACK</t>
  </si>
  <si>
    <t>VULCASEAL 1/4</t>
  </si>
  <si>
    <t>VULCASEAL 1/2</t>
  </si>
  <si>
    <t>NO MORE NAILS 30g</t>
  </si>
  <si>
    <t>NO MORE NAILS 100g</t>
  </si>
  <si>
    <t>RUGBY EXCEL 20g (SACHET)</t>
  </si>
  <si>
    <t>EXCEL</t>
  </si>
  <si>
    <t>RUGBY EXCEL 45ml</t>
  </si>
  <si>
    <t>RUGBY EXCEL 300ml</t>
  </si>
  <si>
    <t>MAJESTA DIAMOND CUTTING WHEEL</t>
  </si>
  <si>
    <t>MAJESTA</t>
  </si>
  <si>
    <t>SUNRISE CUTTING DISC #4</t>
  </si>
  <si>
    <t>SUNRISE</t>
  </si>
  <si>
    <t>SUNRISE GRINDING DISC #4</t>
  </si>
  <si>
    <t>DEVCON S520 small</t>
  </si>
  <si>
    <t>DEVCON</t>
  </si>
  <si>
    <t>NELTEX PVC SOLVENT 200cc</t>
  </si>
  <si>
    <t>NELTEX</t>
  </si>
  <si>
    <t>NELTEX PVC SOLVENT 100cc</t>
  </si>
  <si>
    <t>EASYTITE BODY FILLER (liter)</t>
  </si>
  <si>
    <t>EASYTITE</t>
  </si>
  <si>
    <t>SAHARA</t>
  </si>
  <si>
    <t>PACKAGING CLEAR TAPE</t>
  </si>
  <si>
    <t>SUNRISE FLAP DISC #80</t>
  </si>
  <si>
    <t>SUNRISE FLAP DISC #100</t>
  </si>
  <si>
    <t>SUNRISE FLAP DISC #120</t>
  </si>
  <si>
    <t>SANITARY PVC ELBOW 3x90</t>
  </si>
  <si>
    <t>SANITARY</t>
  </si>
  <si>
    <t>SANITARY PVC ELBOW 4x90</t>
  </si>
  <si>
    <t>WD40 191ml</t>
  </si>
  <si>
    <t>HOSE CLAMP 4''</t>
  </si>
  <si>
    <t>HOSE CLAMP 5''</t>
  </si>
  <si>
    <t>HOSE CLAMP 6''</t>
  </si>
  <si>
    <t>CONCRETE NAIL #4 (per 1kilo) 25kilos</t>
  </si>
  <si>
    <t>BOYSEN ACRYTEX PRIMER #1705 (Gal)</t>
  </si>
  <si>
    <t>FIX ALL TILE ADHESIVE 25kg</t>
  </si>
  <si>
    <t>HACKSAW W/ PVC HANDLE #18 (JENEX)</t>
  </si>
  <si>
    <t>PE PIPE 1/2 x 100m (SDR11 / ISO) ROLL</t>
  </si>
  <si>
    <t>ROLL</t>
  </si>
  <si>
    <t>PE PIPE 3/4 x 100m (SDR11 / ISO) ROLL</t>
  </si>
  <si>
    <t>LEVEL HOSE 5/16'' (150m/ROLL) NEON GREEN EXTRA THICK</t>
  </si>
  <si>
    <t>LEVEL HOSE 1/4'' (150m/ROLL) NEON GREEN EXTRA THICK</t>
  </si>
  <si>
    <t>RUBBER GARDEN HOSE 1/2 x 90m (ROLL) HUNTER</t>
  </si>
  <si>
    <t>RUBBER GARDEN HOSE 3/4 x 60m (ROLL)</t>
  </si>
  <si>
    <t>HOSE NOZZLE BRASS CRESTON CBC-223</t>
  </si>
  <si>
    <t>HOSE NOZZLE BRASS OHAYO</t>
  </si>
  <si>
    <t>CHALK STONE 100 PCS.</t>
  </si>
  <si>
    <t>HOSE CLAMP 1/2</t>
  </si>
  <si>
    <t>HOSE CLAMP 3/4</t>
  </si>
  <si>
    <t>ELECTRODE HOLDER FULL BRASS 300A HUNTER(EHCS-300)</t>
  </si>
  <si>
    <t>INGCO SNAP OFF BLADE KNIFE (HKNS16618)</t>
  </si>
  <si>
    <t>BREAKER INCLOSURE AMERICA</t>
  </si>
  <si>
    <t>PANEL BOARD/NEMA 1 PLUG IN</t>
  </si>
  <si>
    <t>PANEL BOARD/NEMA 1 BOLT ON</t>
  </si>
  <si>
    <t>THHN WIRE 2.0mm (150meter)</t>
  </si>
  <si>
    <t>THHN WIRE 3.5mm (150meter)</t>
  </si>
  <si>
    <t>ROPE 1mm ROLL (200m)</t>
  </si>
  <si>
    <t>ROPE 2.5mm ROLL (200m)</t>
  </si>
  <si>
    <t>ROPE 3mm ROLL (200m)</t>
  </si>
  <si>
    <t>ROPE 3.5mm ROLL (200m)</t>
  </si>
  <si>
    <t>ROPE 4mm ROLL (200m)</t>
  </si>
  <si>
    <t>ROPE 5mm ROLL (200m)</t>
  </si>
  <si>
    <t>ROPE 6mm ROLL (200m)</t>
  </si>
  <si>
    <t>ROPE 7mm ROLL (200m)</t>
  </si>
  <si>
    <t>ROPE 8mm ROLL (200m)</t>
  </si>
  <si>
    <t>ROPE 9mm ROLL (200m)</t>
  </si>
  <si>
    <t>ROPE 10mm ROLL (200m)</t>
  </si>
  <si>
    <t>MOSQUITO NET (60m)</t>
  </si>
  <si>
    <t>1/2 PLASTIC NET (30m)</t>
  </si>
  <si>
    <t>1/8 PLASTIC NET (30m)</t>
  </si>
  <si>
    <t>NYLON</t>
  </si>
  <si>
    <t>B NET (90m)</t>
  </si>
  <si>
    <t>RANGE NET per meter (100m)</t>
  </si>
  <si>
    <t>PALITA/CAZZUOLA</t>
  </si>
  <si>
    <t>TUBULAR 1x1x1.2mm G,I</t>
  </si>
  <si>
    <t>TUBULAR 1x1x1.5mm G,I</t>
  </si>
  <si>
    <t>TUBULAR 2x2x1.5mm G,I</t>
  </si>
  <si>
    <t>TUBULAR 2x2x1.2mm G,I</t>
  </si>
  <si>
    <t>TUBULAR 2x3x1.2mm G,I</t>
  </si>
  <si>
    <t>TUBULAR 2x3x1.5mm G,I</t>
  </si>
  <si>
    <t>TUBULAR 2x4x1.2mm G,I</t>
  </si>
  <si>
    <t>TUBULAR 2x4x1.5mm G,I</t>
  </si>
  <si>
    <t>FLAT BAR 1/8x1 BLUE</t>
  </si>
  <si>
    <t>FLAT BAR 3/16x1 YELLOW</t>
  </si>
  <si>
    <t>FLAT BAR 1/4x1 (SUB) RED</t>
  </si>
  <si>
    <t>FLAT BAR 3/16x1 1/2 YELLOW</t>
  </si>
  <si>
    <t>FLAT BAR 1/4 x 1 1/2 (SUB)</t>
  </si>
  <si>
    <t>FLAT BAR 1/8x2</t>
  </si>
  <si>
    <t>FLAT BAR 3/16x2 YELLOW</t>
  </si>
  <si>
    <t>FLAT BAR 1/4x2 (SUB)</t>
  </si>
  <si>
    <t>TIE WIRE #16 1/2 kilos</t>
  </si>
  <si>
    <t>PVC COUPLING NO.2</t>
  </si>
  <si>
    <t>PVC COUPLING NO.3</t>
  </si>
  <si>
    <t>PVC COUPLING NO.4</t>
  </si>
  <si>
    <t>PVC TEE ELBOW NO.3</t>
  </si>
  <si>
    <t>PVC TEE NO. 4</t>
  </si>
  <si>
    <t>COMMON WIRE NAILS #1 25kls 1/2 kilo</t>
  </si>
  <si>
    <t>COMMON WIRE NAILS #1 1/2 25kls 1/2 kilo</t>
  </si>
  <si>
    <t>COMMON WIRE NAILS #2 25kls 1/2 kilo</t>
  </si>
  <si>
    <t>COMMON WIRE NAILS #2 1/2 25kls 1/2 kilo</t>
  </si>
  <si>
    <t>COMMON WIRE NAILS #3 25kls 1/2kilo</t>
  </si>
  <si>
    <t>COMMON WIRE NAILS #4 25kls 1/2 kilo</t>
  </si>
  <si>
    <t>CONCRETE NAIL #4 1/2 kilo 25kilos</t>
  </si>
  <si>
    <t>CONCRETE NAIL #4 1/4 kilo 25kilos</t>
  </si>
  <si>
    <t>COMMON WIRE NAILS #1 25kls 1/4 kilo</t>
  </si>
  <si>
    <t>COMMON WIRE NAILS #1 1/2 25kls 1/4 kilo</t>
  </si>
  <si>
    <t>COMMON WIRE NAILS #2 25kls 1/4 kilo</t>
  </si>
  <si>
    <t>COMMON WIRE NAILS #2 1/2 25kls 1/4 kilo</t>
  </si>
  <si>
    <t>COMMON WIRE NAILS #3 25kls 1/4 kilo</t>
  </si>
  <si>
    <t>COMMON WIRE NAILS #4 25kls 1/4 kilo</t>
  </si>
  <si>
    <t>FINISHING NAIL #2 1/2 kilo</t>
  </si>
  <si>
    <t>FINISHING NAIL #2 1/4 kilo</t>
  </si>
  <si>
    <t>LED BULB 11W (ECOLUM)</t>
  </si>
  <si>
    <t>ECOLUM</t>
  </si>
  <si>
    <t>LED BULB 13W (ECOLUM)</t>
  </si>
  <si>
    <t>PINLIGHT HOUSING 3 1/2 inches</t>
  </si>
  <si>
    <t>PINLIGHT HOUSING 4 inches</t>
  </si>
  <si>
    <t>PINLIGHT HOUSING 6inches</t>
  </si>
  <si>
    <t>PVC MOULDING 1/2</t>
  </si>
  <si>
    <t>PVC MOULDING 3/4</t>
  </si>
  <si>
    <t>PVC MOULDING 1''</t>
  </si>
  <si>
    <t>TRAPAL 8ft x 100m (per meter)</t>
  </si>
  <si>
    <t>PVC MOULDING 1 1/2</t>
  </si>
  <si>
    <t>TILE GROUT</t>
  </si>
  <si>
    <t>ST NAILS/ST18</t>
  </si>
  <si>
    <t>ST NAILS/ST25</t>
  </si>
  <si>
    <t>BLACK OUTLET 3 GANG</t>
  </si>
  <si>
    <t>FLOOD LIGHT 50W FIREFLY LED</t>
  </si>
  <si>
    <t>FLOOD LIGHT 30W FIREFLY LED</t>
  </si>
  <si>
    <t>FLOOD LIGHT 20W FIREFLY LED</t>
  </si>
  <si>
    <t>MARINE PLYWOOD 3/4'' or 18mm (WOODTEK)</t>
  </si>
  <si>
    <t>WOODTEK</t>
  </si>
  <si>
    <t>SANITARY PVC ELBOW 2X90</t>
  </si>
  <si>
    <t>CONTACT CEMENT 50ml (SHERBOND)</t>
  </si>
  <si>
    <t>SHERBOND</t>
  </si>
  <si>
    <t>GLUE STIKWEL WOOD PARQUET HALF CAN 500G</t>
  </si>
  <si>
    <t>STIKWEL</t>
  </si>
  <si>
    <t>GLUE STIKWEL WOOD PARQUET HALF 1kg</t>
  </si>
  <si>
    <t>GYPSUM SCREW BLACK 6X3/4</t>
  </si>
  <si>
    <t>PALITA</t>
  </si>
  <si>
    <t>HOLCIM EXCEL/CEMENT</t>
  </si>
  <si>
    <t>HOLCIM</t>
  </si>
  <si>
    <t>PLASTIC NET 1/2meter</t>
  </si>
  <si>
    <t>PLASTIC NET 1/4meter</t>
  </si>
  <si>
    <t>METAL SCREW 6X1</t>
  </si>
  <si>
    <t>CONSTRUCTION HELMET</t>
  </si>
  <si>
    <t>2 GANG EXTENSION WIRE BLACK</t>
  </si>
  <si>
    <t>EXTENSION WIRE CHORD OUTLET BLACK&amp;WHITE</t>
  </si>
  <si>
    <t>LAMP HEAD</t>
  </si>
  <si>
    <t>JOSE LOCK 40mm</t>
  </si>
  <si>
    <t>FOCUS STARTER FS-U</t>
  </si>
  <si>
    <t>FOCUS</t>
  </si>
  <si>
    <t>6X4 BOLT</t>
  </si>
  <si>
    <t>6X40 BOLT</t>
  </si>
  <si>
    <t>6X50 BOLT</t>
  </si>
  <si>
    <t>6X75 BOLT</t>
  </si>
  <si>
    <t>8X25 BOLT</t>
  </si>
  <si>
    <t>8X40 BOLT</t>
  </si>
  <si>
    <t>8X50 BOLT</t>
  </si>
  <si>
    <t>8X75 BOLT</t>
  </si>
  <si>
    <t>10X25 BOLT</t>
  </si>
  <si>
    <t>10X40 BOLT</t>
  </si>
  <si>
    <t>10X50 BOLT</t>
  </si>
  <si>
    <t>10X75 BOLT</t>
  </si>
  <si>
    <t>12X25 BOLT</t>
  </si>
  <si>
    <t>12X40 BOLT</t>
  </si>
  <si>
    <t>12X50 BOLT</t>
  </si>
  <si>
    <t>12X75 BOLT</t>
  </si>
  <si>
    <t>1/4X1 W/NUT U-BOLT PIPE</t>
  </si>
  <si>
    <t>1/4X1 1/2 W/NUT U-BOLT PIPE</t>
  </si>
  <si>
    <t>1/4X2 W/NUT U-BOLT PIPE</t>
  </si>
  <si>
    <t>1/4X3 W/NUT U-BOLT PIPE</t>
  </si>
  <si>
    <t>5/16X1 W/NUT U-BOLT PIPE</t>
  </si>
  <si>
    <t>5/16X2 W/NUT U-BOLT PIPE</t>
  </si>
  <si>
    <t>5/16X3 W/NUT U-BOLT PIPE</t>
  </si>
  <si>
    <t>3/8X1 W/NUT U-BOLT PIPE</t>
  </si>
  <si>
    <t>3/8X1 1/2 W/NUT U-BOLT PIPE</t>
  </si>
  <si>
    <t>3/8X2 W/NUT U-BOLT PIPE</t>
  </si>
  <si>
    <t>3/8X3 W/NUT U-BOLT PIPE</t>
  </si>
  <si>
    <t>WASHER</t>
  </si>
  <si>
    <t>JOSE LOCK 30mm</t>
  </si>
  <si>
    <t>STRAW</t>
  </si>
  <si>
    <t>CHINA WELDING ROD #6013 (3/32) 2.5mm 1/2kilo</t>
  </si>
  <si>
    <t>CHINA WELDING ROD #6013 (1/8) 3.2mm 1/2kilo</t>
  </si>
  <si>
    <t>PAINT TRAY</t>
  </si>
  <si>
    <t>NYLON CABLE TIE 3mm x 60mm (per pcs)</t>
  </si>
  <si>
    <t>NYLON CABLE TIE 3mm x 100mm (per pcs)</t>
  </si>
  <si>
    <t>NYLON CABLE TIE 3mm x 200mm (per pcs)</t>
  </si>
  <si>
    <t>NYLON CABLE TIE 4mm x 200mm (per pcs)</t>
  </si>
  <si>
    <t>NYLON CABLE TIE 3mm x 300mm (per pcs)</t>
  </si>
  <si>
    <t>NYLON CABLE TIE 5mm x 350mm (per pcs)</t>
  </si>
  <si>
    <t>NYLON CABLE TIE 3mm x 150mm (per pcs)</t>
  </si>
  <si>
    <t>BLIND REVETS 5/32X1 PER PIECES</t>
  </si>
  <si>
    <t>BLIND REVETS 5/32X3/4 PER PIECES</t>
  </si>
  <si>
    <t>BLIND REVETS 1/8X1 PER PIECES</t>
  </si>
  <si>
    <t>BLIND RIVETS 1/8X1/2 PER PIECES</t>
  </si>
  <si>
    <t>BLIND RIVETS 5/32X1/2 PER PIECES</t>
  </si>
  <si>
    <t>BLIND RIVETS 3/16X1/2 PER PIECES</t>
  </si>
  <si>
    <t>BLIND RIVETS 3/16X3/4 PER PIECES</t>
  </si>
  <si>
    <t>BATTERY CLAMP</t>
  </si>
  <si>
    <t>REDUCER SANITARY 4X2</t>
  </si>
  <si>
    <t>REDUCER SANITARY 3X2</t>
  </si>
  <si>
    <t>REDUCER SANITARY 4X3</t>
  </si>
  <si>
    <t>WELDED SCREEN 1/2 (25METER ROLL)</t>
  </si>
  <si>
    <t>WELDED SCREEN 1/4-GAUGE 19 (25METER ROLL)</t>
  </si>
  <si>
    <t>WYE SANITARY 3X3</t>
  </si>
  <si>
    <t>WYE SANITARY 2X2</t>
  </si>
  <si>
    <t>WYE SANITARY 4X4</t>
  </si>
  <si>
    <t>TEE REDUCER SANITARY 3X2</t>
  </si>
  <si>
    <t>TEE REDUCER SANITARY 4X2</t>
  </si>
  <si>
    <t>COUPLING SANITARY #3</t>
  </si>
  <si>
    <t>COUPLING SANITARY #4</t>
  </si>
  <si>
    <t>COUPLING SANITARY #2</t>
  </si>
  <si>
    <t>TEE SANITARY 2X2</t>
  </si>
  <si>
    <t>TEE SANITARY 4X4</t>
  </si>
  <si>
    <t>P-TRAP SANITARY #3</t>
  </si>
  <si>
    <t>P-TRAP SANITARY #2</t>
  </si>
  <si>
    <t>P-TRAP SANITARY #4</t>
  </si>
  <si>
    <t>MARINE PLYWOOD (LOCAL) 1/4</t>
  </si>
  <si>
    <t>MARINE</t>
  </si>
  <si>
    <t>TUBULAR 1X2X1.2mm G.I</t>
  </si>
  <si>
    <t>TUBULAR 1X2X1.5mm G.I</t>
  </si>
  <si>
    <t>UMBRELLA NAILS 2'' (25kls)</t>
  </si>
  <si>
    <t>ELBOW PLAIN 1/2 (water)</t>
  </si>
  <si>
    <t>CLEAN OUT #2</t>
  </si>
  <si>
    <t>CLEAN OUT #3</t>
  </si>
  <si>
    <t>CLEAN OUT #4</t>
  </si>
  <si>
    <t>CONCRETE NAIL #1 1/2Kilo</t>
  </si>
  <si>
    <t>CONCRETE NAIL #3 1/2Kilo</t>
  </si>
  <si>
    <t>CONCRETE NAIL #1 1/4Kilo</t>
  </si>
  <si>
    <t>CONCRETE NAIL #3 1/4Kilo</t>
  </si>
  <si>
    <t>PVC PIPE SANITARY #4 S900</t>
  </si>
  <si>
    <t>TIE WIRE #16 (ROLL)</t>
  </si>
  <si>
    <t>SAND PAPER #120 (CHAMP)</t>
  </si>
  <si>
    <t>CHAMP</t>
  </si>
  <si>
    <t>MALE ADAPTOR 1/2X1/2 (BLACK)</t>
  </si>
  <si>
    <t>FEMALE ADAPTOR 1/2X1/2 (BLACK)</t>
  </si>
  <si>
    <t>ELBOW SANITARY #2 45DEGREE</t>
  </si>
  <si>
    <t>ELBOW SANITARY #3 45DEGREE</t>
  </si>
  <si>
    <t>ELBOW SANITARY #4 45DEGREE</t>
  </si>
  <si>
    <t>CITI HARDWARE</t>
  </si>
  <si>
    <t>TILE TRIM 8mm</t>
  </si>
  <si>
    <t>TILE TRIM 10mm</t>
  </si>
  <si>
    <t>SURETITE WOOD GLUE</t>
  </si>
  <si>
    <t>SURETITE</t>
  </si>
  <si>
    <t>GLASSES SOTER/GOGGLES BIG</t>
  </si>
  <si>
    <t>GLASSES SOTER/GOGGLES SMALL</t>
  </si>
  <si>
    <t>DAVIES PAINT FLAT LATEX WHITE 1Liter 4</t>
  </si>
  <si>
    <t>DAVIES PAINT LATEX WHITE (Semi-gloss) 1Liter 3</t>
  </si>
  <si>
    <t>DAVIES PAINT LATEX WHITE (gloss) 1Liter 1</t>
  </si>
  <si>
    <t>BOYSEN PAINT CHOCOLATE BROWN 1Gallon 1</t>
  </si>
  <si>
    <t>BOYSEN PAINT BLACK (Quick dry enamel) 1Gallon 2</t>
  </si>
  <si>
    <t>DAVIES PAINT MAPLE (Quick dry enamel) 1Liter 2</t>
  </si>
  <si>
    <t>DAVIES PAINT BLACK (Quick dry enamel) 1Liter 3</t>
  </si>
  <si>
    <t>DAVIES PAINT GREY (Quick dry enamel) 1Liter 2</t>
  </si>
  <si>
    <t>DAVCO TILE GROUT GREY</t>
  </si>
  <si>
    <t>DAVCO</t>
  </si>
  <si>
    <t>DAVCO TILE GROUT BEIGE 2</t>
  </si>
  <si>
    <t>DAVCO TILE GROUT WHITE 4</t>
  </si>
  <si>
    <t>DAVCO TILE GROUT MASTER TERRACOTTA 1</t>
  </si>
  <si>
    <t>TILE GROUT MASTER BLACK 1</t>
  </si>
  <si>
    <t>PPR COUPLING 1/2 PCS 10</t>
  </si>
  <si>
    <t>PPR ELBOW 1/2 PCS 7</t>
  </si>
  <si>
    <t>PPR ELBOW 3/4 PCS 5</t>
  </si>
  <si>
    <t>PPR NIPPLE PCS 6</t>
  </si>
  <si>
    <t>HANDYMAN PRODUCTS</t>
  </si>
  <si>
    <t>ALLIGATOR CLIP BIG</t>
  </si>
  <si>
    <t>HANDYMAN</t>
  </si>
  <si>
    <t>ALLIGATOR CLIP SMALL</t>
  </si>
  <si>
    <t>AUTO FUSE 10amper 20mm</t>
  </si>
  <si>
    <t>BATTERY CLIP 25amper PANTHER</t>
  </si>
  <si>
    <t>PANTHER</t>
  </si>
  <si>
    <t>BATTERY CLIP 50amper PANTHER</t>
  </si>
  <si>
    <t>BOSCH METAL CUTTING DISC</t>
  </si>
  <si>
    <t>DEWALT METAL CUTTING DISC</t>
  </si>
  <si>
    <t>DEWALT</t>
  </si>
  <si>
    <t>DEWALT GRINDING DISC</t>
  </si>
  <si>
    <t>SCREWDRIVER (RATCHETING)</t>
  </si>
  <si>
    <t>RATCHETING</t>
  </si>
  <si>
    <t>AUTO FUSE 3amper 20mm</t>
  </si>
  <si>
    <t>AUTO FUSE 4amper 20mm</t>
  </si>
  <si>
    <t>AUTO FUSE 5amper 20mm</t>
  </si>
  <si>
    <t>AUTO FUSE 6amper 20mm</t>
  </si>
  <si>
    <t>AUTO FUSE 8amper 20mm</t>
  </si>
  <si>
    <t>PLUG BLACK ROUND</t>
  </si>
  <si>
    <t>PLUG BLACK ROUND 3steel</t>
  </si>
  <si>
    <t>PLUMB BOB/TON TON (small)</t>
  </si>
  <si>
    <t>PLUMB BOB/TON TON (medium)</t>
  </si>
  <si>
    <t>PLUM BOB/TON TON (Big)</t>
  </si>
  <si>
    <t>LOTUS MASONRY DRILL BIT (size 8)</t>
  </si>
  <si>
    <t>LOTUS MASONRY DRILL BIT (size 6)</t>
  </si>
  <si>
    <t>LOTUS MASONRY DRILL BIT (size 5)</t>
  </si>
  <si>
    <t>LOTUS MASONRY DRILL BIT (size 4)</t>
  </si>
  <si>
    <t>THHN WIRE 2.0mm (1/2meter)</t>
  </si>
  <si>
    <t>THHN WIRE 3.5mm (1/2meter)</t>
  </si>
  <si>
    <t>COCO LUMBER 2X3X12</t>
  </si>
  <si>
    <t>COCO LUMBER 2X2X12</t>
  </si>
  <si>
    <t>METAL STUDS 3''( NIPISON) DDY</t>
  </si>
  <si>
    <t>NIPISON</t>
  </si>
  <si>
    <t>COCO LUMBER 2X6X12</t>
  </si>
  <si>
    <t>COCO LUMBER 2X4X12</t>
  </si>
  <si>
    <t>COCO LUMBER 2X2X8</t>
  </si>
  <si>
    <t>SANITARY TEE 4x4</t>
  </si>
  <si>
    <t>DOOR KNOB HEAVY DUTY</t>
  </si>
  <si>
    <t>TIE WIRE 1/2Kilo</t>
  </si>
  <si>
    <t>RODELLA /PLANTSA</t>
  </si>
  <si>
    <t>WEATHERPROOF PLATE COVER</t>
  </si>
  <si>
    <t>HOLLOWBLOCK</t>
  </si>
  <si>
    <t>WD-40 Small</t>
  </si>
  <si>
    <t>WD40</t>
  </si>
  <si>
    <t>HARDINAILS 1/2kilo</t>
  </si>
  <si>
    <t>SHENLING PAD LOCK 30mm</t>
  </si>
  <si>
    <t>SHENLING</t>
  </si>
  <si>
    <t>SHENLING PAD LOCK 40mm</t>
  </si>
  <si>
    <t>SHENLING PAD LOCK 50mm</t>
  </si>
  <si>
    <t>BRUSHLINE PAINT BRUSH 3''</t>
  </si>
  <si>
    <t>BRUSHLINE</t>
  </si>
  <si>
    <t>BRUSHLINE PAINT BRUSH 4''</t>
  </si>
  <si>
    <t>BRUSHLINE PAINT BRUSH 1''</t>
  </si>
  <si>
    <t>BRUSHLINE PAINT BRUSH 1-1/2''</t>
  </si>
  <si>
    <t>BRUSHLINE PAINT BRUSH 2-1/2''</t>
  </si>
  <si>
    <t>TACOMA DUCT TAPE SMALL</t>
  </si>
  <si>
    <t>TACOMA</t>
  </si>
  <si>
    <t>BOYSEN OIL TINT VENETIAN RED #2317 ( 1/4Litter )</t>
  </si>
  <si>
    <t>BOYSEN LACQUER FLO #1205 1Liter</t>
  </si>
  <si>
    <t>BOYSEN OIL TINT F. YELLOW OCRE #2307 ( 1/4Litter )</t>
  </si>
  <si>
    <t>BOYSEN OIL TINT LAMP BLACK #2318 ( 1/4Litter )</t>
  </si>
  <si>
    <t>BOYSEN OIL TINT RAW SIENNA #2314 (1/4Litter )</t>
  </si>
  <si>
    <t>BOYSEN OIL TINT THALO BLUE #2306 ( 1/4Litter )</t>
  </si>
  <si>
    <t>BOYSEN OIL TINT THALO GREEN #2303 ( 1/4Litter )</t>
  </si>
  <si>
    <t>MASKING TAPE 1''</t>
  </si>
  <si>
    <t>MASKING TAPE 3/4''</t>
  </si>
  <si>
    <t>UMBRELLA NAILS 2'' 1/2kl</t>
  </si>
  <si>
    <t>UMBRELLA NAILS 2'' 1/4kl</t>
  </si>
  <si>
    <t>FUJI WELDING ROD #6012 ( 1/8 )</t>
  </si>
  <si>
    <t>DRILL BIT ( KYRT )</t>
  </si>
  <si>
    <t>SUNCRUISES R-91</t>
  </si>
  <si>
    <t>SUNCRUISES R-94</t>
  </si>
  <si>
    <t>STRAW BLACK BIG</t>
  </si>
  <si>
    <t>WELCOAT ENAMEL RED 1/4Liter</t>
  </si>
  <si>
    <t>CRESTON PLIER 6'' LONGNOSE ( LNP-306 )</t>
  </si>
  <si>
    <t>CRESTON</t>
  </si>
  <si>
    <t>CRESTON PLIER 7'' COMBINATION ( CMB-307 )</t>
  </si>
  <si>
    <t>CRESTON PLIER 8'' COMBINATION (CMB-308)</t>
  </si>
  <si>
    <t>TUBULAR 1x1x1.2mm B,I</t>
  </si>
  <si>
    <t>TUBULAR</t>
  </si>
  <si>
    <t>TUBULAR 1x1x1.5mm B,I</t>
  </si>
  <si>
    <t>TUBULAR 2x2x1.5mm B,I</t>
  </si>
  <si>
    <t>TUBULAR 2x2x1.2mm B,I</t>
  </si>
  <si>
    <t>TUBULAR 2x3x1.2mm B,I</t>
  </si>
  <si>
    <t>TUBULAR 2x3x1.5mm B,I</t>
  </si>
  <si>
    <t>TUBULAR 2x4x1.2mm B,I</t>
  </si>
  <si>
    <t>TUBULAR 2x4x1.5mm B,I</t>
  </si>
  <si>
    <t>TUBULAR 1X2X1.2mm B'I</t>
  </si>
  <si>
    <t>TUBULAR 1X2X1.5mm B'I</t>
  </si>
  <si>
    <t>TUBULAR 1X2X1.2mm G'I</t>
  </si>
  <si>
    <t>TUBULAR 1X2X1.5mm G'I</t>
  </si>
  <si>
    <t>ORDINARY PLYWOOD 4MM 1/4 X4X8-HCH(Local) CDO-HARDWARE</t>
  </si>
  <si>
    <t>CDO-HARDWARE</t>
  </si>
  <si>
    <t>NATION RED OXIDE 1GAL</t>
  </si>
  <si>
    <t>CONCRETE NAIL 1 1/2 1kilo</t>
  </si>
  <si>
    <t>CONCRETE NAIL 1 1/2 1/2kilo</t>
  </si>
  <si>
    <t>CONCRETE NAIL 1 1/2 1/4kilo</t>
  </si>
  <si>
    <t>ANGLE BAR 1/8X1 4.4Kilo BLUE ( IGPIT )</t>
  </si>
  <si>
    <t>IGPIT</t>
  </si>
  <si>
    <t>ANGLE BAR 3/16X1 5.4Kilo GREEN ( IGPIT )</t>
  </si>
  <si>
    <t>ANGLE BAR 1/4X1 6.4Kilo YELLOW ( DJN )</t>
  </si>
  <si>
    <t>DJN</t>
  </si>
  <si>
    <t>ANGLE BAR 1/4X1 3MM GREEN ( DJN )</t>
  </si>
  <si>
    <t>ANGLE BAR 1/4X1 8.4Kilo ORANGE ( IGPIT )</t>
  </si>
  <si>
    <t>ANGLE BAR 1/4X1 10.4Kilo WHITE ( DJN )</t>
  </si>
  <si>
    <t>ANGLE BAR 1/8X1-1/2 7Kilo BLUE ( DJN )</t>
  </si>
  <si>
    <t>ANGLE BAR 3/16X1-1/2 8.5Kilo RED ( IGPIT )</t>
  </si>
  <si>
    <t>ANGLE BAR 3/16X1-1/2 10Kilo YELLOW ( DJN )</t>
  </si>
  <si>
    <t>ANGLE BAR 1/4X1-1/2 11.5Kilo GREEN ( DJN )</t>
  </si>
  <si>
    <t>ANGLE BAR 1/4X1-1/2 13Kilo ORANGE ( DJN )</t>
  </si>
  <si>
    <t>ANGLE BAR 1/4X1-1/2 14.5Kilo VIOLET ( DJN )</t>
  </si>
  <si>
    <t>ANGLE BAR 1/4X1-1/2 16Kilo WHITE ( DJN )</t>
  </si>
  <si>
    <t>ANGLE BAR 1/4X1-1/2 19Kilo BROWN ( DJN )</t>
  </si>
  <si>
    <t>FLAT BAR 1/8X1 BLUE ( DJN )</t>
  </si>
  <si>
    <t>FLAT BAR 3/16X1 YELLOW ( DJN )</t>
  </si>
  <si>
    <t>FLAT BAR 1/4X1 (SUB) RED ( DJN )</t>
  </si>
  <si>
    <t>FLAT BAR 3/8X1 PURPLE ( DJN )</t>
  </si>
  <si>
    <t>FLAT BAR 1/8X1-1/4 BLUE ( DJN )</t>
  </si>
  <si>
    <t>FLAT BAR 3/16X1-1/2 YELLOW ( DJN )</t>
  </si>
  <si>
    <t>FLAT BAR 1/4X1-1/2 (SUB) RED ( DJN )</t>
  </si>
  <si>
    <t>FLAT BAR 3/8X1-1/2 PURPLE ( DJN )</t>
  </si>
  <si>
    <t>FLAT BAR 1/8X2 PURPLE ( DJN )</t>
  </si>
  <si>
    <t>FLAT BAR 3/16X2 YELLOW ( DJN )</t>
  </si>
  <si>
    <t>FLAT BAR 1/4X2 (SUB) RED ( DJN )</t>
  </si>
  <si>
    <t>FLAT BAR 3/8X2 PURPLE ( DJN )</t>
  </si>
  <si>
    <t>MARINE EPOXY 1L QUART</t>
  </si>
  <si>
    <t>NIPPLE G'I 12X3</t>
  </si>
  <si>
    <t>NIPPLE G'I 12X4</t>
  </si>
  <si>
    <t>METAL TRACKS 0.4</t>
  </si>
  <si>
    <t>BOSCH DRILL BIT 1/8 NEW</t>
  </si>
  <si>
    <t>ARMOR DRILL BIT 1/8</t>
  </si>
  <si>
    <t>ARMOR</t>
  </si>
  <si>
    <t>STICKWELL WOOD GLUE 1KG</t>
  </si>
  <si>
    <t>STICKWELL</t>
  </si>
  <si>
    <t>STICKWELL WOOD GLUE 1/2KG</t>
  </si>
  <si>
    <t>ELECTROWELD WELDING ROD 3/32 20KG</t>
  </si>
  <si>
    <t>ELECTROWELD</t>
  </si>
  <si>
    <t>ELECTROWELD WELDING ROD 3/32 1/2KG</t>
  </si>
  <si>
    <t>VULCASEAL 1L</t>
  </si>
  <si>
    <t>VULCASEAL</t>
  </si>
  <si>
    <t>WELCOAT FLAT WALL ENAMEL WEF2060 1L</t>
  </si>
  <si>
    <t>WELCOAT FLAT WALL ENAMEL WEF2060 1GAL</t>
  </si>
  <si>
    <t>WELCOAT QDE CHOCO BROWN 4580 1/4L</t>
  </si>
  <si>
    <t>PACKAGING TAPE BROWN BIG- BME</t>
  </si>
  <si>
    <t>GLOVES ORANGE- BME</t>
  </si>
  <si>
    <t>BME</t>
  </si>
  <si>
    <t>WELDING ROD HARDY PER BOX</t>
  </si>
  <si>
    <t>NYLON BIG</t>
  </si>
  <si>
    <t>MAHOGANY LUMBER 1 X 2 X 8</t>
  </si>
  <si>
    <t>MAHOGANY LUMBER 1 X 2 X 6</t>
  </si>
  <si>
    <t>MAHOGANY LUMBER 1 X 2 X 4</t>
  </si>
  <si>
    <t>MAHOGANY LUMBER 2 X 2 X 8</t>
  </si>
  <si>
    <t>KYK-HSS DRILL BIT 1/8</t>
  </si>
  <si>
    <t>KYK-HSS</t>
  </si>
  <si>
    <t>HARDIE JOINT</t>
  </si>
  <si>
    <t>LOTUS MASONRY DRILL BIT ( size 3 )</t>
  </si>
  <si>
    <t>ROLLER REFILL 4''</t>
  </si>
  <si>
    <t>REPUBLIC CEMENT</t>
  </si>
  <si>
    <t>BAG</t>
  </si>
  <si>
    <t>SIN (CHINA) 8FT</t>
  </si>
  <si>
    <t>SIN (CHINA) 10FT</t>
  </si>
  <si>
    <t>SIN (CHINA) 12FT</t>
  </si>
  <si>
    <t>FUJI WELDING ROD #6012 ( 1/8 ) 1/2KL</t>
  </si>
  <si>
    <t>FUJI</t>
  </si>
  <si>
    <t>SOLDIRING WIRE</t>
  </si>
  <si>
    <t>NANO TAPE</t>
  </si>
  <si>
    <t>SINGER ALL PURPOSE OIL 100cc</t>
  </si>
  <si>
    <t>SINGER</t>
  </si>
  <si>
    <t>BOYSEN WHITE (QDE) #600</t>
  </si>
  <si>
    <t>RUST CONVERTER WELCOAT-PWRCO276 1Liter</t>
  </si>
  <si>
    <t>SQUARE BAR 10MM (YELLOW)</t>
  </si>
  <si>
    <t>KAWAYAN 6FT BUNDLE</t>
  </si>
  <si>
    <t>BNDL</t>
  </si>
  <si>
    <t>KAWAYAN 10FT BUNDLE</t>
  </si>
  <si>
    <t>CARBIDE CALSON MACH 3/8</t>
  </si>
  <si>
    <t>RUGBY 1GAL</t>
  </si>
  <si>
    <t>RUGBY 1Liter</t>
  </si>
  <si>
    <t>GRAND MASTER VARNISH-MAHOGANY</t>
  </si>
  <si>
    <t>GRAND MASTER VARNISH-BROWN</t>
  </si>
  <si>
    <t>GRAND MASTER VARNISH-MAPLE</t>
  </si>
  <si>
    <t>GRAND MASTER VARNISH-NATURAL</t>
  </si>
  <si>
    <t>GRAND MASTER VARNISH-RED</t>
  </si>
  <si>
    <t>GRAND MASTER VARNISH-WALNUT</t>
  </si>
  <si>
    <t>GRAND MASTER VARNISH-YELLOW OCRE</t>
  </si>
  <si>
    <t>CEMENT PER KILO</t>
  </si>
  <si>
    <t>DE FORM BAR 16MM</t>
  </si>
  <si>
    <t>DE FORM BAR 12MM</t>
  </si>
  <si>
    <t>MAHOGANY BUNDLE 1X2X10</t>
  </si>
  <si>
    <t>MAHOGANY BUNDLE 1X2X8</t>
  </si>
  <si>
    <t>GARDEN WIRE 1.6X10meter</t>
  </si>
  <si>
    <t>IRON WIRE 10X30meter</t>
  </si>
  <si>
    <t>DUCT TAPE</t>
  </si>
  <si>
    <t>SPRAY GUN</t>
  </si>
  <si>
    <t>WATER PIPE CONNECTOR</t>
  </si>
  <si>
    <t>GARDEN TOOL</t>
  </si>
  <si>
    <t>TEE 1''</t>
  </si>
  <si>
    <t>G'I ELBOW 1''</t>
  </si>
  <si>
    <t>STREET BEND 1''</t>
  </si>
  <si>
    <t>G'I ELBOW 3/4''</t>
  </si>
  <si>
    <t>G'I TEE 1/2''</t>
  </si>
  <si>
    <t>G'I ELBOW 1/2</t>
  </si>
  <si>
    <t>G'I COUPLING 3/4''</t>
  </si>
  <si>
    <t>NIPPLE 1/2X5</t>
  </si>
  <si>
    <t>NIPPLE 1/2X4</t>
  </si>
  <si>
    <t>NIPPLE 1/2X3</t>
  </si>
  <si>
    <t>NIPPLE 1/2X2</t>
  </si>
  <si>
    <t>NIPPLE 1/2XC</t>
  </si>
  <si>
    <t>TEE PIPE FITTINGS</t>
  </si>
  <si>
    <t>ORDINARY PLYWOOD 1/2 ALFA/IMPERIAL ( BME )</t>
  </si>
  <si>
    <t>MARINE PLYWOOD 1/2 EAGLE/PAN-ASIA ( BME )</t>
  </si>
  <si>
    <t>PVC GATE BULB</t>
  </si>
  <si>
    <t>BICYCLE TIRE REPAIR KIT</t>
  </si>
  <si>
    <t>MIGHTY GASKET BIG</t>
  </si>
  <si>
    <t>MIGHTY</t>
  </si>
  <si>
    <t>MIGHTY GASKET MED</t>
  </si>
  <si>
    <t>MIGHTY GASKET SMALL</t>
  </si>
  <si>
    <t>SURTITE MED</t>
  </si>
  <si>
    <t>SURTITE</t>
  </si>
  <si>
    <t>SURTITE BIG</t>
  </si>
  <si>
    <t>DE FORM BAR 10MM (NEW PRICE)</t>
  </si>
  <si>
    <t>MESH TAPE</t>
  </si>
  <si>
    <t>TOX MUSTARD YELLOW</t>
  </si>
  <si>
    <t>TOX ORANGE</t>
  </si>
  <si>
    <t>CTX CONCEALED HINGE FULL-OVERLAY</t>
  </si>
  <si>
    <t>TEE REDUCER SANITARY 3/4X1/2 (BLACK)</t>
  </si>
  <si>
    <t>MALE ELBOW SANITARY 1/2X1/2 (BLACK)</t>
  </si>
  <si>
    <t>FEMALE ELBOW SANITARY 1/2X1/2 (BLACK)</t>
  </si>
  <si>
    <t>MALE TEE SANITARY 1/2X1/2 (BLACK)</t>
  </si>
  <si>
    <t>CLEAN OUT- END CUP SANITARY (BLACK)</t>
  </si>
  <si>
    <t>MIGHTY BOND SMALL</t>
  </si>
  <si>
    <t>MIGHTY BOND BIG</t>
  </si>
  <si>
    <t>HOSE CONECTOR</t>
  </si>
  <si>
    <t>FEDERAL NON-SAQ EPOXY 1/4 Pint</t>
  </si>
  <si>
    <t>FEDERAL</t>
  </si>
  <si>
    <t>DAVIES SILVER FINISH</t>
  </si>
  <si>
    <t>MASONRY #3 IRWIN ( BARINA )</t>
  </si>
  <si>
    <t>DRILL BIT 1/8 MASONRY SUN AMES</t>
  </si>
  <si>
    <t>CUTTING DISC SUNRISE - YELLOW</t>
  </si>
  <si>
    <t>TARTAN PLAIN SHEET 0.3 - DJN</t>
  </si>
  <si>
    <t>ROLLER REFILL 9''</t>
  </si>
  <si>
    <t>ROLLER REFILL 7''</t>
  </si>
  <si>
    <t>PALITA BIG</t>
  </si>
  <si>
    <t>WOOD/SIDE SCRAPER 6''</t>
  </si>
  <si>
    <t>WOOD/SIDE SCRAPER 8''</t>
  </si>
  <si>
    <t>STICK GLUE BIG</t>
  </si>
  <si>
    <t>STICK GLUE SMALL</t>
  </si>
  <si>
    <t>TEE SANITARY 3X3</t>
  </si>
  <si>
    <t>TEE PLAIN 1/2 ( WATER )</t>
  </si>
  <si>
    <t>PVC PIPE SANITARY #4 ( S600 )</t>
  </si>
  <si>
    <t>DEVCON STEEL EPOXY S5 ( BIG )</t>
  </si>
  <si>
    <t>STICKWELL WOOD GLUE POUCH (250g)</t>
  </si>
  <si>
    <t>PIONEER MARINE EPOXY -1/2 pint</t>
  </si>
  <si>
    <t>BOSTIK MARINE EPOXY EL HENERAL (1/4 litter)</t>
  </si>
  <si>
    <t>BOSTIK</t>
  </si>
  <si>
    <t>PIONEER MARINE EPOXY -pint</t>
  </si>
  <si>
    <t>TEE REDUCER SANITARY 4X3</t>
  </si>
  <si>
    <t>WINCRAFT CUTTING DISC 14'' FOR CUT-OFF</t>
  </si>
  <si>
    <t>WELDING ROD 3/32 ( 2B )</t>
  </si>
  <si>
    <t>TEFLON WHITE 1/2</t>
  </si>
  <si>
    <t>TEFLON 3/4 PHILDEX</t>
  </si>
  <si>
    <t>LABATORY/SINK</t>
  </si>
  <si>
    <t>SEALANT BROWN</t>
  </si>
  <si>
    <t>SEALANT CLEAR</t>
  </si>
  <si>
    <t>BOYSEN BLACK ( QDE ) 1/4Litter</t>
  </si>
  <si>
    <t>QDE</t>
  </si>
  <si>
    <t>TILE GROUT WHITE ( HANDYMAN )</t>
  </si>
  <si>
    <t>PPR-FEMALE THREAD COUPLING 1/2</t>
  </si>
  <si>
    <t>PPR-FEMALE THREAD TEE 1/2</t>
  </si>
  <si>
    <t>PPR- FEMALE THREAD ELBOW 90'' 1/2</t>
  </si>
  <si>
    <t>ORDINARY PLYWOOD 1/2 - ( DJN )</t>
  </si>
  <si>
    <t>WELDING ROD 3/32 ( 2B ) 1/2kilo</t>
  </si>
  <si>
    <t>EYE/HOOK</t>
  </si>
  <si>
    <t>LOTUS MASONRY DRILL BIT ( size 7 )</t>
  </si>
  <si>
    <t>DRILL BIT DORMER 7/16</t>
  </si>
  <si>
    <t>DRILL BIT DORMER 1/2</t>
  </si>
  <si>
    <t>DRILL BIT DORMER 5/16</t>
  </si>
  <si>
    <t>DRILL BIT DORMER 3/8</t>
  </si>
  <si>
    <t>CIRCUIT BREAKER 60amper BOLT-ON</t>
  </si>
  <si>
    <t>CIRCUIT BREAKER 30amper BOLT-ON</t>
  </si>
  <si>
    <t>CIRCUIT BREAKER 30amper PLUG-IN</t>
  </si>
  <si>
    <t>CIRCUIT BREAKER 20amper PLUG-IN</t>
  </si>
  <si>
    <t>CIRCUIT BREAKER 15amper PLUG-IN</t>
  </si>
  <si>
    <t>FLAT SCREW BIG</t>
  </si>
  <si>
    <t>FLAT SCREW MED</t>
  </si>
  <si>
    <t>FLAT SCREW SMALL</t>
  </si>
  <si>
    <t>FLAT SCREW 6X125mm ( HAUSMAN )</t>
  </si>
  <si>
    <t>HAUSMAN</t>
  </si>
  <si>
    <t>STAR SCREW 6X150mm ( HAUSMAN )</t>
  </si>
  <si>
    <t>STAR SCREW 2X150mm ( HAUSMAN )</t>
  </si>
  <si>
    <t>STAR SCREW 1X150mm ( HAUSMAN )</t>
  </si>
  <si>
    <t>STAR SCREW 2X125mm ( HAUSMAN )</t>
  </si>
  <si>
    <t>FLAT SCREW 5X100mm ( HAUSMAN )</t>
  </si>
  <si>
    <t>FLAT SCREW 5X75mm ( HAUSMAN )</t>
  </si>
  <si>
    <t>STAR SCREW 1X75mm ( HAUSMAN )</t>
  </si>
  <si>
    <t>SAFETY BREAKER 20AMPER</t>
  </si>
  <si>
    <t>SAFETY BREAKER 30AMPER</t>
  </si>
  <si>
    <t>UNION COUPLING 1/2X3/4</t>
  </si>
  <si>
    <t>EVER WATT-HOUR SUB METER</t>
  </si>
  <si>
    <t>EVER</t>
  </si>
  <si>
    <t>TIE WIRE 1/4kilo</t>
  </si>
  <si>
    <t>STAPLE WIRE 1/2 AND 3/4</t>
  </si>
  <si>
    <t>CYCLONE WIRE 4ft X4X4X 6meter</t>
  </si>
  <si>
    <t>CYCLONE WIRE 3ft X4X4X 6meter</t>
  </si>
  <si>
    <t>CYCLONE WIRE 4ft X2X2X 8meter</t>
  </si>
  <si>
    <t>CYCONE WIRE 4ft X2X2X 6meter-- CDO HARDWARE</t>
  </si>
  <si>
    <t>CDO HARDWARE</t>
  </si>
  <si>
    <t>PLAIN ROUND BAR 10mm X 3.7KG</t>
  </si>
  <si>
    <t>OUTLET ADAPTOR</t>
  </si>
  <si>
    <t>AIRCON OUTLET</t>
  </si>
  <si>
    <t>DOOR JAMB 2X5</t>
  </si>
  <si>
    <t>UMBRELLA NAIL #2-1/2 1kilo</t>
  </si>
  <si>
    <t>UMBRELLA NAIL #2-1/2 1/2kilo</t>
  </si>
  <si>
    <t>UMBRELLA NAIL #2-1/2 1/4kilo</t>
  </si>
  <si>
    <t>MAYON LACQUER THINNER GAL.</t>
  </si>
  <si>
    <t>MAYON</t>
  </si>
  <si>
    <t>PLYBOARD 3/4 18mmx4x8ft HCH/OMEGA</t>
  </si>
  <si>
    <t>OMEGA</t>
  </si>
  <si>
    <t>HIKOT</t>
  </si>
  <si>
    <t>TEX SCREW #2'' BOX</t>
  </si>
  <si>
    <t>FINISHING FOAM</t>
  </si>
  <si>
    <t>WASHER M3</t>
  </si>
  <si>
    <t>WASHER M4</t>
  </si>
  <si>
    <t>WASHER M5</t>
  </si>
  <si>
    <t>WASHER M6</t>
  </si>
  <si>
    <t>WASHER M8</t>
  </si>
  <si>
    <t>WASHER M10</t>
  </si>
  <si>
    <t>WASHER M12</t>
  </si>
  <si>
    <t>BOLT EXPANSION 1/4</t>
  </si>
  <si>
    <t>BOLT EXPANSION 5/16</t>
  </si>
  <si>
    <t>BOLT EXPANSION 3/8</t>
  </si>
  <si>
    <t>SAFETY BREAKER 20AMP</t>
  </si>
  <si>
    <t>TOILET BOWL ORDINARY</t>
  </si>
  <si>
    <t>SANITARY WYE REDUCER 3X2</t>
  </si>
  <si>
    <t>THHN WIRE #14/7 ( 2.0 ) 150M B0X</t>
  </si>
  <si>
    <t>THHN WIRE #12/7 ( 3.5 ) 150M BOX</t>
  </si>
  <si>
    <t>MARINE PLYWOOD 1/4 ( China ) - CDO HARDWARE</t>
  </si>
  <si>
    <t>ELECTROWELD WELDING ROD 3/32 1/4kilo</t>
  </si>
  <si>
    <t>SUPERLUM MAX 0.5 10FT -- DJN</t>
  </si>
  <si>
    <t>PLAIN SHEET 0.4X8 -- DJN</t>
  </si>
  <si>
    <t>HARDIE SCREW 3/4</t>
  </si>
  <si>
    <t>MAXWELL PAINT BRUSH #2</t>
  </si>
  <si>
    <t>ISLAND PAINT SEMI-GLOSS RED GAL.</t>
  </si>
  <si>
    <t>FLAT BAR 1/8X1 - CDO HARDWARE</t>
  </si>
  <si>
    <t>PULL BOX 4X6X6</t>
  </si>
  <si>
    <t>PANEL BOX 6 HOLE</t>
  </si>
  <si>
    <t>PANEL BOX 8 HOLE</t>
  </si>
  <si>
    <t>PANEL BOX 10 HOLE</t>
  </si>
  <si>
    <t>HUNTER DOOR KNOB #587-SS</t>
  </si>
  <si>
    <t>HUNTER DOOR KNOB #588-AB</t>
  </si>
  <si>
    <t>HAND RIVITER HUNTER BLACK ( HR-01 )</t>
  </si>
  <si>
    <t>HR-01</t>
  </si>
  <si>
    <t>CRESTON PLIER LONG NOSE 8'' (LNP-308)</t>
  </si>
  <si>
    <t>LNP-308</t>
  </si>
  <si>
    <t>ADJUSTABLE WRENCH 6'' CANON</t>
  </si>
  <si>
    <t>CANON</t>
  </si>
  <si>
    <t>WELCOAT QDE BLACK - WQD1150</t>
  </si>
  <si>
    <t>HARDINAIL 1/4kilo</t>
  </si>
  <si>
    <t>NIKKO SPRAY PAINT ( GRAY )</t>
  </si>
  <si>
    <t>HRC PAINT BRUSH 2''</t>
  </si>
  <si>
    <t>HRC</t>
  </si>
  <si>
    <t>WYE REDUCER 4X3</t>
  </si>
  <si>
    <t>WYE</t>
  </si>
  <si>
    <t>HUNTER SKWALA ( small )</t>
  </si>
  <si>
    <t>HUNTER SKWALA ( medium )</t>
  </si>
  <si>
    <t>HUNTER SKWALA ( big )</t>
  </si>
  <si>
    <t>GATE VALVE- BRASS- KAKING</t>
  </si>
  <si>
    <t>KAKING</t>
  </si>
  <si>
    <t>SUN AMES BROWN HANDLE</t>
  </si>
  <si>
    <t>SUN AMES BLACK HANDLE</t>
  </si>
  <si>
    <t>SUN AMES METAL HANDLE</t>
  </si>
  <si>
    <t>SUN AMES METAL HANDLE SMALL</t>
  </si>
  <si>
    <t>SUN AMES METAL HANDLE MEDIUM</t>
  </si>
  <si>
    <t>HOOK &amp; EYE LARGE</t>
  </si>
  <si>
    <t>HOOK &amp; EYE MEDIUM</t>
  </si>
  <si>
    <t>HOOK &amp; EYE SMALL</t>
  </si>
  <si>
    <t>HOOK &amp; EYE COLOR ( BIG )</t>
  </si>
  <si>
    <t>HOOK &amp; EYE COLOR ( MEDIUM )</t>
  </si>
  <si>
    <t>CUP HOOK 1/4</t>
  </si>
  <si>
    <t>CUP HOOK #2</t>
  </si>
  <si>
    <t>CUP HOOK 1/2</t>
  </si>
  <si>
    <t>GATE VALVE 3/4- BRASS- CITY HARDWARE</t>
  </si>
  <si>
    <t>CITY HARDWARE</t>
  </si>
  <si>
    <t>G'I NIPPLE 3/4</t>
  </si>
  <si>
    <t>GATE VALVE 3/4- BRASS- RSO HARDWARE COGON</t>
  </si>
  <si>
    <t>RSO HARDWARE</t>
  </si>
  <si>
    <t>ENTRANCE CAP 3/4</t>
  </si>
  <si>
    <t>ENTRANCE CAP 1/2</t>
  </si>
  <si>
    <t>QUICK FIX TILE ADHESIVE</t>
  </si>
  <si>
    <t>SIN PRINCE G26 0.13 8FT</t>
  </si>
  <si>
    <t>SIN PRINCE G26 0.13 12FT</t>
  </si>
  <si>
    <t>PAINT ROLLER 4'' ( 2B )</t>
  </si>
  <si>
    <t>PAINT BRUSH 1/2 ( 2B )</t>
  </si>
  <si>
    <t>PAINT BRUSH 3/4 ( 2B )</t>
  </si>
  <si>
    <t>PAINT BRUSH 1'' ( 2B )</t>
  </si>
  <si>
    <t>PAINT BRUSH 2'' ( 2B )</t>
  </si>
  <si>
    <t>GOMA</t>
  </si>
  <si>
    <t>DYNA GRIP LONGNOSE #8 ( STANLEY )</t>
  </si>
  <si>
    <t>HAND RIVITER ( STANLEY )</t>
  </si>
  <si>
    <t>LOCK PLIER #10 ( STANLEY )</t>
  </si>
  <si>
    <t>DYNA GRIP PLIER #7 ( STANLEY )</t>
  </si>
  <si>
    <t>AVIATION SNIPS ( STANLEY )</t>
  </si>
  <si>
    <t>TAPE MEASURE 3M ( STANLEY )</t>
  </si>
  <si>
    <t>TAPE MEASURE 5M ( STANLEY )</t>
  </si>
  <si>
    <t>TAPE MEASURE 8M ( GREENFIELD )</t>
  </si>
  <si>
    <t>GREENFIELD</t>
  </si>
  <si>
    <t>TAPE MEASURE 5M ( GREENFIELD )</t>
  </si>
  <si>
    <t>RUBBER HUMMER MALLET ( GREENFIELD )</t>
  </si>
  <si>
    <t>SLIP JOINT PLIER #8 ( GREENFIELD )</t>
  </si>
  <si>
    <t>COMBINATION PLIER #6 ( GREENFIELD )</t>
  </si>
  <si>
    <t>LONGNOSE PLIER #5 ( GREENFIELD )</t>
  </si>
  <si>
    <t>LONGNOSE PLIER #8 ( GREENFIELD )</t>
  </si>
  <si>
    <t>MINI LONG NOSE PLIERS #5 ( GREENFIELD )</t>
  </si>
  <si>
    <t>MINI COMBINATION PLIER #5 ( GREENFIELD )</t>
  </si>
  <si>
    <t>HANDSAW #20 ( GEENFIELD )</t>
  </si>
  <si>
    <t>TIN SNIP #12 ( GREENFIELD )</t>
  </si>
  <si>
    <t>LOCKING PLIERS - STRAIGHT JAW #7 ( GREENFIELD )</t>
  </si>
  <si>
    <t>HAMMER ( GREENFIELD )</t>
  </si>
  <si>
    <t>STANDARD #10MM</t>
  </si>
  <si>
    <t>STANDARD</t>
  </si>
  <si>
    <t>WATERPROOP DUCT TAPE</t>
  </si>
  <si>
    <t>WATERPROOP</t>
  </si>
  <si>
    <t>HINGES 3X3 ( 2B )</t>
  </si>
  <si>
    <t>2B</t>
  </si>
  <si>
    <t>COMBINATION PLIER #7 ( 2B )</t>
  </si>
  <si>
    <t>PALITA BLUE HANDLE 8''</t>
  </si>
  <si>
    <t>PALITA BLUE HANDLE 6''</t>
  </si>
  <si>
    <t>INGCO MEASURING TAPE 30MTR</t>
  </si>
  <si>
    <t>INGCO</t>
  </si>
  <si>
    <t>BOSCH METAL DRILL BIT 3/16</t>
  </si>
  <si>
    <t>BOSCH METAL DRILL BIT 1/4</t>
  </si>
  <si>
    <t>BOSCH METAL DRILL BIT 1/2</t>
  </si>
  <si>
    <t>BOSCH METAL DRILL BIT 5/16</t>
  </si>
  <si>
    <t>CABLE TIE #6</t>
  </si>
  <si>
    <t>CABLE TIE #5</t>
  </si>
  <si>
    <t>CABLE TIE #3</t>
  </si>
  <si>
    <t>CABLE TIE #12</t>
  </si>
  <si>
    <t>CABLE TIE #8</t>
  </si>
  <si>
    <t>CABLE TIE #6 pcs</t>
  </si>
  <si>
    <t>CABLE TIE #5 pcs</t>
  </si>
  <si>
    <t>CABLE TIE #3 pcs</t>
  </si>
  <si>
    <t>CABLE TIE #12 pcs</t>
  </si>
  <si>
    <t>CABLE TIE #8 pcs</t>
  </si>
  <si>
    <t>PVC PIPE ORANGE 1''</t>
  </si>
  <si>
    <t>END CAP 1/2</t>
  </si>
  <si>
    <t>SILHIG LANOT</t>
  </si>
  <si>
    <t>KAWAYAN 8FT BUNDLE</t>
  </si>
  <si>
    <t>HOLCIM CEMENT ( REYMOND PRICE )</t>
  </si>
  <si>
    <t>REYMOND PRICE</t>
  </si>
  <si>
    <t>PPR-PN16 PIPE 20mm ( 1/2 )</t>
  </si>
  <si>
    <t>PPR</t>
  </si>
  <si>
    <t>PPR-PN16 PIPE 25mm ( 3/4 )</t>
  </si>
  <si>
    <t>PPR-PN20 PIPE 20mm ( 1/2 )</t>
  </si>
  <si>
    <t>PPR-PN20 PIPE 25mm ( 3/4 )</t>
  </si>
  <si>
    <t>PPR- LITE PIPE 20mm ( 1/2 )</t>
  </si>
  <si>
    <t>PPR-LITE PIPE 25mm ( 3/4 )</t>
  </si>
  <si>
    <t>PPR-MALE THREAD ( 20X1/2X90'' )</t>
  </si>
  <si>
    <t>PPR- COUPLING - ( 25 )</t>
  </si>
  <si>
    <t>PPR-REDUCING COUPLING ( 25X20 )</t>
  </si>
  <si>
    <t>PPR-REDUCING COUPLING ( 32X20 )</t>
  </si>
  <si>
    <t>PPR-FEMALE TREAD TEE ( 25X1/2 )</t>
  </si>
  <si>
    <t>PPR-FEMALE TREAD COUPLING ( 20X3/4 )</t>
  </si>
  <si>
    <t>PPR-FUSION MACHINE ( 20-32 ) ( HEATER )</t>
  </si>
  <si>
    <t>FAUCET ( POLYPROPYLENE )</t>
  </si>
  <si>
    <t>FAUCET ( POLYPROPYLENE ) BLUE</t>
  </si>
  <si>
    <t>YALE LEVERSET ( DOOR KNOB )</t>
  </si>
  <si>
    <t>YALE</t>
  </si>
  <si>
    <t>SQUARE BAR 9MM</t>
  </si>
  <si>
    <t>CUP BRUSH/BARINA</t>
  </si>
  <si>
    <t>SKIMCOAT PER KILO</t>
  </si>
  <si>
    <t>FLEXIBLE HOSE SINGLE ( WATER )</t>
  </si>
  <si>
    <t>DIAMOND CUTTING WHEEL ULTRA THIN</t>
  </si>
  <si>
    <t>CONCRETE STAPLE ( WHITE )</t>
  </si>
  <si>
    <t>10MM KABILYA ( DISCOUNTED PRICE )</t>
  </si>
  <si>
    <t>TOC DOORKNOB 5731 SSB</t>
  </si>
  <si>
    <t>DAVIES WATERPROOPING PAINT GAL.</t>
  </si>
  <si>
    <t>COMMON NAIL #4 ( CARTOON )</t>
  </si>
  <si>
    <t>LACQUER WHITE ( AUTO )</t>
  </si>
  <si>
    <t>LACQUER PRIMER ( AUTO )</t>
  </si>
  <si>
    <t>TRASH BAG BIG</t>
  </si>
  <si>
    <t>PRIMA SIMI-GLOSS WHITE</t>
  </si>
  <si>
    <t>PRIMA</t>
  </si>
  <si>
    <t>HAYAGAN 1/2METER</t>
  </si>
  <si>
    <t>PVC PIPE SANITARY #4 ( 1000 )</t>
  </si>
  <si>
    <t>PIONEER ELASTOSEAL 1/4L</t>
  </si>
  <si>
    <t>BOYSEN QDE CHOCO-BROWN 1/4L #680</t>
  </si>
  <si>
    <t>BOYSEN SEMI-GLOSS LATEX WHITE 1GAL. #715</t>
  </si>
  <si>
    <t>BOYSEN SEMI-GLOSS LATEX WHITE 1L. #715</t>
  </si>
  <si>
    <t>BOYSEN AUTOMOTIVE LACQUER WHITE 1L #1300</t>
  </si>
  <si>
    <t>FAUCET BIG - COLORS</t>
  </si>
  <si>
    <t>BEST WELD - SOLVENT CEMENT 125cc</t>
  </si>
  <si>
    <t>BEST WELD</t>
  </si>
  <si>
    <t>MOSQUITO NET (60m) 1/2meter</t>
  </si>
  <si>
    <t>G,I PIPE S40 4''</t>
  </si>
  <si>
    <t>BARRA - CCH</t>
  </si>
  <si>
    <t>HINGES 3X3 ( ORDINARY )</t>
  </si>
  <si>
    <t>HINGES 2 1/2 ( ORDINARY )</t>
  </si>
  <si>
    <t>SENTRY MORTISE LEVER HANDLESET</t>
  </si>
  <si>
    <t>SENTRY MORTISE</t>
  </si>
  <si>
    <t>LACQUER THINNER ( LUX )</t>
  </si>
  <si>
    <t>LUX</t>
  </si>
  <si>
    <t>ISLAND CONCRETO BOND GAL.</t>
  </si>
  <si>
    <t>ISLAND</t>
  </si>
  <si>
    <t>DAVIES / BOYSEN EPOXY REDUCER ( DV-95 ) ( B-55 ) GAL.</t>
  </si>
  <si>
    <t>DAVIES/BOYSEN</t>
  </si>
  <si>
    <t>SUPERLUME EXCEL Corr. 0.4MM x 12ft.</t>
  </si>
  <si>
    <t>SUPERLUME EXCEL</t>
  </si>
  <si>
    <t>8MM ( DISCOUNTED PRICE )</t>
  </si>
  <si>
    <t>SURESEAL ELASTOMERIC SEALANT 1/4L</t>
  </si>
  <si>
    <t>TREND RED OXIDE PRE409 GAL.</t>
  </si>
  <si>
    <t>TREND</t>
  </si>
  <si>
    <t>3M SAND PAPER #120</t>
  </si>
  <si>
    <t>3M</t>
  </si>
  <si>
    <t>BOYSEN PLEXIBOND TEXT FINISH #7760</t>
  </si>
  <si>
    <t>PAINT BRUSH 3'' ( 2B )</t>
  </si>
  <si>
    <t>BLUE PIPE 1 1/2</t>
  </si>
  <si>
    <t>GYPSUM SCREW WOOD 2 ( BOX )</t>
  </si>
  <si>
    <t>SIN PRINCE G26 0.13 10FT</t>
  </si>
  <si>
    <t>SIN PRINCE</t>
  </si>
  <si>
    <t>LUCKY PAINT THINNER GAL.</t>
  </si>
  <si>
    <t>LUCKY</t>
  </si>
  <si>
    <t>ANGLE BAR 6MM 3/16X2 (BRN)25.5KG</t>
  </si>
  <si>
    <t>REPUBLIC CEMENT ( 217 - 240 ) LRJ</t>
  </si>
  <si>
    <t>REPUBLIC</t>
  </si>
  <si>
    <t>MURIATIC ACID 1L</t>
  </si>
  <si>
    <t>MURIATIC ACID 500ML</t>
  </si>
  <si>
    <t>SOSA ( GLEAM ) 250ML</t>
  </si>
  <si>
    <t>GLEAM</t>
  </si>
  <si>
    <t>SOSA ( GLEAM ) 500ML</t>
  </si>
  <si>
    <t>SOSA ( ZIM ) 250ML</t>
  </si>
  <si>
    <t>ZIM</t>
  </si>
  <si>
    <t>SOSA ( ZIM ) 500ML</t>
  </si>
  <si>
    <t>REPUBLIC CEMENT ( DISCOUNTED PRICE 250per bag )</t>
  </si>
  <si>
    <t>HOLCIM CEMENT (DISCOUNTED 250 PER BAG) LRJ</t>
  </si>
  <si>
    <t>LRJ</t>
  </si>
  <si>
    <t>RAIN OR SHINE PAINT( CHEESE YELLOW ) GAL.</t>
  </si>
  <si>
    <t>RAIN OR SHINE</t>
  </si>
  <si>
    <t>RAIN OR SHINE PAINT( NEUTRAL GRAY ) GAL.</t>
  </si>
  <si>
    <t>SQUARE BAR 12MM</t>
  </si>
  <si>
    <t>BLUE PIPE 1</t>
  </si>
  <si>
    <t>TILES GRAY 60X60</t>
  </si>
  <si>
    <t>TIMBERGUARD SOLIGNUM CLEAR GAL.</t>
  </si>
  <si>
    <t>RYKER ( GARDENING )</t>
  </si>
  <si>
    <t>MARINE PLYWOOD 3/4 ( China ) - DJN</t>
  </si>
  <si>
    <t>TILE ADHESIVE PER KILO</t>
  </si>
  <si>
    <t>SAFETY BREAKER 60AMP</t>
  </si>
  <si>
    <t>SINK SMALL</t>
  </si>
  <si>
    <t>SINK MEDIUM</t>
  </si>
  <si>
    <t>PVC BALL VALVE 1/2</t>
  </si>
  <si>
    <t>WHEEL BARROW</t>
  </si>
  <si>
    <t>TITAN SKIM COAT</t>
  </si>
  <si>
    <t>TITAN</t>
  </si>
  <si>
    <t>GREEN HOUSE TILE ADHESIVE</t>
  </si>
  <si>
    <t>SIN Corr. WHITE 8FT</t>
  </si>
  <si>
    <t>GYPSUM SCREW WOOD 1 ( BOX )</t>
  </si>
  <si>
    <t>WELCOAT QDE CHOCO BROWN - WQD4580 GAL.</t>
  </si>
  <si>
    <t>WELCOAT QDE CHOCO BROWN - WQD4580 Liter.</t>
  </si>
  <si>
    <t>PAINT THINNER ( GRAND MASTER ) Bottle</t>
  </si>
  <si>
    <t>BTL</t>
  </si>
  <si>
    <t>PIONEER ELASTOSEAL 85g.</t>
  </si>
  <si>
    <t>BOYSEN EPOXY PRIMER RED OXIDE W/ CATALYST - #2277</t>
  </si>
  <si>
    <t>TITAN PAINT STONE GRAY GAL.</t>
  </si>
  <si>
    <t>DOOR LOCK 4'' ( JOSE )</t>
  </si>
  <si>
    <t>DOUBLE FURRING .3</t>
  </si>
  <si>
    <t>PIPE RANGE ( GREENFIELD ) BIG</t>
  </si>
  <si>
    <t>MOULDING FOR WOOD</t>
  </si>
  <si>
    <t>PVC PIPE #4 ( EMIRALD )</t>
  </si>
  <si>
    <t>EMIRALD</t>
  </si>
  <si>
    <t>PVC PIPE #3 ( EMIRALD )</t>
  </si>
  <si>
    <t>PVC PIPE #2 ( EMIRALD )</t>
  </si>
  <si>
    <t>PVC TEE #4 ( EMIRALD )</t>
  </si>
  <si>
    <t>PVC COUPLING #4 ( EMIRALD )</t>
  </si>
  <si>
    <t>PVC ELBOW #4 X90 ( EMIRALD )</t>
  </si>
  <si>
    <t>PVC ELBOW #3 X90 ( EMIRALD )</t>
  </si>
  <si>
    <t>PVC ELBOW #2 X90 ( EMIRALD )</t>
  </si>
  <si>
    <t>PVC ELBOW #2 X45 ( EMIRALD )</t>
  </si>
  <si>
    <t>PE PIPE SDR11 ROLL 1/2 X 100m</t>
  </si>
  <si>
    <t>PE PIPE SDR11 ROLL 3/4 X 100m</t>
  </si>
  <si>
    <t>REDIFIX GAL.</t>
  </si>
  <si>
    <t>G'I PIPE CLAMP</t>
  </si>
  <si>
    <t>BARRA / CLAWBAR 25mm</t>
  </si>
  <si>
    <t>BARRA / CLAWBAR 28mm</t>
  </si>
  <si>
    <t>BARRA / CLAWBAR 16mm</t>
  </si>
  <si>
    <t>BARRA W/ POINTED</t>
  </si>
  <si>
    <t>BARRA SOLID</t>
  </si>
  <si>
    <t>MARINE PLYWOOD 1/4 STANDARD</t>
  </si>
  <si>
    <t>CRESTON ROUND BLADE/ LIMBAS</t>
  </si>
  <si>
    <t>BRASS BALL VALVE 1/2</t>
  </si>
  <si>
    <t>ISLAND SEMI-GLOSS WHITE ( Gal. )</t>
  </si>
  <si>
    <t>BARBE WIRE / ALAMBRE ( AUSTRALIA BRAND )</t>
  </si>
  <si>
    <t>AUSTRALIA BRAND</t>
  </si>
  <si>
    <t>ALUMINIUM MOSQUITO SCREEN</t>
  </si>
  <si>
    <t>PHILIPS LED BULB 7w</t>
  </si>
  <si>
    <t>PHILIPS</t>
  </si>
  <si>
    <t>PHILIPS LED BULB 9w</t>
  </si>
  <si>
    <t>ONE SKIMCOAT</t>
  </si>
  <si>
    <t>BRASS FAUSET ( PLAIN BIBB 1/2 Small )</t>
  </si>
  <si>
    <t>BRASS BALL VALVE 1/2 ( YELLOW HANDLE )</t>
  </si>
  <si>
    <t>CHROME SINK FAUSET</t>
  </si>
  <si>
    <t>SHOE TACKS 3/4</t>
  </si>
  <si>
    <t>SHOE TACKS 7/8</t>
  </si>
  <si>
    <t>SHOE TACKS 1/2</t>
  </si>
  <si>
    <t>ANGLE BAR 1/4X2</t>
  </si>
  <si>
    <t>POWER CRAFT DRILL BIT 9/64</t>
  </si>
  <si>
    <t>POWER CRAFT</t>
  </si>
  <si>
    <t>POWER CRAFT DRILL BIT 1/8</t>
  </si>
  <si>
    <t>CABLE TIE #1.9mm</t>
  </si>
  <si>
    <t>CABLE TIE #4x250mm</t>
  </si>
  <si>
    <t>DOOR HANDLE LOCK ( JOSE ) METAL</t>
  </si>
  <si>
    <t>DOOR HANDLE LOCK ( JOSE ) BLACK</t>
  </si>
  <si>
    <t>DOOR SLIDE LOCK 5''</t>
  </si>
  <si>
    <t>AMAKAN</t>
  </si>
  <si>
    <t>SHERA BOARD 3.5</t>
  </si>
  <si>
    <t>SHERA</t>
  </si>
  <si>
    <t>SHERA BOARD 4.5</t>
  </si>
  <si>
    <t>COCO LUMBER 2X2X10</t>
  </si>
  <si>
    <t>COCO LUMBER 2X4X10</t>
  </si>
  <si>
    <t>BODY FILLER</t>
  </si>
  <si>
    <t>FLAT CHORD 18/2</t>
  </si>
  <si>
    <t>EMT PIPE 1"</t>
  </si>
  <si>
    <t>EMT</t>
  </si>
  <si>
    <t>ALUMINUM DUCT TAPE</t>
  </si>
  <si>
    <t>WELCOAT LATEX FLAT WHITE WL1000</t>
  </si>
  <si>
    <t>BOYSEN EPOXY PRIMER GRAY W/ CATALYST - #2230</t>
  </si>
  <si>
    <t>WELCOAT LATEX SEMI-GLOSS WHITE WL1005 ( Gal. )</t>
  </si>
  <si>
    <t>WELCOAT LATEX SEMI-GLOSS WHITE WL1005 ( Liter )</t>
  </si>
  <si>
    <t>BOYSEN LATEX TINT VENETIAN RED #1477</t>
  </si>
  <si>
    <t>POWER MIX CEMENTITIOUS WATERPROOFING GAL.</t>
  </si>
  <si>
    <t>POWER MIX</t>
  </si>
  <si>
    <t>WELCOAT QDE BLACK - WQD1150 1/4Liter</t>
  </si>
  <si>
    <t>WELCOAT QDE NILE GREEN - WQD9120</t>
  </si>
  <si>
    <t>SANDING SEALER BOTTLE ( APOLLO )</t>
  </si>
  <si>
    <t>APOLLO</t>
  </si>
  <si>
    <t>SANDING SEALER GAL. ( GRAND MASTER )</t>
  </si>
  <si>
    <t>NELTEX ELECTRICAL TAPE SMALL</t>
  </si>
  <si>
    <t xml:space="preserve">NELTEX </t>
  </si>
  <si>
    <t>ROPE 7MM ROLL</t>
  </si>
  <si>
    <t>ELECTRIC WATER PUMP 1/2</t>
  </si>
  <si>
    <t>PDX WIRE #10 BOX</t>
  </si>
  <si>
    <t>PDX</t>
  </si>
  <si>
    <t>PDX WIRE #12 BOX</t>
  </si>
  <si>
    <t>PDX WIRE #14 BOX</t>
  </si>
  <si>
    <t>FIREFLY BULB 25W</t>
  </si>
  <si>
    <t>TAMARRAW SEN 8ft</t>
  </si>
  <si>
    <t>TAMARRAW</t>
  </si>
  <si>
    <t>TAMARRAW SEN 10ft</t>
  </si>
  <si>
    <t>HAND RIVETER METRO-A</t>
  </si>
  <si>
    <t>METRO-A</t>
  </si>
  <si>
    <t>GI BUSHING REDUCER 1/2x3/4</t>
  </si>
  <si>
    <t>TOPGRADE PAINT BRUSH 3"</t>
  </si>
  <si>
    <t>TOPGRADE</t>
  </si>
  <si>
    <t>TOPGRADE CABLE TIES 2.5x100mm Blk</t>
  </si>
  <si>
    <t>TOPGRADE CABLE TIES 3.6x150mm Blk</t>
  </si>
  <si>
    <t>TOPGRADE CABLE TIES 2.5x100mm Wht</t>
  </si>
  <si>
    <t>TOPGRADE CABLE TIES 3.6x150mm Wht</t>
  </si>
  <si>
    <t>WALL RIGHT</t>
  </si>
  <si>
    <t>COMMOM NAILS #11/2 CARTOON</t>
  </si>
  <si>
    <t>COMMOM NAILS #3 CARTOON</t>
  </si>
  <si>
    <t>TIE WIRE DISCOUNTED PRICE ROLL</t>
  </si>
  <si>
    <t>COMMON NAILS DISCOUNTED PRICE #4</t>
  </si>
  <si>
    <t>6MM TOX &amp; SCREW</t>
  </si>
  <si>
    <t>CIRCUIT BREAKER 100amper PLUG-IN</t>
  </si>
  <si>
    <t>CROWN ELBOW 2x90</t>
  </si>
  <si>
    <t>CROWN</t>
  </si>
  <si>
    <t>CROWN ELBOW 2x45</t>
  </si>
  <si>
    <t>CROWN ELBOW 3x90</t>
  </si>
  <si>
    <t>CROWN ELBOW 3x45</t>
  </si>
  <si>
    <t>CROWN ELBOW 4x90</t>
  </si>
  <si>
    <t>CROWN ELBOW 4x45</t>
  </si>
  <si>
    <t>CROWN COUPLING #3</t>
  </si>
  <si>
    <t>CROWN COUPLING #2</t>
  </si>
  <si>
    <t>CROWN COUPLING #4</t>
  </si>
  <si>
    <t>CROWN P-TRAP W/ RING #3</t>
  </si>
  <si>
    <t>CROWN WYE 2x2</t>
  </si>
  <si>
    <t>CROWN WYE 3x2</t>
  </si>
  <si>
    <t>CROWN TEE 4x2</t>
  </si>
  <si>
    <t>CROWN BUSHING REDUCER 3x2</t>
  </si>
  <si>
    <t>AVIATION SNIP TOP GRADE</t>
  </si>
  <si>
    <t>TOP GRADE</t>
  </si>
  <si>
    <t>D.I.Y MESH TAPE</t>
  </si>
  <si>
    <t>PE ELBOW 1/2</t>
  </si>
  <si>
    <t>WALL FLASHING/ GREEN</t>
  </si>
  <si>
    <t>SPANISH GUTTER</t>
  </si>
  <si>
    <t>COLOR ROOF/ GREEN per meter 335 x 8meters</t>
  </si>
  <si>
    <t>SPANISH END FLASHING</t>
  </si>
  <si>
    <t>FASCIA MOULDING 9inch x 8fT</t>
  </si>
  <si>
    <t>PAINT BRUSH 4" 2B</t>
  </si>
  <si>
    <t>CONCRETE POST 6ft</t>
  </si>
  <si>
    <t>HOLLOWBLOCK #6</t>
  </si>
  <si>
    <t>STAPLE WIRE PIECE#1</t>
  </si>
  <si>
    <t>G.I COUPLING 1/2</t>
  </si>
  <si>
    <t>STEEL EPOXY handyman</t>
  </si>
  <si>
    <t>CIRCUIT BREAKER 20amp HERTZ</t>
  </si>
  <si>
    <t>THHN WIRE #10/7</t>
  </si>
  <si>
    <t>1,2,3 GANG PLATE</t>
  </si>
  <si>
    <t>CIRCUIT BREAKER 100A BOLT ON 2P</t>
  </si>
  <si>
    <t>ECOLINK BULB 5W</t>
  </si>
  <si>
    <t>ECOLINK</t>
  </si>
  <si>
    <t>ECOLINK BULB 3W</t>
  </si>
  <si>
    <t>ECOLINK BULB 13W</t>
  </si>
  <si>
    <t>OSTAR BULB 12W</t>
  </si>
  <si>
    <t>OSTAR</t>
  </si>
  <si>
    <t>ECOLUM BULB 7W</t>
  </si>
  <si>
    <t>2GANG 3 PRONG OUTLET {ROYU}</t>
  </si>
  <si>
    <t>PANEL BOARD 12holes BOLT ON</t>
  </si>
  <si>
    <t>EXPANSION BOLT 5/8</t>
  </si>
  <si>
    <t>EXPANSION BOLT 1/2</t>
  </si>
  <si>
    <t>TAMARRAW 12ft</t>
  </si>
  <si>
    <t>HAPPYLUME SEN 10ft</t>
  </si>
  <si>
    <t>HAPPYLUME</t>
  </si>
  <si>
    <t>HAPPYLUME SEN 8ft</t>
  </si>
  <si>
    <t>GRAY ELBOW 2X90</t>
  </si>
  <si>
    <t>GRAY ELBOW 4X90</t>
  </si>
  <si>
    <t>GRAY PIPE #2</t>
  </si>
  <si>
    <t>GRAY PIPE #4</t>
  </si>
  <si>
    <t>CROWN CLEAN-OUT 2"</t>
  </si>
  <si>
    <t>CROWN SOLVENT CEMENT 100cc</t>
  </si>
  <si>
    <t>CROWN SOLVENT CEMENT 200cc</t>
  </si>
  <si>
    <t>CLT PLYBOARD 3/4</t>
  </si>
  <si>
    <t>CLT</t>
  </si>
  <si>
    <t>SOLIGNUM CLT 1LITER</t>
  </si>
  <si>
    <t>SOLIGNUM</t>
  </si>
  <si>
    <t>ROOFGARD PAINT</t>
  </si>
  <si>
    <t>SHARK DUPLEX STRAINER HD stainless</t>
  </si>
  <si>
    <t>SHARK</t>
  </si>
  <si>
    <t>SHARK DUPLEX STRAINER ABS plastic</t>
  </si>
  <si>
    <t>RODELA ORANGE FOAM</t>
  </si>
  <si>
    <t>KALIS</t>
  </si>
  <si>
    <t>PVC ORANGE PIPE 1/2</t>
  </si>
  <si>
    <t>COMMON NAILS #2 [CARTOON]</t>
  </si>
  <si>
    <t>UTILITY BOX METAL</t>
  </si>
  <si>
    <t>SANITECH PIPE #2 S1000</t>
  </si>
  <si>
    <t>SANITECH</t>
  </si>
  <si>
    <t>SANITECH PIPE #4 S1000</t>
  </si>
  <si>
    <t>HEAT GUN</t>
  </si>
  <si>
    <t>SOLVENT CEMENT SHERMAN 100cc</t>
  </si>
  <si>
    <t>CEMENT REPUBLIC</t>
  </si>
  <si>
    <t>KALSIFLEX 3/16</t>
  </si>
  <si>
    <t>KALSIFLEX</t>
  </si>
  <si>
    <t>KALSIFLEX 1/4</t>
  </si>
  <si>
    <t>BOYSEN FLAT WALL ENAMEL WHITE 1L #800</t>
  </si>
  <si>
    <t>CHB JOHN</t>
  </si>
  <si>
    <t>PVC COUPLING 3/4</t>
  </si>
  <si>
    <t>PPR COUPLING 1/2</t>
  </si>
  <si>
    <t>PPR ELBOW 1/2 GREEN</t>
  </si>
  <si>
    <t>PDX WIRE #14 CARTOON</t>
  </si>
  <si>
    <t>PDX WIRE #14 P/ meter</t>
  </si>
  <si>
    <t>TOP GRADE FLAP DISC #80 &amp; #60</t>
  </si>
  <si>
    <t>WALIS TINGTING</t>
  </si>
  <si>
    <t>ELECTROWELD 6011 WELDING ROD</t>
  </si>
  <si>
    <t>UNIVERSAL OUTLET BOX HERTZ</t>
  </si>
  <si>
    <t>UNIVERSAL</t>
  </si>
  <si>
    <t>TOP GRADE TIN SNIP</t>
  </si>
  <si>
    <t>CDO HARDWARE 1/2 ORDINARY PLYWOOD</t>
  </si>
  <si>
    <t>WATERPROOF TAPE 5cm (DDY)</t>
  </si>
  <si>
    <t>DDY</t>
  </si>
  <si>
    <t>MASONARY DRILLBIT 1/8 TOPGRADE</t>
  </si>
  <si>
    <t>MASONARY DRILLBIT 3/16 TOPGRADE</t>
  </si>
  <si>
    <t>ELECTROWELD 6011 WELDING ROD 1/2 Kilo</t>
  </si>
  <si>
    <t>ELECTROWELD 6011 WELDING ROD 1/4 Kilo</t>
  </si>
  <si>
    <t>PPR GATE VALVE 1/2</t>
  </si>
  <si>
    <t>THHN WIRE #6/7 150mtrs</t>
  </si>
  <si>
    <t>THHN</t>
  </si>
  <si>
    <t>SKIM COAT ULTRAFINO BOOSTIK</t>
  </si>
  <si>
    <t>BOOSTIK</t>
  </si>
  <si>
    <t>SURESEAL SEALANT 1L</t>
  </si>
  <si>
    <t>PVC SOLVENT CEMENT 400cc ( Sherman )</t>
  </si>
  <si>
    <t>WELDED SCREEN 1/2 ( 1/2meter )</t>
  </si>
  <si>
    <t>CYLINDRICAL HINGES 1 1/4</t>
  </si>
  <si>
    <t>CES PAINT THINNER 1 GAL.</t>
  </si>
  <si>
    <t>CES</t>
  </si>
  <si>
    <t>TURN BUCKLE 12mm</t>
  </si>
  <si>
    <t>P.E FEMALE ADOPTOR 1/2</t>
  </si>
  <si>
    <t>P.E MALE ADOPTOR 1/2</t>
  </si>
  <si>
    <t>HACKSAW FRAME W/ BLADE DDY</t>
  </si>
  <si>
    <t>TOP GRADE SCREWDRIVER 3X75mm ( + )</t>
  </si>
  <si>
    <t>TOP GRADE SCREWDRIVER 3X100mm ( + )</t>
  </si>
  <si>
    <t>TOP GRADE SCREWDRIVER 5X75mm ( + )</t>
  </si>
  <si>
    <t>TOP GRADE SCREWDRIVER 5X100mm ( + )</t>
  </si>
  <si>
    <t>TOP GRADE SCREWDRIVER 5X125mm ( + )</t>
  </si>
  <si>
    <t>TOP GRADE SCREWDRIVER 3X75mm ( - )</t>
  </si>
  <si>
    <t>TOP GRADE SCREWDRIVER 5X75mm ( - )</t>
  </si>
  <si>
    <t>TOP GRADE SCREWDRIVER 5X150mm ( - )</t>
  </si>
  <si>
    <t>TOP GRADE SCREWDRIVER 5X125mm ( - )</t>
  </si>
  <si>
    <t>TOP GRADE AVIATION SNIPS ( STRAIGHT )</t>
  </si>
  <si>
    <t>TOP GRADE CLAW HAMMER 16oz P/FIN.</t>
  </si>
  <si>
    <t>TOP GRADE HAND RIVETER LD 9.5"</t>
  </si>
  <si>
    <t>PVC FEMALE / MALE ADAPTOR BLUE 1/2</t>
  </si>
  <si>
    <t>ALL WEATHER 100amp</t>
  </si>
  <si>
    <t>CUTTING DISC (TECHNO)</t>
  </si>
  <si>
    <t>TECHNO</t>
  </si>
  <si>
    <t>GRINDING DISC (TECHNO)</t>
  </si>
  <si>
    <t>DIAMOND CUTTING DISC (TECHNO)</t>
  </si>
  <si>
    <t>TCT SAW BLADE (TECHNO)</t>
  </si>
  <si>
    <t>DOOR HANDLE 587SS (TECHNO)</t>
  </si>
  <si>
    <t>THHN WIRE #10 p/meter</t>
  </si>
  <si>
    <t>WD40 277ml</t>
  </si>
  <si>
    <t>PLAIN SHEET SUPERLUME MAX .5X8</t>
  </si>
  <si>
    <t>PDX WIRE #10 p/m</t>
  </si>
  <si>
    <t>PDX WIRE #12 p/m</t>
  </si>
  <si>
    <t>PIONEER ELASTOSEAL 1L</t>
  </si>
  <si>
    <t>REPUBLIC CEMENT (221-240)</t>
  </si>
  <si>
    <t>GRINDING DISC ( POWER CRAFT )</t>
  </si>
  <si>
    <t>TEMP. 1/4 X 3/4 W/NT PW</t>
  </si>
  <si>
    <t>PW</t>
  </si>
  <si>
    <t>TEMP. 1/4 X 1 W/NT PW</t>
  </si>
  <si>
    <t>TEMP. 5/16 X 3/4 W/NT PW</t>
  </si>
  <si>
    <t>TEMP. 5/16 X 1 W/NT PW</t>
  </si>
  <si>
    <t>TEMP. 3/8 X 3/4 W/NT PW</t>
  </si>
  <si>
    <t>TEMP. 7/16 X 3/4 W/NT PW</t>
  </si>
  <si>
    <t>TEMP. 7/16 X 1 W/NT PW</t>
  </si>
  <si>
    <t>TEMP. 1/2 X 3/4 W/NT PW</t>
  </si>
  <si>
    <t>TEMP. 1/2 X 1 W/NT PW</t>
  </si>
  <si>
    <t>TEMP. 3/8 X 1 W/NT PW</t>
  </si>
  <si>
    <t>ELBOW 4X90 TECHNO</t>
  </si>
  <si>
    <t>ELBOW 4X45 TECHNO</t>
  </si>
  <si>
    <t>TEE REDUCER 4X3 TECHNO</t>
  </si>
  <si>
    <t>BOSTIK ADHESIVE</t>
  </si>
  <si>
    <t>JENEX GYPSUM METEL SCREW 2" (500)</t>
  </si>
  <si>
    <t>JENEX GYPSUM METAL SCREW 2" (500) p/piece</t>
  </si>
  <si>
    <t>JENEX GYPSUM WOOD SCREW 1" (1000)</t>
  </si>
  <si>
    <t>JENEX GYPSUM WOOD SCREW 1" (1000) p/piece</t>
  </si>
  <si>
    <t>JENEX HARDI SCREW (1000)</t>
  </si>
  <si>
    <t>JENEX HARDI SCREW (1000) p/piece</t>
  </si>
  <si>
    <t>JENEX GAULKING GUN HD</t>
  </si>
  <si>
    <t>POLY ELBOW THREADED 1/2</t>
  </si>
  <si>
    <t>KATHYNE DOOR CITI HARDWARE</t>
  </si>
  <si>
    <t>KATHYNE</t>
  </si>
  <si>
    <t>JENEX ANGLE VALVE 3 WAY</t>
  </si>
  <si>
    <t>BLUE TEE 1/2X3/4 &amp; 3/4</t>
  </si>
  <si>
    <t>ELASTOMERIC SEALANT (TECHNO)</t>
  </si>
  <si>
    <t>BOSCH GRINDER (AB-TECH)</t>
  </si>
  <si>
    <t>AB-TECH</t>
  </si>
  <si>
    <t>DAVIES ACRYTILE PRIMER</t>
  </si>
  <si>
    <t>DAVIES ACRYTILE REDUCER</t>
  </si>
  <si>
    <t>NOVA SEAL (TECHNO)</t>
  </si>
  <si>
    <t>FEDSEAL (ABTECH)</t>
  </si>
  <si>
    <t>LATEX IVORY</t>
  </si>
  <si>
    <t>LATEX TEMPTATION GREEN</t>
  </si>
  <si>
    <t>LATEX BAGUIO GREEN</t>
  </si>
  <si>
    <t>LATEX WHITE</t>
  </si>
  <si>
    <t>ENAMEL WHITE</t>
  </si>
  <si>
    <t>RED OXIDE MINNISOTA</t>
  </si>
  <si>
    <t>SOLIGNUM DEP.ED</t>
  </si>
  <si>
    <t>PAINT BRUSH #2</t>
  </si>
  <si>
    <t>RECEPTACLE #4</t>
  </si>
  <si>
    <t>RECEPTACLE #3</t>
  </si>
  <si>
    <t>FLEXIBLE TUBE 1/2</t>
  </si>
  <si>
    <t>PVC CLAMP 1/2</t>
  </si>
  <si>
    <t>TOX W/ SCREW 6MM</t>
  </si>
  <si>
    <t>3M TARTAN TAPE DEP.ED</t>
  </si>
  <si>
    <t>THHN WIRE #10 DEP.ED</t>
  </si>
  <si>
    <t>MASORONG HOLCIM</t>
  </si>
  <si>
    <t>ALUMINUM FRAME 12BLADES</t>
  </si>
  <si>
    <t>HINGES 4X4 2B</t>
  </si>
  <si>
    <t>DIAMOND CUTTING DISC (JENEX)</t>
  </si>
  <si>
    <t>WOOD DOOR KNOB</t>
  </si>
  <si>
    <t>TAPAL SEAL</t>
  </si>
  <si>
    <t>HANDSAW W/ PVC HANDLE #20 (JENEX)</t>
  </si>
  <si>
    <t>JENEX METAL TEX SCREW 25mm (1000)</t>
  </si>
  <si>
    <t>JENEX METAL TEX SCREW 45mm (550)</t>
  </si>
  <si>
    <t>JENEX METAL TEX SCREW 65mm (350)</t>
  </si>
  <si>
    <t>JENEX METAL TEX SCREW 25mm (p/ piece)</t>
  </si>
  <si>
    <t>JENEX METAL TEX SCREW 45mm (p/ piece)</t>
  </si>
  <si>
    <t>JENEX METAL TEX SCREW 65mm (p/ piece)</t>
  </si>
  <si>
    <t>JENEX GARDEN HOSE p/m</t>
  </si>
  <si>
    <t>TUBULAR TUBE 1X1X1.5 (KPL)</t>
  </si>
  <si>
    <t>KPL</t>
  </si>
  <si>
    <t>PLYWOOD 1/4 CHINA ( BME )</t>
  </si>
  <si>
    <t>ELASTOSEAL 250grms</t>
  </si>
  <si>
    <t>ELASTOSEAL</t>
  </si>
  <si>
    <t>DOMINO PRIMER GRAY</t>
  </si>
  <si>
    <t>ACRYLIC LATEX WHITE</t>
  </si>
  <si>
    <t>LUMBER 2x3x10 (Dep.ed)</t>
  </si>
  <si>
    <t>DEP ED</t>
  </si>
  <si>
    <t>LUMBER 2x2x10 (Dep.ed)</t>
  </si>
  <si>
    <t>LUMBER 2x2x8 (Dep.ed)</t>
  </si>
  <si>
    <t>ACRYTEX CAST (DAVIES)</t>
  </si>
  <si>
    <t>ACRYTILE PRIMER (WELCOAT)</t>
  </si>
  <si>
    <t>STEEL BRUSH (JR BORJA)</t>
  </si>
  <si>
    <t>JR BORJA</t>
  </si>
  <si>
    <t>LACQUER THINNER (MAYON)(JR BORJA)</t>
  </si>
  <si>
    <t>PATCHING COMPOUND</t>
  </si>
  <si>
    <t>NIHON WELDING ROD</t>
  </si>
  <si>
    <t>NIHON</t>
  </si>
  <si>
    <t>KABILYA 8mm (CUADRO OTSO)</t>
  </si>
  <si>
    <t>CUADRO OTSO</t>
  </si>
  <si>
    <t>ABC TILE GROUT WHITE 2kg</t>
  </si>
  <si>
    <t>ABC</t>
  </si>
  <si>
    <t>TYROLET CUTTING DISC RED</t>
  </si>
  <si>
    <t>TYROLET</t>
  </si>
  <si>
    <t>NOOTIK FORTEX ADHESIIVE</t>
  </si>
  <si>
    <t>NOOTIK</t>
  </si>
  <si>
    <t>PANEL BOARD 4 BRANCHES</t>
  </si>
  <si>
    <t>BESGUARD STEEL FILE / LIMBAS 8''</t>
  </si>
  <si>
    <t>SAFETY BREAKER 60AMP PLUG IN</t>
  </si>
  <si>
    <t>THHN WIRE #14 BOX -HERTZ</t>
  </si>
  <si>
    <t>RED CEMENT P/KILO</t>
  </si>
  <si>
    <t>GEMILINA BUNDLE</t>
  </si>
  <si>
    <t>WALL ANGLE 6ft DDY</t>
  </si>
  <si>
    <t>SILICON ALL PURPOSE WHITE (TECHNO)</t>
  </si>
  <si>
    <t>BUILD SMART SKIMCOAT</t>
  </si>
  <si>
    <t>BUILD SMART</t>
  </si>
  <si>
    <t>HIPPO SAND PAPER #120</t>
  </si>
  <si>
    <t>DAVIES LIQUID TILE PRIMER</t>
  </si>
  <si>
    <t>DAVIES LIQUID TILE REDUCER</t>
  </si>
  <si>
    <t>DAVIES CHOCO BROWN FLAT</t>
  </si>
  <si>
    <t>GRIP BODY FILLER 1L</t>
  </si>
  <si>
    <t>GRIP</t>
  </si>
  <si>
    <t>DAVIES PAIL LIQUID TILE PRIMER</t>
  </si>
  <si>
    <t>DAVIES SEMI GLOSS WHITE</t>
  </si>
  <si>
    <t>RUST CONVERTER SHERLUX 1L</t>
  </si>
  <si>
    <t>SHERLUX</t>
  </si>
  <si>
    <t>LUX QDE BLACK &amp; WHITE 80ml</t>
  </si>
  <si>
    <t>FOCUS PVC TAPE 5Y BLACK</t>
  </si>
  <si>
    <t>FOCUS PVC TAPE 20Y BLACK</t>
  </si>
  <si>
    <t>UNILUME 12FT</t>
  </si>
  <si>
    <t>CENTURY PEAK</t>
  </si>
  <si>
    <t>PREFIX SKIMCOAT WHITE</t>
  </si>
  <si>
    <t>PREFIX</t>
  </si>
  <si>
    <t>JDE FLAT LATEX WHITE</t>
  </si>
  <si>
    <t>JDE</t>
  </si>
  <si>
    <t>JDE SEMI GLOSS FLAT LAT</t>
  </si>
  <si>
    <t>FLEXIBLE HOSE 1/2 50mtrs BS</t>
  </si>
  <si>
    <t>BS</t>
  </si>
  <si>
    <t>PE PIPE REDUCER 1/2x3/4</t>
  </si>
  <si>
    <t>3/4 ORDINARY PLYWOOD (DEP.ED)</t>
  </si>
  <si>
    <t>12MM IRON BAR (DEP.ED)</t>
  </si>
  <si>
    <t>10mm RSB BABAISON</t>
  </si>
  <si>
    <t>BABAISON</t>
  </si>
  <si>
    <t>COCO LUMBER 1X2X8 (DEP.ED)</t>
  </si>
  <si>
    <t>C0CO LUMBER 2X3X10 (DEP.ED) ZAYAS</t>
  </si>
  <si>
    <t>GOOD LUMBER 2X2X8</t>
  </si>
  <si>
    <t>ARMOR CUTTING DISC 14" for Metal/Steel</t>
  </si>
  <si>
    <t>FUJI WELDING ROD #6011 (1/8 )</t>
  </si>
  <si>
    <t>PIONEER MARINE EPOXY 130grms can</t>
  </si>
  <si>
    <t>SEARCH ITEM</t>
  </si>
  <si>
    <t>Type</t>
  </si>
  <si>
    <t>1001 - G,I C- PURLINS 2X3X1.2MM (WHITE)</t>
  </si>
  <si>
    <t>1002 - G,I C- PURLINS 2X3X1.5MM</t>
  </si>
  <si>
    <t>1003 - G,I C- PURLINS 2X4X1.2MM (WHITE)</t>
  </si>
  <si>
    <t>1004 - G,I C- PURLINS 2X4X1.5MM</t>
  </si>
  <si>
    <t>1005 - G,I C- PURLINS 2X6X1.2MM</t>
  </si>
  <si>
    <t>1006 - G,I C- PURLINS 2X6X1.5MM</t>
  </si>
  <si>
    <t>1007 - G,I PIPE S20 1/2''</t>
  </si>
  <si>
    <t>1008 - G,I PIPE S20 3/4''</t>
  </si>
  <si>
    <t>1009 - G,I PIPE S20 1''</t>
  </si>
  <si>
    <t>1010 - G,I PIPE S20 1-1/4''</t>
  </si>
  <si>
    <t>1011 - G,I PIPE S20 1-1/2''</t>
  </si>
  <si>
    <t>1012 - G,I PIPE S20 2''</t>
  </si>
  <si>
    <t>1013 - G,I PIPE S20 2-1/2''</t>
  </si>
  <si>
    <t>1014 - G,I PIPE S20 3''</t>
  </si>
  <si>
    <t>1015 - G,I PIPE S40 1/2''</t>
  </si>
  <si>
    <t>1016 - G,I PIPE S40 3/4''</t>
  </si>
  <si>
    <t>1017 - G,I PIPE S40 1''</t>
  </si>
  <si>
    <t>1018 - G,I PIPE S40 1-1/4''</t>
  </si>
  <si>
    <t>1019 - G,I PIPE S40 1-1/2''</t>
  </si>
  <si>
    <t>1020 - G,I PIPE S40 2''</t>
  </si>
  <si>
    <t>1021 - G,I PIPE S40 2-1/2''</t>
  </si>
  <si>
    <t>1022 - G,I PIPE S40 3''</t>
  </si>
  <si>
    <t>1023 - B,I PIPE S40 1/2''</t>
  </si>
  <si>
    <t>1024 - B,I PIPE S40 3/4''</t>
  </si>
  <si>
    <t>1025 - B,I PIPE S40 1''</t>
  </si>
  <si>
    <t>1026 - B,I PIPE S40 1-1/4''</t>
  </si>
  <si>
    <t>1027 - B,I PIPE S40 1-1/2''</t>
  </si>
  <si>
    <t>1028 - B,I PIPE S40 2''</t>
  </si>
  <si>
    <t>1029 - B,I PIPE S40 2-1/2''</t>
  </si>
  <si>
    <t>1030 - B,I PIPE S40 3''</t>
  </si>
  <si>
    <t>1031 - WELDING ROD 2.5MM X 300MM 20kls (per kilo)</t>
  </si>
  <si>
    <t>1032 - WELDING ROD 3.2MM X 350MM 20kls (per kilo)</t>
  </si>
  <si>
    <t>1033 - SHOVEL ( Round Pointed )</t>
  </si>
  <si>
    <t>1034 - RUBBER GLOVES ( Orange )</t>
  </si>
  <si>
    <t>1035 - TIE WIRE #16 25kls (per kilo)</t>
  </si>
  <si>
    <t>1036 - COMMON WIRE NAILS #1 25kls (per kilo)</t>
  </si>
  <si>
    <t>1037 - COMMON WIRE NAILS #1 1/2 25kls (per kilo)</t>
  </si>
  <si>
    <t>1038 - COMMON WIRE NAILS #2 25kls (per kilo)</t>
  </si>
  <si>
    <t>1039 - COMMON WIRE NAILS #2 1/2 25kls (per kilo)</t>
  </si>
  <si>
    <t>1040 - COMMON WIRE NAILS #3 25kls (per kilo)</t>
  </si>
  <si>
    <t>1041 - COMMON WIRE NAILS #4 25kls (per kilo)</t>
  </si>
  <si>
    <t>1042 - DE FORM BARS 10MM</t>
  </si>
  <si>
    <t>1043 - DE FORM BARS 9MM 2.2KG</t>
  </si>
  <si>
    <t>1044 - DE FORM BARS 8MM 1.4KG</t>
  </si>
  <si>
    <t>1045 - MEGALUME CORR 0.25MM TCTx10ft. 3</t>
  </si>
  <si>
    <t>1046 - SUPERLUME EXCEL Corr, 0.4MM x 8ft. 12</t>
  </si>
  <si>
    <t>1047 - SUPERLUME EXCEL Corr. 0.4MM TCT x 10ft. 13</t>
  </si>
  <si>
    <t>1048 - SUPERLUME EXCEL Corr. 0.3MM x 12ft. 0</t>
  </si>
  <si>
    <t>1049 - DURALUME Corr. 0.35MM TCT x 8ft. 3</t>
  </si>
  <si>
    <t>1050 - DURALUME Corr. 0.35MM TCT x 10ft. 3</t>
  </si>
  <si>
    <t>1051 - DURALUME Corr. 0.35MM TCT x 12ft. 2</t>
  </si>
  <si>
    <t>1052 - ORDINARY PLYWOOD 4MM 1/4 X4X8-HCH(Local) BABAISON</t>
  </si>
  <si>
    <t>1053 - ORDINARY PLYWOOD 3/4 (Local) BME</t>
  </si>
  <si>
    <t>1054 - ORDINARY PLYWOOD 9MM 1/2 X4X8-TOP FOREST(Local) DJN</t>
  </si>
  <si>
    <t>1055 - ORDINARY PLYWOOD 10MM 1/2 X4X8 (Local) (TOP FOREST)</t>
  </si>
  <si>
    <t>1056 - WELCOAT RED LEAD PRIMER WPRE3940 1/4 Litter</t>
  </si>
  <si>
    <t>1057 - WELCOAT RED LEAD PRIMER WPRE3940 1Litter</t>
  </si>
  <si>
    <t>1058 - WELCOAT RED OXIDE PRIMER WPRE4010 1/4 Litter</t>
  </si>
  <si>
    <t>1059 - WELCOAT RED OXIDE PRIMER WPRE4010 1Litter</t>
  </si>
  <si>
    <t>1060 - WELCOAT RED OXIDE PRIMER WPRE4010 1Gallon</t>
  </si>
  <si>
    <t>1061 - BOYSEN RED OXIDE METAL PRIMER #310 1Litter</t>
  </si>
  <si>
    <t>1062 - BOYSEN RED OXIDE METAL PRIMER #310 1Gallon</t>
  </si>
  <si>
    <t>1063 - INSULATION 1-SIDE ALUM, 5MM X 50M 1Roll (per meter)</t>
  </si>
  <si>
    <t>1064 - INSULATION 2-SIDE ALUM, 5MM X 50M 1Roll (per meter)</t>
  </si>
  <si>
    <t>1065 - ORDINARY PLYWOOD 18MM 3/4 (ALFA/TOP FOREST) 1SHT</t>
  </si>
  <si>
    <t>1066 - MARINE PLYWOOD 9mm 1/2 x 4 x 8 (TOP FOREST)</t>
  </si>
  <si>
    <t>1067 - MARINE PLYWOOD 10mm 1/2 x 4 x 8 (TOP FOREST)</t>
  </si>
  <si>
    <t>1068 - MARINE PLYWOOD 18mm 3/4 x 4 x 8 (TOP FOREST)</t>
  </si>
  <si>
    <t>1069 - PHENOLIC BOARD 12mm x 4 x 8</t>
  </si>
  <si>
    <t>1070 - PHENOLIC BOARD 18mm 3/4 x 4 x 8</t>
  </si>
  <si>
    <t>1071 - B,I STEEL MATING #10 (2.7mm) 2''x2''x 4ft x 8ft. 1pcs</t>
  </si>
  <si>
    <t>1072 - B,I STEEL MATING #6 (4.5mm) 2''x2''x4ft x 8ft. 1pcs</t>
  </si>
  <si>
    <t>1073 - G,I STEEL MATING #10 (2.7mm) 2''x2''x 4ft x 8ft. 1pcs</t>
  </si>
  <si>
    <t>1074 - G,I STEEL MATING #8 (3.5mm) 2''x2''x 4ft x 8ft. 1pcs</t>
  </si>
  <si>
    <t>1075 - G,I PLAIN GALVAMET/GALVAROCT 0.18mm TCT x 8ft.</t>
  </si>
  <si>
    <t>1076 - BESTLUME PLAIN 0.18mm x 8ft.</t>
  </si>
  <si>
    <t>1077 - TREND RED OXIDE #PRE409 1Litter</t>
  </si>
  <si>
    <t>1078 - PAINTPRO/HUNTER MINI-ROLLER BRUSH 4''W/ HANDLE</t>
  </si>
  <si>
    <t>1079 - PAINTPRO MINI-ROLLER BRUSH 6''W/ HANDLE</t>
  </si>
  <si>
    <t>1080 - CONSTRUCTION PAIL PVC (per piece)</t>
  </si>
  <si>
    <t>1081 - NYLON LATEX COATED GLOOVES MAX/HUNTER 1pair</t>
  </si>
  <si>
    <t>1082 - CHINA WELDING ROD #6013 (3/32) 2.5mm (1Box) (Perpiece)</t>
  </si>
  <si>
    <t>1083 - CHINA WELDING ROD #6013 (1/8) (1Box) (Perpiece)</t>
  </si>
  <si>
    <t>1084 - SAND PAPER #150 (per piece) EAGLE BRAND</t>
  </si>
  <si>
    <t>1085 - SAND PAPER # 240 (per piece) EAGLE BRAND</t>
  </si>
  <si>
    <t>1086 - SAND PAPER # 1,000 (per piece) EAGLE BRAND</t>
  </si>
  <si>
    <t>1087 - SAND PAPER # 60 (per piece) EAGLE BRAND</t>
  </si>
  <si>
    <t>1088 - SAND PAPER # 80 (per piece) EAGLE BRAND</t>
  </si>
  <si>
    <t>1089 - PVC SOLVENT CEMENT SMALL (SHERMAN)</t>
  </si>
  <si>
    <t>1090 - OASIS CUTTING DISC STAINLESS (per piece)</t>
  </si>
  <si>
    <t>1091 - TYROLIT GRINDING (per piece)</t>
  </si>
  <si>
    <t>1092 - ELECTRICAL TAPE #Small (per piece)</t>
  </si>
  <si>
    <t>1093 - ELECTRICAL TAPE #Medium (per piece)</t>
  </si>
  <si>
    <t>1094 - IRWEN DIAMOND CUTTING (per piece)</t>
  </si>
  <si>
    <t>1095 - FLOOR DRAIN (per piece)</t>
  </si>
  <si>
    <t>1096 - HACKSAW BLADE SANDFLEX (per piece)</t>
  </si>
  <si>
    <t>1097 - SOLDERING IRON (per piece)</t>
  </si>
  <si>
    <t>1098 - BUFFING DISC (per piece)</t>
  </si>
  <si>
    <t>1099 - MEASURE TAPE 3Meter (per piece)</t>
  </si>
  <si>
    <t>1100 - MEASURE TAPE 5Meter (per piece)</t>
  </si>
  <si>
    <t>1101 - MEASURE TAPE 7.5Meter (per piece)</t>
  </si>
  <si>
    <t>1102 - DIAMOND WHEEL</t>
  </si>
  <si>
    <t>1103 - CARBON BRUSH #50A (per piece)</t>
  </si>
  <si>
    <t>1104 - CARBON BRUSH #408A (per piece)</t>
  </si>
  <si>
    <t>1105 - CARBON BRUSH #51A (per piece)</t>
  </si>
  <si>
    <t>1106 - CARBON BRUSH #101A (per piece)</t>
  </si>
  <si>
    <t>1107 - CARBON BRUSH #411 (per piece)</t>
  </si>
  <si>
    <t>1108 - TEXT SCREW ADAPTOR (per piece)</t>
  </si>
  <si>
    <t>1109 - DRILL BIT DORMER 1/8 (per piece)</t>
  </si>
  <si>
    <t>1110 - DRILL BIT DORMER 9/64 (per piece)</t>
  </si>
  <si>
    <t>1111 - DRILL BIT DORMER 5/32 (per piece)</t>
  </si>
  <si>
    <t>1112 - DRILL BIT DORMER 3/16 (per piece)</t>
  </si>
  <si>
    <t>1113 - DRILL BIT DORMER 1/4 (per piece)</t>
  </si>
  <si>
    <t>1114 - MASONRY #6 (per piece) IRWIN (BARINA)</t>
  </si>
  <si>
    <t>1115 - MASONRY #5 (per piece)IRWIN (BARINA)</t>
  </si>
  <si>
    <t>1116 - MASONRY #12 (per piece)IRWIN (BARINA)</t>
  </si>
  <si>
    <t>1117 - PVC COUPLING 1/2</t>
  </si>
  <si>
    <t>1118 - FEMALE ADAPTOR</t>
  </si>
  <si>
    <t>1119 - MALE COUPLING</t>
  </si>
  <si>
    <t>1120 - ELBOW THREADED</t>
  </si>
  <si>
    <t>1121 - TEE THREADED</t>
  </si>
  <si>
    <t>1122 - P-E COUPLING</t>
  </si>
  <si>
    <t>1123 - P-E ELBOW</t>
  </si>
  <si>
    <t>1124 - TEE COUPLING</t>
  </si>
  <si>
    <t>1125 - MALE COUPLING/POLY THYLENE PLUG (per piece)</t>
  </si>
  <si>
    <t>1126 - FEMALE COUPLING THREADED (per piece)</t>
  </si>
  <si>
    <t>1127 - TEE PLAIN- PVC</t>
  </si>
  <si>
    <t>1128 - DRAWER SLIDE BALL BEARING #10</t>
  </si>
  <si>
    <t>1129 - DRAWER SLIDE BALL BEARING #14</t>
  </si>
  <si>
    <t>1130 - DRAWER SLIDE BALL BEARING #16</t>
  </si>
  <si>
    <t>1131 - DRAWER SLIDE BALL BEARING #18</t>
  </si>
  <si>
    <t>1132 - DRAWER SLIDE BALL BEARING #20</t>
  </si>
  <si>
    <t>1133 - DRAWER SLIDE BALL BEARING #22</t>
  </si>
  <si>
    <t>1134 - DRILL CHUCK KEY 1/2</t>
  </si>
  <si>
    <t>1135 - DRILL CHUCK KEY 3/8</t>
  </si>
  <si>
    <t>1136 - POWER BIT 2X50MM</t>
  </si>
  <si>
    <t>1137 - POWER BIT 2X65MM</t>
  </si>
  <si>
    <t>1138 - BLIND REVETS 5/32X1 (1Box)</t>
  </si>
  <si>
    <t>1139 - BLIND REVETS 5/32X3/4 (1Box)</t>
  </si>
  <si>
    <t>1140 - ROPE/LUBID #12 (per meter)</t>
  </si>
  <si>
    <t>1141 - TOX #10 (pack)</t>
  </si>
  <si>
    <t>1142 - TOX #8 (pack)</t>
  </si>
  <si>
    <t>1143 - TOX #6 (pack)</t>
  </si>
  <si>
    <t>1144 - BBY ROLLER #4 (per piece)</t>
  </si>
  <si>
    <t>1145 - BBY ROLLER #6 (per piece)</t>
  </si>
  <si>
    <t>1146 - BBY ROLLER #7 (per piece)</t>
  </si>
  <si>
    <t>1147 - BLIND RIVETS 1/8X1/2 (4Box)</t>
  </si>
  <si>
    <t>1148 - BLIND RIVETS 5/32X1/2 (1Box)</t>
  </si>
  <si>
    <t>1149 - BLIND RIVETS 1/8X1 (2Box)</t>
  </si>
  <si>
    <t>1150 - BLIND RIVETS 3/16X1/2 (1Box)</t>
  </si>
  <si>
    <t>1151 - BLIND RIVETS 3/16X3/4 (1Box)</t>
  </si>
  <si>
    <t>1152 - STEEL BRUSH (per piece)</t>
  </si>
  <si>
    <t>1153 - TEX SCREW #2 500pcs (for metal)</t>
  </si>
  <si>
    <t>1154 - TEX SCREW #2.5 350pcs (for metal)</t>
  </si>
  <si>
    <t>1155 - TEX SCREW #2 500pcs (for wood)</t>
  </si>
  <si>
    <t>1156 - TEX SCREW #2.5 350pcs (for Wood)</t>
  </si>
  <si>
    <t>1157 - GYPSUM SCREW METAL 1 1/2 (1box 600pcs each)</t>
  </si>
  <si>
    <t>1158 - FLAP DISC (per piece)</t>
  </si>
  <si>
    <t>1159 - HOLESAW #3</t>
  </si>
  <si>
    <t>1160 - HOLESAW #6</t>
  </si>
  <si>
    <t>1161 - L-BAR 12X14</t>
  </si>
  <si>
    <t>1162 - L-ANGLE BARS 10X12</t>
  </si>
  <si>
    <t>1163 - SILICONE GUN</t>
  </si>
  <si>
    <t>1164 - NACARAT GLUE GUN</t>
  </si>
  <si>
    <t>1165 - PUTTY KNIFE 125mm</t>
  </si>
  <si>
    <t>1166 - PUTTY KNIFE 100mm</t>
  </si>
  <si>
    <t>1167 - PUTTY KNIFE 50mm</t>
  </si>
  <si>
    <t>1168 - WELDING WIRE</t>
  </si>
  <si>
    <t>1169 - BULB SOCKET</t>
  </si>
  <si>
    <t>1170 - SOLDERING IRON 35W</t>
  </si>
  <si>
    <t>1171 - EXPANSION NAIL CAP</t>
  </si>
  <si>
    <t>1172 - BOLT</t>
  </si>
  <si>
    <t>1173 - TOX #6 per pieces</t>
  </si>
  <si>
    <t>1174 - SAND PAPER 150</t>
  </si>
  <si>
    <t>1175 - SAND PAPER 100</t>
  </si>
  <si>
    <t>1176 - SAND PAPER 120</t>
  </si>
  <si>
    <t>1177 - VEST G/O</t>
  </si>
  <si>
    <t>1178 - REFLECTIVE VEST</t>
  </si>
  <si>
    <t>1179 - SHOVEL 68cm</t>
  </si>
  <si>
    <t>1180 - FLOWER SHEARS</t>
  </si>
  <si>
    <t>1181 - CLAW BAR</t>
  </si>
  <si>
    <t>1182 - CARLO-SCRAPER</t>
  </si>
  <si>
    <t>1183 - SAND PAPER 120 (EAGLE BRAND)</t>
  </si>
  <si>
    <t>1184 - YITAI SERIES</t>
  </si>
  <si>
    <t>1185 - AMES BARREL B</t>
  </si>
  <si>
    <t>1186 - AMES BARREL 2"</t>
  </si>
  <si>
    <t>1187 - AMES BARREL 4"</t>
  </si>
  <si>
    <t>1188 - LATCH 8</t>
  </si>
  <si>
    <t>1189 - TERMINAL SET</t>
  </si>
  <si>
    <t>1190 - AMES SCREW</t>
  </si>
  <si>
    <t>1191 - BRACKET SMALL - 5X6</t>
  </si>
  <si>
    <t>1192 - TRIANGULAR</t>
  </si>
  <si>
    <t>1193 - CABLE CLIPS</t>
  </si>
  <si>
    <t>1194 - S/S FLOOR STR</t>
  </si>
  <si>
    <t>1195 - TEK SCREW</t>
  </si>
  <si>
    <t>1196 - NS BRASS - GATE VALVE</t>
  </si>
  <si>
    <t>1197 - TEFLON 1/2</t>
  </si>
  <si>
    <t>1198 - ALLOY GATE BULB</t>
  </si>
  <si>
    <t>1199 - ALLOY FAUCET</t>
  </si>
  <si>
    <t>1200 - FAUCET WHITE</t>
  </si>
  <si>
    <t>1201 - AMES 06 PLAST</t>
  </si>
  <si>
    <t>1202 - ZINC ALLOY FA</t>
  </si>
  <si>
    <t>1203 - HINGE #3</t>
  </si>
  <si>
    <t>1204 - HINGE #2</t>
  </si>
  <si>
    <t>1205 - GRIPTITE AUTO BODY FILLER (Gal.)</t>
  </si>
  <si>
    <t>1206 - DURAPATCH BODY FILLER (LITER)</t>
  </si>
  <si>
    <t>1207 - MAYON LACQUER THINNER (Bottle)</t>
  </si>
  <si>
    <t>1208 - G,I PAINT THINNER (Bottle)</t>
  </si>
  <si>
    <t>1209 - SIKALITE WATERPROOFING</t>
  </si>
  <si>
    <t>1210 - VULCA SEAL 75ml Jr.</t>
  </si>
  <si>
    <t>1211 - SURESEAL EASTOMERIC SEALANT (82.5ml)</t>
  </si>
  <si>
    <t>1212 - MAC MASTER US LOOSE PIN HINGES 3-1/2''</t>
  </si>
  <si>
    <t>1213 - MAC MASTER US LOOSE PIN HINGES 4''</t>
  </si>
  <si>
    <t>1214 - WINCRAFT HSS DRILL BIT FOR STEEL 1/8''</t>
  </si>
  <si>
    <t>1215 - WINCRAFT HSS DRILL BIT FOR STEEL 5/32''</t>
  </si>
  <si>
    <t>1216 - WINCRAFT HSS DRILL BIT FOR STEEL 3/16''</t>
  </si>
  <si>
    <t>1217 - WINCRAFT HSS DRILL BIT FOR STEEL 1/4''</t>
  </si>
  <si>
    <t>1218 - EASTON CARBIDE TIP MASONRY DRILL BIT 1/8''</t>
  </si>
  <si>
    <t>1219 - EASTON CARBIDE TIP MASONRY DRILL BIT 1/4''</t>
  </si>
  <si>
    <t>1220 - G,I PLASTIC VARNISH--MAHOGANY</t>
  </si>
  <si>
    <t>1221 - G,I PLASTIC VARNISH--MAPLE</t>
  </si>
  <si>
    <t>1222 - G,I PLASTIC VARNISH--NATURAL</t>
  </si>
  <si>
    <t>1223 - G,I PLASTIC VARNISH--WALNUT</t>
  </si>
  <si>
    <t>1224 - SISTEMA BEARING SLIDE 3-FOLD DRAWER GUIDE 12'' (145.50.022</t>
  </si>
  <si>
    <t>1225 - SISTEMA BEARING SLIDE 3-FOLD DRAWER GUIDE 14'' (145.50.024</t>
  </si>
  <si>
    <t>1226 - SISTEMA BEARING SLIDE 3-FOLD DRAWER GUIDE 16'' (145.50.026</t>
  </si>
  <si>
    <t>1227 - HUNTER CLAW HAMMER FIBERGLASS HANDLE (HM-F) 16oz.</t>
  </si>
  <si>
    <t>1228 - RYDER/HUNTER CLAW HAMMER TUBULAR STEEL HANDLE (HM-S) 16oz.</t>
  </si>
  <si>
    <t>1229 - HUNTER CLAW HAMMER WOODEN HANDLE (HM-W) 16oz.</t>
  </si>
  <si>
    <t>1230 - SHOVEL POINTED ARMOR ALL-STEEL (SSP-01)</t>
  </si>
  <si>
    <t>1231 - HUNTER ALUMINUM LEVEL 3-Vials 40cm (AL-312)</t>
  </si>
  <si>
    <t>1232 - HUNTER ALUMINUM LEVEL 3-Vials 45cm (AL-318)</t>
  </si>
  <si>
    <t>1233 - HUNTER ALUMINUM LEVEL 3-Vials 60cm (AL-324)</t>
  </si>
  <si>
    <t>1234 - HUNTER ALUMINUM LEVEL 3-Vials 32'' (AL-332)</t>
  </si>
  <si>
    <t>1235 - HACKSAW FRAME HUNTER PVC HANDLE (HF-PO2)</t>
  </si>
  <si>
    <t>1236 - HACKSAW FRAME HUNTER TRP Rubber Handle (HF-TO1)</t>
  </si>
  <si>
    <t>1237 - TIN SNIP 8'' CRESTON (aps)-208)</t>
  </si>
  <si>
    <t>1238 - TIN SNIP 12'' CRESTON (APS-212)</t>
  </si>
  <si>
    <t>1239 - TIN SNIP 14'' CRESTON (APS-214)</t>
  </si>
  <si>
    <t>1240 - WINCRAFT STEEL TAPE 3-Meter</t>
  </si>
  <si>
    <t>1241 - WINCRAFT STEEL TAPE 5-meter</t>
  </si>
  <si>
    <t>1242 - WINCRAFT STEEL TAPE 7.5 meter</t>
  </si>
  <si>
    <t>1243 - HAND RIVITER HUNTER HEAVY DUTY GRAY</t>
  </si>
  <si>
    <t>1244 - HAND RIVITER HUNTER HEAVY DUTY CHROME (HRC-02)</t>
  </si>
  <si>
    <t>1245 - STANLEY SLIP JOINT PILER 6''</t>
  </si>
  <si>
    <t>1246 - HUNTER HANDSAW PVC HANDLE 20'' (HSP-20)</t>
  </si>
  <si>
    <t>1247 - HUNTER HANDSAW WOODEN HANDLE 20'' (HSW-20)</t>
  </si>
  <si>
    <t>1248 - HUNTER TRI-SQUARE 10''</t>
  </si>
  <si>
    <t>1249 - HUNTER TRI-SQUARE 12''</t>
  </si>
  <si>
    <t>1250 - HUNTER TRI-SQUARE 8''</t>
  </si>
  <si>
    <t>1251 - EMT PIPE 1/2 X 10ft</t>
  </si>
  <si>
    <t>1252 - EMT PIPE 3/4 X 10ft</t>
  </si>
  <si>
    <t>1253 - EMT ELBOW 3/4 Long</t>
  </si>
  <si>
    <t>1254 - EMT ELBOW 1/2 Short</t>
  </si>
  <si>
    <t>1255 - ALUMINUM WIRE 8/2</t>
  </si>
  <si>
    <t>1256 - ALUMINUM WIRE 10/1</t>
  </si>
  <si>
    <t>1257 - PVC CLAMP 1/2 W/ NAILS</t>
  </si>
  <si>
    <t>1258 - PVC CLAMP 3/4</t>
  </si>
  <si>
    <t>1259 - SADDLE CLAMP 1/2</t>
  </si>
  <si>
    <t>1260 - SADDLE CLAMP 3/4</t>
  </si>
  <si>
    <t>1261 - WIRE HOLDER (Big)</t>
  </si>
  <si>
    <t>1262 - WIRE HOLDER (Small)</t>
  </si>
  <si>
    <t>1263 - SECONDARY RACK 2W</t>
  </si>
  <si>
    <t>1264 - MALE PLUG REGULAR (Royu)</t>
  </si>
  <si>
    <t>1265 - FEMALE PLUG (Royu)</t>
  </si>
  <si>
    <t>1266 - STICKWELL WOOD GLUE POUCH 250g</t>
  </si>
  <si>
    <t>1267 - 3gang OUTLET (Royu St)</t>
  </si>
  <si>
    <t>1268 - LED BULB 9W (ECOLUM)</t>
  </si>
  <si>
    <t>1269 - LED BULB 7W (OSTAR))</t>
  </si>
  <si>
    <t>1270 - MECA TUBE 1/4</t>
  </si>
  <si>
    <t>1271 - STAPLE WIRE #1</t>
  </si>
  <si>
    <t>1272 - ELECTRIC METER BASE 3/4'' (Koreno)</t>
  </si>
  <si>
    <t>1273 - FLEXIBALE HOSE 1/2X100m</t>
  </si>
  <si>
    <t>1274 - FLEXIBALE HOSE 3/4X100m</t>
  </si>
  <si>
    <t>1275 - PVC PIPE ORANGE 1/2</t>
  </si>
  <si>
    <t>1276 - PVC PIPE ORANGE 3/4</t>
  </si>
  <si>
    <t>1277 - PVC ELBOW 1/2 Short</t>
  </si>
  <si>
    <t>1278 - PVC ELBOW 1/2 Long</t>
  </si>
  <si>
    <t>1279 - PVC ELBOW 3/4 Short</t>
  </si>
  <si>
    <t>1280 - PVC ELBOW 3/4 Long</t>
  </si>
  <si>
    <t>1281 - EMT CONNECTOR 1/2</t>
  </si>
  <si>
    <t>1282 - EMT CONNECTOR 3/4</t>
  </si>
  <si>
    <t>1283 - FLEXIBLE CONNECTOR 1/2</t>
  </si>
  <si>
    <t>1284 - FLEXIBLE CONNECTOR 3/4</t>
  </si>
  <si>
    <t>1285 - JUNCTION BOX PVC w/cover</t>
  </si>
  <si>
    <t>1286 - UTILITY BOX PVC Plain</t>
  </si>
  <si>
    <t>1287 - 1 OUTLET (Royu ft)</t>
  </si>
  <si>
    <t>1288 - 2 OUTLET (Royu ft)</t>
  </si>
  <si>
    <t>1289 - 3 OUTLET (Royu ft)</t>
  </si>
  <si>
    <t>1290 - 1 SWITCH (Royu)</t>
  </si>
  <si>
    <t>1291 - 2 SWITCH (Royu)</t>
  </si>
  <si>
    <t>1292 - 3 SWITCH (Royu)</t>
  </si>
  <si>
    <t>1293 - FLATCORD 16/2</t>
  </si>
  <si>
    <t>1294 - FLATCORD 14/2</t>
  </si>
  <si>
    <t>1295 - LED BULB 3W (Sylvania)</t>
  </si>
  <si>
    <t>1296 - LED BULB 5W (Sylvania)</t>
  </si>
  <si>
    <t>1297 - LED BULB 13W (Ecolink)</t>
  </si>
  <si>
    <t>1298 - PAINT DAVIES PROLUX PUTTY WHITE (Litter)</t>
  </si>
  <si>
    <t>1299 - STANLEY SNAP OFF KNIFE</t>
  </si>
  <si>
    <t>1300 - GRINDING WHEEL LOTUS (Metal)</t>
  </si>
  <si>
    <t>1301 - CUTTING DISC LOTUS STAINLESS</t>
  </si>
  <si>
    <t>1302 - HOMEAID RUBBER WHEEL</t>
  </si>
  <si>
    <t>1303 - HAUSMANN HINGES (Box)</t>
  </si>
  <si>
    <t>1304 - CUTTER HAUSMANN 9mm</t>
  </si>
  <si>
    <t>1305 - TURNBUCKLE HAUSMANN 4mm (5/32'') EYE/HOOK</t>
  </si>
  <si>
    <t>1306 - TURNBUCKLE 8mm</t>
  </si>
  <si>
    <t>1307 - TACKLE PULLEY 1/2</t>
  </si>
  <si>
    <t>1308 - TACKLE PULLEY 3/4</t>
  </si>
  <si>
    <t>1309 - TACKLE PULLEY 2''</t>
  </si>
  <si>
    <t>1310 - CYLINDRICAL HINGES 3/8</t>
  </si>
  <si>
    <t>1311 - CYLINDRICAL HINGES 5/8</t>
  </si>
  <si>
    <t>1312 - JENEX CYLINDRICAL HINGES 3/4</t>
  </si>
  <si>
    <t>1313 - JENEX CYLINDRICAL HINGES 1</t>
  </si>
  <si>
    <t>1314 - DOUBLE FURRING .3 (DDY)</t>
  </si>
  <si>
    <t>1315 - SINGLE FURRING (L)</t>
  </si>
  <si>
    <t>1316 - WALL ANGLE (L)</t>
  </si>
  <si>
    <t>1317 - METAL STUDS 3'' (DDY)</t>
  </si>
  <si>
    <t>1318 - METAL STUDS 2 1/2 (L)</t>
  </si>
  <si>
    <t>1319 - METAL STUDS 2'' (L) PRIOMETAL</t>
  </si>
  <si>
    <t>1320 - METAL STUDS 4'' (L) PRIOMETAL</t>
  </si>
  <si>
    <t>1321 - CARRYING CHANNEL (L)</t>
  </si>
  <si>
    <t>1322 - DOUBLE CLIP</t>
  </si>
  <si>
    <t>1323 - PVC PIPE SANITARY #2 (S600)</t>
  </si>
  <si>
    <t>1324 - PVC PIPE SANITARY #2 (S500)</t>
  </si>
  <si>
    <t>1325 - PVC PIPE SANITARY #3 (S600)</t>
  </si>
  <si>
    <t>1326 - PVC PIPE SANITARY #3 (S500)</t>
  </si>
  <si>
    <t>1327 - TOILET BOWL</t>
  </si>
  <si>
    <t>1328 - ONE TILE ADHESIVE (Bags)</t>
  </si>
  <si>
    <t>1329 - SKIM COAT (Bags) BIG ELEPHANT</t>
  </si>
  <si>
    <t>1330 - HARDWARE CLOTHE/HAYAGAN (Roll)</t>
  </si>
  <si>
    <t>1331 - SMART BOARD 3.5</t>
  </si>
  <si>
    <t>1332 - SMART BOARD 4.5</t>
  </si>
  <si>
    <t>1333 - HARDINAILS (Kls)</t>
  </si>
  <si>
    <t>1334 - OASIS GRINDING WHEEL DISC</t>
  </si>
  <si>
    <t>1335 - BOSCH DRILL BIT 1/8'' (Metal)</t>
  </si>
  <si>
    <t>1336 - SIEGER PAINT BRUSH 1</t>
  </si>
  <si>
    <t>1337 - SIEGER PAINT BRUSH 2 1/2</t>
  </si>
  <si>
    <t>1338 - SIEGER PAINT BRUSH 2</t>
  </si>
  <si>
    <t>1339 - SIEGER PAINT BRUSH 1 1/2</t>
  </si>
  <si>
    <t>1340 - NYLON ROPE (PANGLINSA)</t>
  </si>
  <si>
    <t>1341 - SQUARE CIRCLE LOCK (small) 30mm</t>
  </si>
  <si>
    <t>1342 - SQUARE CIRCLE LOCK (Big) 40mm</t>
  </si>
  <si>
    <t>1343 - BAOLING LOCK 40mm</t>
  </si>
  <si>
    <t>1344 - BAOLING LOCK 30mm</t>
  </si>
  <si>
    <t>1345 - SWERTE HARDWARE (small tool screw)</t>
  </si>
  <si>
    <t>1346 - AMES HARDWARE (small tool screw)</t>
  </si>
  <si>
    <t>1347 - SWERTE HARDWARE Tool screw/ L stainless</t>
  </si>
  <si>
    <t>1348 - BESTGUARD (Tool)</t>
  </si>
  <si>
    <t>1349 - AMES HARDWARE TOX tool (small)</t>
  </si>
  <si>
    <t>1350 - AMES HARWARE TOX tool (big)</t>
  </si>
  <si>
    <t>1351 - DOOR HANDLE W/SCREW</t>
  </si>
  <si>
    <t>1352 - DOOR HANDLE W/SCREW (Small)</t>
  </si>
  <si>
    <t>1353 - DRAWER LOCKS CORE</t>
  </si>
  <si>
    <t>1354 - JOSE TOP SECURITY LOCKS</t>
  </si>
  <si>
    <t>1355 - TIGON HEAVY DUTY LOCKS</t>
  </si>
  <si>
    <t>1356 - SUN CRUISES LOCKS R-96</t>
  </si>
  <si>
    <t>1357 - SUN CRUISES LOCKS R-97</t>
  </si>
  <si>
    <t>1358 - HIGH QUALITY HARDWARE DOOR SAFETY</t>
  </si>
  <si>
    <t>1359 - GOLDEN DRAGON DOOR SAFETY</t>
  </si>
  <si>
    <t>1360 - JOSE HARDWARE DOOR SAFETY 8''</t>
  </si>
  <si>
    <t>1361 - SUN AMES DOOR SAFETY 8'' (Big)</t>
  </si>
  <si>
    <t>1362 - SUN AMES DOOR SAFETY 4'' (Small)</t>
  </si>
  <si>
    <t>1363 - SUN AMES DOOR SAFETY (Medium)</t>
  </si>
  <si>
    <t>1364 - MASKING TAPE 1"(TECHNO)</t>
  </si>
  <si>
    <t>1365 - PACKAGING TAPE (Brown)</t>
  </si>
  <si>
    <t>1366 - NIKKO SPRAY PAINT (Flat black) #140</t>
  </si>
  <si>
    <t>1367 - NIKKO SPRAY PAINT (Gloss white) #111</t>
  </si>
  <si>
    <t>1368 - NIKKO SPRAY PAINT (Bright silver) #117</t>
  </si>
  <si>
    <t>1369 - NIKKO SPRAY PAINT (Light yellow) #150</t>
  </si>
  <si>
    <t>1370 - NIKKO SPRAY PAINT (Apple green) #124</t>
  </si>
  <si>
    <t>1371 - NIKKO SPRAY PAINT (Honda blue) #155</t>
  </si>
  <si>
    <t>1372 - NIKKO SPRAY PAINT (Brown) #134</t>
  </si>
  <si>
    <t>1373 - PVC ATLANTA/NELTEX BLUE PIPE 1/2</t>
  </si>
  <si>
    <t>1374 - PVC ATLANTA/NELTEX BLUE PIPE 3/4</t>
  </si>
  <si>
    <t>1375 - MEGALUME PLAIN SHEET 0.25mm TCT X 8ft.</t>
  </si>
  <si>
    <t>1376 - DURALUME PLAIN SHEET 0.35mm TCT X 8ft.</t>
  </si>
  <si>
    <t>1377 - MEGALUME CORR 0.25mm TCT X 8ft.</t>
  </si>
  <si>
    <t>1378 - YAGA TILE ADHESIVE</t>
  </si>
  <si>
    <t>1379 - BOYSEN PERM. FLAT LATEX WHITE #701 (GAL)</t>
  </si>
  <si>
    <t>1380 - BOYSEN GLASING PUTTY WHITE #311 (GAL)</t>
  </si>
  <si>
    <t>1381 - BOYSEN LAC. SPOT PUTTY WHITE #306 (GAL)</t>
  </si>
  <si>
    <t>1382 - BOYSEN PERM. FLAT LATEX WHITE #701 (Liter)</t>
  </si>
  <si>
    <t>1383 - BOYSEN LAC. SPOT PUTTY WHITE #306 (Liter)</t>
  </si>
  <si>
    <t>1384 - STRAW /HIKOT (COLORS)</t>
  </si>
  <si>
    <t>1385 - GARBAGE BAG (Small)</t>
  </si>
  <si>
    <t>1386 - GARBAGE BAG (Medium)</t>
  </si>
  <si>
    <t>1387 - BAIRAN SMALL</t>
  </si>
  <si>
    <t>1388 - PALITA WOODEN HANDLE</t>
  </si>
  <si>
    <t>1389 - PALITA ORANGE HANDLE</t>
  </si>
  <si>
    <t>1390 - BAIRAN BIG</t>
  </si>
  <si>
    <t>1391 - BRACKET MEDIUM - 6X8</t>
  </si>
  <si>
    <t>1392 - JOSE PAINT BRUSH (Small)</t>
  </si>
  <si>
    <t>1393 - JOSE PAINT BRUSH (Big)</t>
  </si>
  <si>
    <t>1394 - BRACKET LARGE - 8X10</t>
  </si>
  <si>
    <t>1395 - FULL CHAIN FIREFLY SOCKET</t>
  </si>
  <si>
    <t>1396 - CEILING RECEPTACLE 2 1/4 FIREFLY</t>
  </si>
  <si>
    <t>1397 - CEILENG RECEPTACLE 4 1/4 FIREFLY</t>
  </si>
  <si>
    <t>1398 - SWITCH BOX PVC (Royu)</t>
  </si>
  <si>
    <t>1399 - SNAP SWITCH (Royu)</t>
  </si>
  <si>
    <t>1400 - REGULAR MALE PLUG (Royu)</t>
  </si>
  <si>
    <t>1401 - RUBBER SOCKET S</t>
  </si>
  <si>
    <t>1402 - 3 GANG OUTLET EXTENSION 5METER (Kopez)</t>
  </si>
  <si>
    <t>1403 - 2 GANG OUTLET EXTENSION 3METER (Kopez)</t>
  </si>
  <si>
    <t>1404 - 3 GANG OUTLET (Royu) ST</t>
  </si>
  <si>
    <t>1405 - 2 GANG OUTLET (Royu) ST</t>
  </si>
  <si>
    <t>1406 - ELECTRICAL TAPE (ARMAK)</t>
  </si>
  <si>
    <t>1407 - ELECTRICAL TAPE (TARTAN 3M)</t>
  </si>
  <si>
    <t>1408 - FEMALE PLUG (Kopez)</t>
  </si>
  <si>
    <t>1409 - PANEL BOX 2 POLE PLUG-IN</t>
  </si>
  <si>
    <t>1410 - SQUARE BOX ORANGE PVC (Royu)</t>
  </si>
  <si>
    <t>1411 - TOX #10 per pieces</t>
  </si>
  <si>
    <t>1412 - TOX #8 per pieces</t>
  </si>
  <si>
    <t>1413 - PVC SOLVENT CEMENT BIG (SHERMAN)</t>
  </si>
  <si>
    <t>1414 - HITECH PAINT ROLLER #9 REFILL</t>
  </si>
  <si>
    <t>1415 - HITECH PAINT ROLLER #9 W/ HANDLE</t>
  </si>
  <si>
    <t>1416 - LETEC FLEXIBLE HOSE 20'' (Water)</t>
  </si>
  <si>
    <t>1417 - LETEC ANGLE VALVE Model #5645</t>
  </si>
  <si>
    <t>1418 - LETEC ANGLE VALVE Model #5650</t>
  </si>
  <si>
    <t>1419 - WATER METER (CHINA)</t>
  </si>
  <si>
    <t>1420 - TYROLIT CUTTING DISC 4''</t>
  </si>
  <si>
    <t>1421 - BRASS FAUCET (PLAIN BIBB)</t>
  </si>
  <si>
    <t>1422 - LPG REGULATOR SMALL (Kornileu)</t>
  </si>
  <si>
    <t>1423 - LPG REGULATOR BIG (Kornileu)</t>
  </si>
  <si>
    <t>1424 - PHILDEX FAUCET #5113</t>
  </si>
  <si>
    <t>1425 - SATURN TELEPHONE SHOWER #2714</t>
  </si>
  <si>
    <t>1426 - SATURN TELEPHONE SHOWER #2709</t>
  </si>
  <si>
    <t>1427 - LETEC 2 WAY FAUCET #5663</t>
  </si>
  <si>
    <t>1428 - GOOSENECK FAUCET #8023</t>
  </si>
  <si>
    <t>1429 - GYPSUM SCREW WOOD 1 1/4 (3box 800pcs each box)</t>
  </si>
  <si>
    <t>1430 - GYPSUM SCREW WOOD 2 (3box 500pcs each box)</t>
  </si>
  <si>
    <t>1431 - GYPSUM SCREW WOOD 1 1/2 (2box 600pcs each box)</t>
  </si>
  <si>
    <t>1432 - GYPSUM SCREW METAL 1 1/4 (3box 800pcs each box)</t>
  </si>
  <si>
    <t>1433 - GYPSUM SCREW METAL 2 (3box 500pcs each box)</t>
  </si>
  <si>
    <t>1434 - BLIND RIVETS 1/8 x 3/4 (3box)</t>
  </si>
  <si>
    <t>1435 - LOTUS DRILL BIT</t>
  </si>
  <si>
    <t>1436 - HAUSMANN DRILL BIT (Masonry 5mm)</t>
  </si>
  <si>
    <t>1437 - HAUSMANN DRILL BIT (Masonry 6mm)</t>
  </si>
  <si>
    <t>1438 - LOTUS MASONRY DRILL BIT (size 10)</t>
  </si>
  <si>
    <t>1439 - LOTUS HSS-CO DRILL BIT 5/64''</t>
  </si>
  <si>
    <t>1440 - LOTUS HSS-G DRILL BIT 3/32''</t>
  </si>
  <si>
    <t>1441 - CYLINDRICAL HINGES 1/2</t>
  </si>
  <si>
    <t>1442 - HOOK&amp;EYE 5/16 TURN BUCKLE</t>
  </si>
  <si>
    <t>1443 - HOOK&amp;EYE 1/4 TURN BUCKLE</t>
  </si>
  <si>
    <t>1444 - EGRET PADLOCK 25mm</t>
  </si>
  <si>
    <t>1445 - EGRET PADLOCK 20mm</t>
  </si>
  <si>
    <t>1446 - REGINA HYDRAULIC BUFFERING (Hinges)</t>
  </si>
  <si>
    <t>1447 - PIONEER BUILDER'S BOND POUCH 100g</t>
  </si>
  <si>
    <t>1448 - WINCRAFT CONCELLED HINGES FULL-OVERLAY(CHF-C1)</t>
  </si>
  <si>
    <t>1449 - WINCRAFT CONCELLED HINGES HALF-OVERLAY(CHH-C2)</t>
  </si>
  <si>
    <t>1450 - WINCRAFT CONCELLED HINGES INSET(CH1-C3)</t>
  </si>
  <si>
    <t>1451 - WINCRAFT HYDRAULIC SOFT-CLOSING CONCELLED HINGES FULL-OVERLY(CSF-CS1)</t>
  </si>
  <si>
    <t>1452 - WINCRAFT HYDRAULIC SOFT-CLOSING CONCELLED HINGES HALF-OVERLY(CSH-CS2)</t>
  </si>
  <si>
    <t>1453 - WINCRAFT HYDRAULIC SOFT-CLOSING CONCELLED HINGES INSET (CSI-CS3)</t>
  </si>
  <si>
    <t>1454 - EGRET PADLOCK 30mm</t>
  </si>
  <si>
    <t>1455 - FLOOR SANDING #60 3meter</t>
  </si>
  <si>
    <t>1456 - FLOOR SANDING #80 3meter</t>
  </si>
  <si>
    <t>1457 - FLOOR SANDING #100 3meter</t>
  </si>
  <si>
    <t>1458 - MASKING TAPE 1/2 (Hunter)</t>
  </si>
  <si>
    <t>1459 - HUNTER CYLINDRICAL LOCKSET #587 SS</t>
  </si>
  <si>
    <t>1460 - HUNTER CYLINDRICAL LOCKSET #588 AB</t>
  </si>
  <si>
    <t>1461 - CONCRETE NAIL #1 25 kilos @72 per kilo</t>
  </si>
  <si>
    <t>1462 - CONCRETE NAIL #3 25 kilos @72 per kilo</t>
  </si>
  <si>
    <t>1463 - FINISHING NAIL #2 per 1kilo</t>
  </si>
  <si>
    <t>1464 - GRAND MASTER LACQUER THINNER</t>
  </si>
  <si>
    <t>1465 - NYLON CABLE TIE 3mm x 60mm (500pcs)</t>
  </si>
  <si>
    <t>1466 - NYLON CABLE TIE 3mm x 100mm (80pcs)</t>
  </si>
  <si>
    <t>1467 - NYLON CABLE TIE 3mm x 200mm (60pcs)</t>
  </si>
  <si>
    <t>1468 - NYLON CABLE TIE 4mm x 200mm (100pcs)</t>
  </si>
  <si>
    <t>1469 - NYLON CABLE TIE 3mm x 300mm (100pcs)</t>
  </si>
  <si>
    <t>1470 - NYLON CABLE TIE 5mm x 350mm (25pcs)</t>
  </si>
  <si>
    <t>1471 - NYLON CABLE TIE 3mm x 150mm (80pcs)</t>
  </si>
  <si>
    <t>1472 - BOLT ZINC PLATED 5/16 x 2-3/4</t>
  </si>
  <si>
    <t>1473 - BOLT ZINC PLATED 3/8 x 1-1/2</t>
  </si>
  <si>
    <t>1474 - BOLT ZINC PLATED 1/4 x 3/4</t>
  </si>
  <si>
    <t>1475 - BOLT ZINC PLATED 3/8 x 4</t>
  </si>
  <si>
    <t>1476 - BOLT ZINC PLATED 5/16 x 3-1/4</t>
  </si>
  <si>
    <t>1477 - FLOOR DRAIN (Nice Diamond)</t>
  </si>
  <si>
    <t>1478 - PLASTIC PULLY 40mm</t>
  </si>
  <si>
    <t>1479 - PLASTIC PULLY 30mm</t>
  </si>
  <si>
    <t>1480 - PLASTIC PULLY 25mm</t>
  </si>
  <si>
    <t>1481 - METAL PULLY 25mm</t>
  </si>
  <si>
    <t>1482 - WHEEL RED (Small)</t>
  </si>
  <si>
    <t>1483 - WHEEL BLACK (Small)</t>
  </si>
  <si>
    <t>1484 - WHEEL WHITE (Small)</t>
  </si>
  <si>
    <t>1485 - WHEEL BLACK (Medium)</t>
  </si>
  <si>
    <t>1486 - WHEEL RED (Medium)</t>
  </si>
  <si>
    <t>1487 - WHEEL BLUE (Medium)</t>
  </si>
  <si>
    <t>1488 - WHEEL ORANGE (Medium)</t>
  </si>
  <si>
    <t>1489 - WHEEL CASTER BLACK</t>
  </si>
  <si>
    <t>1490 - VULCASEAL 1/4</t>
  </si>
  <si>
    <t>1491 - VULCASEAL 1/2</t>
  </si>
  <si>
    <t>1492 - NO MORE NAILS 30g</t>
  </si>
  <si>
    <t>1493 - NO MORE NAILS 100g</t>
  </si>
  <si>
    <t>1494 - RUGBY EXCEL 20g (SACHET)</t>
  </si>
  <si>
    <t>1495 - RUGBY EXCEL 45ml</t>
  </si>
  <si>
    <t>1496 - RUGBY EXCEL 300ml</t>
  </si>
  <si>
    <t>1497 - MAJESTA DIAMOND CUTTING WHEEL</t>
  </si>
  <si>
    <t>1498 - SUNRISE CUTTING DISC #4</t>
  </si>
  <si>
    <t>1499 - SUNRISE GRINDING DISC #4</t>
  </si>
  <si>
    <t>1500 - DEVCON S520 small</t>
  </si>
  <si>
    <t>1501 - NELTEX PVC SOLVENT 200cc</t>
  </si>
  <si>
    <t>1502 - NELTEX PVC SOLVENT 100cc</t>
  </si>
  <si>
    <t>1503 - EASYTITE BODY FILLER (liter)</t>
  </si>
  <si>
    <t>1504 - SAHARA</t>
  </si>
  <si>
    <t>1505 - PACKAGING CLEAR TAPE</t>
  </si>
  <si>
    <t>1506 - SUNRISE FLAP DISC #80</t>
  </si>
  <si>
    <t>1507 - SUNRISE FLAP DISC #100</t>
  </si>
  <si>
    <t>1508 - SUNRISE FLAP DISC #120</t>
  </si>
  <si>
    <t>1509 - SANITARY PVC ELBOW 3x90</t>
  </si>
  <si>
    <t>1510 - SANITARY PVC ELBOW 4x90</t>
  </si>
  <si>
    <t>1511 - WD40 191ml</t>
  </si>
  <si>
    <t>1512 - HOSE CLAMP 4''</t>
  </si>
  <si>
    <t>1513 - HOSE CLAMP 5''</t>
  </si>
  <si>
    <t>1514 - HOSE CLAMP 6''</t>
  </si>
  <si>
    <t>1515 - CONCRETE NAIL #4 (per 1kilo) 25kilos</t>
  </si>
  <si>
    <t>1516 - BOYSEN ACRYTEX PRIMER #1705 (Gal)</t>
  </si>
  <si>
    <t>1517 - FIX ALL TILE ADHESIVE 25kg</t>
  </si>
  <si>
    <t>1518 - HACKSAW W/ PVC HANDLE #18 (JENEX)</t>
  </si>
  <si>
    <t>1519 - PE PIPE 1/2 x 100m (SDR11 / ISO) ROLL</t>
  </si>
  <si>
    <t>1520 - PE PIPE 3/4 x 100m (SDR11 / ISO) ROLL</t>
  </si>
  <si>
    <t>1521 - LEVEL HOSE 5/16'' (150m/ROLL) NEON GREEN EXTRA THICK</t>
  </si>
  <si>
    <t>1522 - LEVEL HOSE 1/4'' (150m/ROLL) NEON GREEN EXTRA THICK</t>
  </si>
  <si>
    <t>1523 - RUBBER GARDEN HOSE 1/2 x 90m (ROLL) HUNTER</t>
  </si>
  <si>
    <t>1524 - RUBBER GARDEN HOSE 3/4 x 60m (ROLL)</t>
  </si>
  <si>
    <t>1525 - HOSE NOZZLE BRASS CRESTON CBC-223</t>
  </si>
  <si>
    <t>1526 - HOSE NOZZLE BRASS OHAYO</t>
  </si>
  <si>
    <t>1527 - CHALK STONE 100 PCS.</t>
  </si>
  <si>
    <t>1528 - HOSE CLAMP 1/2</t>
  </si>
  <si>
    <t>1529 - HOSE CLAMP 3/4</t>
  </si>
  <si>
    <t>1530 - ELECTRODE HOLDER FULL BRASS 300A HUNTER(EHCS-300)</t>
  </si>
  <si>
    <t>1531 - INGCO SNAP OFF BLADE KNIFE (HKNS16618)</t>
  </si>
  <si>
    <t>1532 - BREAKER INCLOSURE AMERICA</t>
  </si>
  <si>
    <t>1533 - PANEL BOARD/NEMA 1 PLUG IN</t>
  </si>
  <si>
    <t>1534 - PANEL BOARD/NEMA 1 BOLT ON</t>
  </si>
  <si>
    <t>1535 - THHN WIRE 2.0mm (150meter)</t>
  </si>
  <si>
    <t>1536 - THHN WIRE 3.5mm (150meter)</t>
  </si>
  <si>
    <t>1537 - ROPE 1mm ROLL (200m)</t>
  </si>
  <si>
    <t>1538 - ROPE 2.5mm ROLL (200m)</t>
  </si>
  <si>
    <t>1539 - ROPE 3mm ROLL (200m)</t>
  </si>
  <si>
    <t>1540 - ROPE 3.5mm ROLL (200m)</t>
  </si>
  <si>
    <t>1541 - ROPE 4mm ROLL (200m)</t>
  </si>
  <si>
    <t>1542 - ROPE 5mm ROLL (200m)</t>
  </si>
  <si>
    <t>1543 - ROPE 6mm ROLL (200m)</t>
  </si>
  <si>
    <t>1544 - ROPE 7mm ROLL (200m)</t>
  </si>
  <si>
    <t>1545 - ROPE 8mm ROLL (200m)</t>
  </si>
  <si>
    <t>1546 - ROPE 9mm ROLL (200m)</t>
  </si>
  <si>
    <t>1547 - ROPE 10mm ROLL (200m)</t>
  </si>
  <si>
    <t>1548 - MOSQUITO NET (60m)</t>
  </si>
  <si>
    <t>1549 - 1/2 PLASTIC NET (30m)</t>
  </si>
  <si>
    <t>1550 - 1/8 PLASTIC NET (30m)</t>
  </si>
  <si>
    <t>1551 - NYLON</t>
  </si>
  <si>
    <t>1552 - B NET (90m)</t>
  </si>
  <si>
    <t>1553 - RANGE NET per meter (100m)</t>
  </si>
  <si>
    <t>1554 - PALITA/CAZZUOLA</t>
  </si>
  <si>
    <t>1555 - TUBULAR 1x1x1.2mm G,I</t>
  </si>
  <si>
    <t>1556 - TUBULAR 1x1x1.5mm G,I</t>
  </si>
  <si>
    <t>1557 - TUBULAR 2x2x1.5mm G,I</t>
  </si>
  <si>
    <t>1558 - TUBULAR 2x2x1.2mm G,I</t>
  </si>
  <si>
    <t>1559 - TUBULAR 2x3x1.2mm G,I</t>
  </si>
  <si>
    <t>1560 - TUBULAR 2x3x1.5mm G,I</t>
  </si>
  <si>
    <t>1561 - TUBULAR 2x4x1.2mm G,I</t>
  </si>
  <si>
    <t>1562 - TUBULAR 2x4x1.5mm G,I</t>
  </si>
  <si>
    <t>1563 - FLAT BAR 1/8x1 BLUE</t>
  </si>
  <si>
    <t>1564 - FLAT BAR 3/16x1 YELLOW</t>
  </si>
  <si>
    <t>1565 - FLAT BAR 1/4x1 (SUB) RED</t>
  </si>
  <si>
    <t>1566 - FLAT BAR 3/16x1 1/2 YELLOW</t>
  </si>
  <si>
    <t>1567 - FLAT BAR 1/4 x 1 1/2 (SUB)</t>
  </si>
  <si>
    <t>1568 - FLAT BAR 1/8x2</t>
  </si>
  <si>
    <t>1569 - FLAT BAR 3/16x2 YELLOW</t>
  </si>
  <si>
    <t>1570 - FLAT BAR 1/4x2 (SUB)</t>
  </si>
  <si>
    <t>1571 - TIE WIRE #16 1/2 kilos</t>
  </si>
  <si>
    <t>1572 - PVC COUPLING NO.2</t>
  </si>
  <si>
    <t>1573 - PVC COUPLING NO.3</t>
  </si>
  <si>
    <t>1574 - PVC COUPLING NO.4</t>
  </si>
  <si>
    <t>1575 - PVC TEE ELBOW NO.3</t>
  </si>
  <si>
    <t>1576 - PVC TEE NO. 4</t>
  </si>
  <si>
    <t>1577 - COMMON WIRE NAILS #1 25kls 1/2 kilo</t>
  </si>
  <si>
    <t>1578 - COMMON WIRE NAILS #1 1/2 25kls 1/2 kilo</t>
  </si>
  <si>
    <t>1579 - COMMON WIRE NAILS #2 25kls 1/2 kilo</t>
  </si>
  <si>
    <t>1580 - COMMON WIRE NAILS #2 1/2 25kls 1/2 kilo</t>
  </si>
  <si>
    <t>1581 - COMMON WIRE NAILS #3 25kls 1/2kilo</t>
  </si>
  <si>
    <t>1582 - COMMON WIRE NAILS #4 25kls 1/2 kilo</t>
  </si>
  <si>
    <t>1583 - CONCRETE NAIL #4 1/2 kilo 25kilos</t>
  </si>
  <si>
    <t>1584 - CONCRETE NAIL #4 1/4 kilo 25kilos</t>
  </si>
  <si>
    <t>1585 - COMMON WIRE NAILS #1 25kls 1/4 kilo</t>
  </si>
  <si>
    <t>1586 - COMMON WIRE NAILS #1 1/2 25kls 1/4 kilo</t>
  </si>
  <si>
    <t>1587 - COMMON WIRE NAILS #2 25kls 1/4 kilo</t>
  </si>
  <si>
    <t>1588 - COMMON WIRE NAILS #2 1/2 25kls 1/4 kilo</t>
  </si>
  <si>
    <t>1589 - COMMON WIRE NAILS #3 25kls 1/4 kilo</t>
  </si>
  <si>
    <t>1590 - COMMON WIRE NAILS #4 25kls 1/4 kilo</t>
  </si>
  <si>
    <t>1591 - FINISHING NAIL #2 1/2 kilo</t>
  </si>
  <si>
    <t>1592 - FINISHING NAIL #2 1/4 kilo</t>
  </si>
  <si>
    <t>1593 - LED BULB 11W (ECOLUM)</t>
  </si>
  <si>
    <t>1594 - LED BULB 13W (ECOLUM)</t>
  </si>
  <si>
    <t>1595 - PINLIGHT HOUSING 3 1/2 inches</t>
  </si>
  <si>
    <t>1596 - PINLIGHT HOUSING 4 inches</t>
  </si>
  <si>
    <t>1597 - PINLIGHT HOUSING 6inches</t>
  </si>
  <si>
    <t>1598 - PVC MOULDING 1/2</t>
  </si>
  <si>
    <t>1599 - PVC MOULDING 3/4</t>
  </si>
  <si>
    <t>1600 - PVC MOULDING 1''</t>
  </si>
  <si>
    <t>1601 - TRAPAL 8ft x 100m (per meter)</t>
  </si>
  <si>
    <t>1602 - PVC MOULDING 1 1/2</t>
  </si>
  <si>
    <t>1603 - TILE GROUT</t>
  </si>
  <si>
    <t>1604 - ST NAILS/ST18</t>
  </si>
  <si>
    <t>1605 - ST NAILS/ST25</t>
  </si>
  <si>
    <t>1606 - BLACK OUTLET 3 GANG</t>
  </si>
  <si>
    <t>1607 - FLOOD LIGHT 50W FIREFLY LED</t>
  </si>
  <si>
    <t>1608 - FLOOD LIGHT 30W FIREFLY LED</t>
  </si>
  <si>
    <t>1609 - FLOOD LIGHT 20W FIREFLY LED</t>
  </si>
  <si>
    <t>1610 - MARINE PLYWOOD 3/4'' or 18mm (WOODTEK)</t>
  </si>
  <si>
    <t>1611 - SANITARY PVC ELBOW 2X90</t>
  </si>
  <si>
    <t>1612 - CONTACT CEMENT 50ml (SHERBOND)</t>
  </si>
  <si>
    <t>1613 - GLUE STIKWEL WOOD PARQUET HALF CAN 500G</t>
  </si>
  <si>
    <t>1614 - GLUE STIKWEL WOOD PARQUET HALF 1kg</t>
  </si>
  <si>
    <t>1615 - GYPSUM SCREW BLACK 6X3/4</t>
  </si>
  <si>
    <t>1616 - PALITA</t>
  </si>
  <si>
    <t>1617 - HOLCIM EXCEL/CEMENT</t>
  </si>
  <si>
    <t>1618 - PLASTIC NET 1/2meter</t>
  </si>
  <si>
    <t>1619 - PLASTIC NET 1/4meter</t>
  </si>
  <si>
    <t>1620 - METAL SCREW 6X1</t>
  </si>
  <si>
    <t>1621 - CONSTRUCTION HELMET</t>
  </si>
  <si>
    <t>1622 - 2 GANG EXTENSION WIRE BLACK</t>
  </si>
  <si>
    <t>1623 - EXTENSION WIRE CHORD OUTLET BLACK&amp;WHITE</t>
  </si>
  <si>
    <t>1624 - LAMP HEAD</t>
  </si>
  <si>
    <t>1625 - JOSE LOCK 40mm</t>
  </si>
  <si>
    <t>1626 - FOCUS STARTER FS-U</t>
  </si>
  <si>
    <t>1627 - 6X4 BOLT</t>
  </si>
  <si>
    <t>1628 - 6X40 BOLT</t>
  </si>
  <si>
    <t>1629 - 6X50 BOLT</t>
  </si>
  <si>
    <t>1630 - 6X75 BOLT</t>
  </si>
  <si>
    <t>1631 - 8X25 BOLT</t>
  </si>
  <si>
    <t>1632 - 8X40 BOLT</t>
  </si>
  <si>
    <t>1633 - 8X50 BOLT</t>
  </si>
  <si>
    <t>1634 - 8X75 BOLT</t>
  </si>
  <si>
    <t>1635 - 10X25 BOLT</t>
  </si>
  <si>
    <t>1636 - 10X40 BOLT</t>
  </si>
  <si>
    <t>1637 - 10X50 BOLT</t>
  </si>
  <si>
    <t>1638 - 10X75 BOLT</t>
  </si>
  <si>
    <t>1639 - 12X25 BOLT</t>
  </si>
  <si>
    <t>1640 - 12X40 BOLT</t>
  </si>
  <si>
    <t>1641 - 12X50 BOLT</t>
  </si>
  <si>
    <t>1642 - 12X75 BOLT</t>
  </si>
  <si>
    <t>1643 - 1/4X1 W/NUT U-BOLT PIPE</t>
  </si>
  <si>
    <t>1644 - 1/4X1 1/2 W/NUT U-BOLT PIPE</t>
  </si>
  <si>
    <t>1645 - 1/4X2 W/NUT U-BOLT PIPE</t>
  </si>
  <si>
    <t>1646 - 1/4X3 W/NUT U-BOLT PIPE</t>
  </si>
  <si>
    <t>1647 - 5/16X1 W/NUT U-BOLT PIPE</t>
  </si>
  <si>
    <t>1648 - 5/16X2 W/NUT U-BOLT PIPE</t>
  </si>
  <si>
    <t>1649 - 5/16X3 W/NUT U-BOLT PIPE</t>
  </si>
  <si>
    <t>1650 - 3/8X1 W/NUT U-BOLT PIPE</t>
  </si>
  <si>
    <t>1651 - 3/8X1 1/2 W/NUT U-BOLT PIPE</t>
  </si>
  <si>
    <t>1652 - 3/8X2 W/NUT U-BOLT PIPE</t>
  </si>
  <si>
    <t>1653 - 3/8X3 W/NUT U-BOLT PIPE</t>
  </si>
  <si>
    <t>1654 - WASHER</t>
  </si>
  <si>
    <t>1655 - JOSE LOCK 30mm</t>
  </si>
  <si>
    <t>1656 - STRAW</t>
  </si>
  <si>
    <t>1657 - CHINA WELDING ROD #6013 (3/32) 2.5mm 1/2kilo</t>
  </si>
  <si>
    <t>1658 - CHINA WELDING ROD #6013 (1/8) 3.2mm 1/2kilo</t>
  </si>
  <si>
    <t>1659 - PAINT TRAY</t>
  </si>
  <si>
    <t>1660 - NYLON CABLE TIE 3mm x 60mm (per pcs)</t>
  </si>
  <si>
    <t>1661 - NYLON CABLE TIE 3mm x 100mm (per pcs)</t>
  </si>
  <si>
    <t>1662 - NYLON CABLE TIE 3mm x 200mm (per pcs)</t>
  </si>
  <si>
    <t>1663 - NYLON CABLE TIE 4mm x 200mm (per pcs)</t>
  </si>
  <si>
    <t>1664 - NYLON CABLE TIE 3mm x 300mm (per pcs)</t>
  </si>
  <si>
    <t>1665 - NYLON CABLE TIE 5mm x 350mm (per pcs)</t>
  </si>
  <si>
    <t>1666 - NYLON CABLE TIE 3mm x 150mm (per pcs)</t>
  </si>
  <si>
    <t>1667 - BLIND REVETS 5/32X1 PER PIECES</t>
  </si>
  <si>
    <t>1668 - BLIND REVETS 5/32X3/4 PER PIECES</t>
  </si>
  <si>
    <t>1669 - BLIND REVETS 1/8X1 PER PIECES</t>
  </si>
  <si>
    <t>1670 - BLIND RIVETS 1/8X1/2 PER PIECES</t>
  </si>
  <si>
    <t>1671 - BLIND RIVETS 5/32X1/2 PER PIECES</t>
  </si>
  <si>
    <t>1672 - BLIND RIVETS 3/16X1/2 PER PIECES</t>
  </si>
  <si>
    <t>1673 - BLIND RIVETS 3/16X3/4 PER PIECES</t>
  </si>
  <si>
    <t>1674 - BATTERY CLAMP</t>
  </si>
  <si>
    <t>1675 - REDUCER SANITARY 4X2</t>
  </si>
  <si>
    <t>1676 - REDUCER SANITARY 3X2</t>
  </si>
  <si>
    <t>1677 - REDUCER SANITARY 4X3</t>
  </si>
  <si>
    <t>1678 - WELDED SCREEN 1/2 (25METER ROLL)</t>
  </si>
  <si>
    <t>1679 - WELDED SCREEN 1/4-GAUGE 19 (25METER ROLL)</t>
  </si>
  <si>
    <t>1680 - WYE SANITARY 3X3</t>
  </si>
  <si>
    <t>1681 - WYE SANITARY 2X2</t>
  </si>
  <si>
    <t>1682 - WYE SANITARY 4X4</t>
  </si>
  <si>
    <t>1683 - TEE REDUCER SANITARY 3X2</t>
  </si>
  <si>
    <t>1684 - TEE REDUCER SANITARY 4X2</t>
  </si>
  <si>
    <t>1685 - COUPLING SANITARY #3</t>
  </si>
  <si>
    <t>1686 - COUPLING SANITARY #4</t>
  </si>
  <si>
    <t>1687 - COUPLING SANITARY #2</t>
  </si>
  <si>
    <t>1688 - TEE SANITARY 2X2</t>
  </si>
  <si>
    <t>1689 - TEE SANITARY 4X4</t>
  </si>
  <si>
    <t>1690 - P-TRAP SANITARY #3</t>
  </si>
  <si>
    <t>1691 - P-TRAP SANITARY #2</t>
  </si>
  <si>
    <t>1692 - P-TRAP SANITARY #4</t>
  </si>
  <si>
    <t>1693 - MARINE PLYWOOD (LOCAL) 1/4</t>
  </si>
  <si>
    <t>1694 - TUBULAR 1X2X1.2mm G.I</t>
  </si>
  <si>
    <t>1695 - TUBULAR 1X2X1.5mm G.I</t>
  </si>
  <si>
    <t>1696 - UMBRELLA NAILS 2'' (25kls)</t>
  </si>
  <si>
    <t>1697 - ELBOW PLAIN 1/2 (water)</t>
  </si>
  <si>
    <t>1698 - CLEAN OUT #2</t>
  </si>
  <si>
    <t>1699 - CLEAN OUT #3</t>
  </si>
  <si>
    <t>1700 - CLEAN OUT #4</t>
  </si>
  <si>
    <t>1701 - CONCRETE NAIL #1 1/2Kilo</t>
  </si>
  <si>
    <t>1702 - CONCRETE NAIL #3 1/2Kilo</t>
  </si>
  <si>
    <t>1703 - CONCRETE NAIL #1 1/4Kilo</t>
  </si>
  <si>
    <t>1704 - CONCRETE NAIL #3 1/4Kilo</t>
  </si>
  <si>
    <t>1705 - PVC PIPE SANITARY #4 S900</t>
  </si>
  <si>
    <t>1706 - TIE WIRE #16 (ROLL)</t>
  </si>
  <si>
    <t>1707 - SAND PAPER #120 (CHAMP)</t>
  </si>
  <si>
    <t>1708 - MALE ADAPTOR 1/2X1/2 (BLACK)</t>
  </si>
  <si>
    <t>1709 - FEMALE ADAPTOR 1/2X1/2 (BLACK)</t>
  </si>
  <si>
    <t>1710 - ELBOW SANITARY #2 45DEGREE</t>
  </si>
  <si>
    <t>1711 - ELBOW SANITARY #3 45DEGREE</t>
  </si>
  <si>
    <t>1712 - ELBOW SANITARY #4 45DEGREE</t>
  </si>
  <si>
    <t>1713 - CITI HARDWARE</t>
  </si>
  <si>
    <t>1714 - TILE TRIM 8mm</t>
  </si>
  <si>
    <t>1715 - TILE TRIM 10mm</t>
  </si>
  <si>
    <t>1716 - SURETITE WOOD GLUE</t>
  </si>
  <si>
    <t>1717 - GLASSES SOTER/GOGGLES BIG</t>
  </si>
  <si>
    <t>1718 - GLASSES SOTER/GOGGLES SMALL</t>
  </si>
  <si>
    <t>1719 - DAVIES PAINT FLAT LATEX WHITE 1Liter 4</t>
  </si>
  <si>
    <t>1720 - DAVIES PAINT LATEX WHITE (Semi-gloss) 1Liter 3</t>
  </si>
  <si>
    <t>1721 - DAVIES PAINT LATEX WHITE (gloss) 1Liter 1</t>
  </si>
  <si>
    <t>1722 - BOYSEN PAINT CHOCOLATE BROWN 1Gallon 1</t>
  </si>
  <si>
    <t>1723 - BOYSEN PAINT BLACK (Quick dry enamel) 1Gallon 2</t>
  </si>
  <si>
    <t>1724 - DAVIES PAINT MAPLE (Quick dry enamel) 1Liter 2</t>
  </si>
  <si>
    <t>1725 - DAVIES PAINT BLACK (Quick dry enamel) 1Liter 3</t>
  </si>
  <si>
    <t>1726 - DAVIES PAINT GREY (Quick dry enamel) 1Liter 2</t>
  </si>
  <si>
    <t>1727 - DAVCO TILE GROUT GREY</t>
  </si>
  <si>
    <t>1728 - DAVCO TILE GROUT BEIGE 2</t>
  </si>
  <si>
    <t>1729 - DAVCO TILE GROUT WHITE 4</t>
  </si>
  <si>
    <t>1730 - DAVCO TILE GROUT MASTER TERRACOTTA 1</t>
  </si>
  <si>
    <t>1731 - TILE GROUT MASTER BLACK 1</t>
  </si>
  <si>
    <t>1732 - PPR COUPLING 1/2 PCS 10</t>
  </si>
  <si>
    <t>1733 - PPR ELBOW 1/2 PCS 7</t>
  </si>
  <si>
    <t>1734 - PPR ELBOW 3/4 PCS 5</t>
  </si>
  <si>
    <t>1735 - PPR NIPPLE PCS 6</t>
  </si>
  <si>
    <t>1736 - HANDYMAN PRODUCTS</t>
  </si>
  <si>
    <t>1737 - ALLIGATOR CLIP BIG</t>
  </si>
  <si>
    <t>1738 - ALLIGATOR CLIP SMALL</t>
  </si>
  <si>
    <t>1739 - AUTO FUSE 10amper 20mm</t>
  </si>
  <si>
    <t>1740 - BATTERY CLIP 25amper PANTHER</t>
  </si>
  <si>
    <t>1741 - BATTERY CLIP 50amper PANTHER</t>
  </si>
  <si>
    <t>1742 - BOSCH METAL CUTTING DISC</t>
  </si>
  <si>
    <t>1743 - DEWALT METAL CUTTING DISC</t>
  </si>
  <si>
    <t>1744 - DEWALT GRINDING DISC</t>
  </si>
  <si>
    <t>1745 - SCREWDRIVER (RATCHETING)</t>
  </si>
  <si>
    <t>1746 - AUTO FUSE 3amper 20mm</t>
  </si>
  <si>
    <t>1747 - AUTO FUSE 4amper 20mm</t>
  </si>
  <si>
    <t>1748 - AUTO FUSE 5amper 20mm</t>
  </si>
  <si>
    <t>1749 - AUTO FUSE 6amper 20mm</t>
  </si>
  <si>
    <t>1750 - AUTO FUSE 8amper 20mm</t>
  </si>
  <si>
    <t>1751 - PLUG BLACK ROUND</t>
  </si>
  <si>
    <t>1752 - PLUG BLACK ROUND 3steel</t>
  </si>
  <si>
    <t>1753 - PLUMB BOB/TON TON (small)</t>
  </si>
  <si>
    <t>1754 - PLUMB BOB/TON TON (medium)</t>
  </si>
  <si>
    <t>1755 - PLUM BOB/TON TON (Big)</t>
  </si>
  <si>
    <t>1756 - LOTUS MASONRY DRILL BIT (size 8)</t>
  </si>
  <si>
    <t>1757 - LOTUS MASONRY DRILL BIT (size 6)</t>
  </si>
  <si>
    <t>1758 - LOTUS MASONRY DRILL BIT (size 5)</t>
  </si>
  <si>
    <t>1759 - LOTUS MASONRY DRILL BIT (size 4)</t>
  </si>
  <si>
    <t>1760 - THHN WIRE 2.0mm (1/2meter)</t>
  </si>
  <si>
    <t>1761 - THHN WIRE 3.5mm (1/2meter)</t>
  </si>
  <si>
    <t>1762 - COCO LUMBER 2X3X12</t>
  </si>
  <si>
    <t>1763 - COCO LUMBER 2X2X12</t>
  </si>
  <si>
    <t>1764 - METAL STUDS 3''( NIPISON) DDY</t>
  </si>
  <si>
    <t>1765 - COCO LUMBER 2X6X12</t>
  </si>
  <si>
    <t>1766 - COCO LUMBER 2X4X12</t>
  </si>
  <si>
    <t>1767 - COCO LUMBER 2X2X8</t>
  </si>
  <si>
    <t>1768 - SANITARY TEE 4x4</t>
  </si>
  <si>
    <t>1769 - DOOR KNOB HEAVY DUTY</t>
  </si>
  <si>
    <t>1770 - TIE WIRE 1/2Kilo</t>
  </si>
  <si>
    <t>1771 - RODELLA /PLANTSA</t>
  </si>
  <si>
    <t>1772 - WEATHERPROOF PLATE COVER</t>
  </si>
  <si>
    <t>1773 - HOLLOWBLOCK</t>
  </si>
  <si>
    <t>1774 - WD-40 Small</t>
  </si>
  <si>
    <t>1775 - HARDINAILS 1/2kilo</t>
  </si>
  <si>
    <t>1776 - SHENLING PAD LOCK 30mm</t>
  </si>
  <si>
    <t>1777 - SHENLING PAD LOCK 40mm</t>
  </si>
  <si>
    <t>1778 - SHENLING PAD LOCK 50mm</t>
  </si>
  <si>
    <t>1779 - BRUSHLINE PAINT BRUSH 3''</t>
  </si>
  <si>
    <t>1780 - BRUSHLINE PAINT BRUSH 4''</t>
  </si>
  <si>
    <t>1781 - BRUSHLINE PAINT BRUSH 1''</t>
  </si>
  <si>
    <t>1782 - BRUSHLINE PAINT BRUSH 1-1/2''</t>
  </si>
  <si>
    <t>1783 - BRUSHLINE PAINT BRUSH 2-1/2''</t>
  </si>
  <si>
    <t>1784 - TACOMA DUCT TAPE SMALL</t>
  </si>
  <si>
    <t>1785 - BOYSEN OIL TINT VENETIAN RED #2317 ( 1/4Litter )</t>
  </si>
  <si>
    <t>1786 - BOYSEN LACQUER FLO #1205 1Liter</t>
  </si>
  <si>
    <t>1787 - BOYSEN OIL TINT F. YELLOW OCRE #2307 ( 1/4Litter )</t>
  </si>
  <si>
    <t>1788 - BOYSEN OIL TINT LAMP BLACK #2318 ( 1/4Litter )</t>
  </si>
  <si>
    <t>1789 - BOYSEN OIL TINT RAW SIENNA #2314 (1/4Litter )</t>
  </si>
  <si>
    <t>1790 - BOYSEN OIL TINT THALO BLUE #2306 ( 1/4Litter )</t>
  </si>
  <si>
    <t>1791 - BOYSEN OIL TINT THALO GREEN #2303 ( 1/4Litter )</t>
  </si>
  <si>
    <t>1792 - MASKING TAPE 1''</t>
  </si>
  <si>
    <t>1793 - MASKING TAPE 3/4''</t>
  </si>
  <si>
    <t>1794 - UMBRELLA NAILS 2'' 1/2kl</t>
  </si>
  <si>
    <t>1795 - UMBRELLA NAILS 2'' 1/4kl</t>
  </si>
  <si>
    <t>1796 - FUJI WELDING ROD #6012 ( 1/8 )</t>
  </si>
  <si>
    <t>1797 - DRILL BIT ( KYRT )</t>
  </si>
  <si>
    <t>1798 - SUNCRUISES R-91</t>
  </si>
  <si>
    <t>1799 - SUNCRUISES R-94</t>
  </si>
  <si>
    <t>1800 - STRAW BLACK BIG</t>
  </si>
  <si>
    <t>1801 - WELCOAT ENAMEL RED 1/4Liter</t>
  </si>
  <si>
    <t>1802 - CRESTON PLIER 6'' LONGNOSE ( LNP-306 )</t>
  </si>
  <si>
    <t>1803 - CRESTON PLIER 7'' COMBINATION ( CMB-307 )</t>
  </si>
  <si>
    <t>1804 - CRESTON PLIER 8'' COMBINATION (CMB-308)</t>
  </si>
  <si>
    <t>1805 - TUBULAR 1x1x1.2mm B,I</t>
  </si>
  <si>
    <t>1806 - TUBULAR 1x1x1.5mm B,I</t>
  </si>
  <si>
    <t>1807 - TUBULAR 2x2x1.5mm B,I</t>
  </si>
  <si>
    <t>1808 - TUBULAR 2x2x1.2mm B,I</t>
  </si>
  <si>
    <t>1809 - TUBULAR 2x3x1.2mm B,I</t>
  </si>
  <si>
    <t>1810 - TUBULAR 2x3x1.5mm B,I</t>
  </si>
  <si>
    <t>1811 - TUBULAR 2x4x1.2mm B,I</t>
  </si>
  <si>
    <t>1812 - TUBULAR 2x4x1.5mm B,I</t>
  </si>
  <si>
    <t>1813 - TUBULAR 1X2X1.2mm B'I</t>
  </si>
  <si>
    <t>1814 - TUBULAR 1X2X1.5mm B'I</t>
  </si>
  <si>
    <t>1815 - TUBULAR 1X2X1.2mm G'I</t>
  </si>
  <si>
    <t>1816 - TUBULAR 1X2X1.5mm G'I</t>
  </si>
  <si>
    <t>1817 - ORDINARY PLYWOOD 4MM 1/4 X4X8-HCH(Local) CDO-HARDWARE</t>
  </si>
  <si>
    <t>1818 - NATION RED OXIDE 1GAL</t>
  </si>
  <si>
    <t>1819 - CONCRETE NAIL 1 1/2 1kilo</t>
  </si>
  <si>
    <t>1820 - CONCRETE NAIL 1 1/2 1/2kilo</t>
  </si>
  <si>
    <t>1821 - CONCRETE NAIL 1 1/2 1/4kilo</t>
  </si>
  <si>
    <t>1822 - ANGLE BAR 1/8X1 4.4Kilo BLUE ( IGPIT )</t>
  </si>
  <si>
    <t>1823 - ANGLE BAR 3/16X1 5.4Kilo GREEN ( IGPIT )</t>
  </si>
  <si>
    <t>1824 - ANGLE BAR 1/4X1 6.4Kilo YELLOW ( DJN )</t>
  </si>
  <si>
    <t>1825 - ANGLE BAR 1/4X1 3MM GREEN ( DJN )</t>
  </si>
  <si>
    <t>1826 - ANGLE BAR 1/4X1 8.4Kilo ORANGE ( IGPIT )</t>
  </si>
  <si>
    <t>1827 - ANGLE BAR 1/4X1 10.4Kilo WHITE ( DJN )</t>
  </si>
  <si>
    <t>1828 - ANGLE BAR 1/8X1-1/2 7Kilo BLUE ( DJN )</t>
  </si>
  <si>
    <t>1829 - ANGLE BAR 3/16X1-1/2 8.5Kilo RED ( IGPIT )</t>
  </si>
  <si>
    <t>1830 - ANGLE BAR 3/16X1-1/2 10Kilo YELLOW ( DJN )</t>
  </si>
  <si>
    <t>1831 - ANGLE BAR 1/4X1-1/2 11.5Kilo GREEN ( DJN )</t>
  </si>
  <si>
    <t>1832 - ANGLE BAR 1/4X1-1/2 13Kilo ORANGE ( DJN )</t>
  </si>
  <si>
    <t>1833 - ANGLE BAR 1/4X1-1/2 14.5Kilo VIOLET ( DJN )</t>
  </si>
  <si>
    <t>1834 - ANGLE BAR 1/4X1-1/2 16Kilo WHITE ( DJN )</t>
  </si>
  <si>
    <t>1835 - ANGLE BAR 1/4X1-1/2 19Kilo BROWN ( DJN )</t>
  </si>
  <si>
    <t>1836 - FLAT BAR 1/8X1 BLUE ( DJN )</t>
  </si>
  <si>
    <t>1837 - FLAT BAR 3/16X1 YELLOW ( DJN )</t>
  </si>
  <si>
    <t>1838 - FLAT BAR 1/4X1 (SUB) RED ( DJN )</t>
  </si>
  <si>
    <t>1839 - FLAT BAR 3/8X1 PURPLE ( DJN )</t>
  </si>
  <si>
    <t>1840 - FLAT BAR 1/8X1-1/4 BLUE ( DJN )</t>
  </si>
  <si>
    <t>1841 - FLAT BAR 3/16X1-1/2 YELLOW ( DJN )</t>
  </si>
  <si>
    <t>1842 - FLAT BAR 1/4X1-1/2 (SUB) RED ( DJN )</t>
  </si>
  <si>
    <t>1843 - FLAT BAR 3/8X1-1/2 PURPLE ( DJN )</t>
  </si>
  <si>
    <t>1844 - FLAT BAR 1/8X2 PURPLE ( DJN )</t>
  </si>
  <si>
    <t>1845 - FLAT BAR 3/16X2 YELLOW ( DJN )</t>
  </si>
  <si>
    <t>1846 - FLAT BAR 1/4X2 (SUB) RED ( DJN )</t>
  </si>
  <si>
    <t>1847 - FLAT BAR 3/8X2 PURPLE ( DJN )</t>
  </si>
  <si>
    <t>1848 - MARINE EPOXY 1L QUART</t>
  </si>
  <si>
    <t>1849 - NIPPLE G'I 12X3</t>
  </si>
  <si>
    <t>1850 - NIPPLE G'I 12X4</t>
  </si>
  <si>
    <t>1851 - METAL TRACKS 0.4</t>
  </si>
  <si>
    <t>1852 - BOSCH DRILL BIT 1/8 NEW</t>
  </si>
  <si>
    <t>1853 - ARMOR DRILL BIT 1/8</t>
  </si>
  <si>
    <t>1854 - STICKWELL WOOD GLUE 1KG</t>
  </si>
  <si>
    <t>1855 - STICKWELL WOOD GLUE 1/2KG</t>
  </si>
  <si>
    <t>1856 - ELECTROWELD WELDING ROD 3/32 20KG</t>
  </si>
  <si>
    <t>1857 - ELECTROWELD WELDING ROD 3/32 1/2KG</t>
  </si>
  <si>
    <t>1858 - VULCASEAL 1L</t>
  </si>
  <si>
    <t>1859 - WELCOAT FLAT WALL ENAMEL WEF2060 1L</t>
  </si>
  <si>
    <t>1860 - WELCOAT FLAT WALL ENAMEL WEF2060 1GAL</t>
  </si>
  <si>
    <t>1861 - WELCOAT QDE CHOCO BROWN 4580 1/4L</t>
  </si>
  <si>
    <t>1862 - PACKAGING TAPE BROWN BIG- BME</t>
  </si>
  <si>
    <t>1863 - GLOVES ORANGE- BME</t>
  </si>
  <si>
    <t>1864 - WELDING ROD HARDY PER BOX</t>
  </si>
  <si>
    <t>1865 - NYLON BIG</t>
  </si>
  <si>
    <t>1866 - MAHOGANY LUMBER 1 X 2 X 8</t>
  </si>
  <si>
    <t>1867 - MAHOGANY LUMBER 1 X 2 X 6</t>
  </si>
  <si>
    <t>1868 - MAHOGANY LUMBER 1 X 2 X 4</t>
  </si>
  <si>
    <t>1869 - MAHOGANY LUMBER 2 X 2 X 8</t>
  </si>
  <si>
    <t>1870 - KYK-HSS DRILL BIT 1/8</t>
  </si>
  <si>
    <t>1871 - HARDIE JOINT</t>
  </si>
  <si>
    <t>1872 - LOTUS MASONRY DRILL BIT ( size 3 )</t>
  </si>
  <si>
    <t>1873 - ROLLER REFILL 4''</t>
  </si>
  <si>
    <t>1874 - REPUBLIC CEMENT</t>
  </si>
  <si>
    <t>1875 - SIN (CHINA) 8FT</t>
  </si>
  <si>
    <t>1876 - SIN (CHINA) 10FT</t>
  </si>
  <si>
    <t>1877 - SIN (CHINA) 12FT</t>
  </si>
  <si>
    <t>1878 - FUJI WELDING ROD #6012 ( 1/8 ) 1/2KL</t>
  </si>
  <si>
    <t>1879 - SOLDIRING WIRE</t>
  </si>
  <si>
    <t>1880 - NANO TAPE</t>
  </si>
  <si>
    <t>1881 - SINGER ALL PURPOSE OIL 100cc</t>
  </si>
  <si>
    <t>1882 - BOYSEN WHITE (QDE) #600</t>
  </si>
  <si>
    <t>1883 - RUST CONVERTER WELCOAT-PWRCO276 1Liter</t>
  </si>
  <si>
    <t>1884 - SQUARE BAR 10MM (YELLOW)</t>
  </si>
  <si>
    <t>1885 - KAWAYAN 6FT BUNDLE</t>
  </si>
  <si>
    <t>1886 - KAWAYAN 10FT BUNDLE</t>
  </si>
  <si>
    <t>1887 - CARBIDE CALSON MACH 3/8</t>
  </si>
  <si>
    <t>1888 - RUGBY 1GAL</t>
  </si>
  <si>
    <t>1889 - RUGBY 1Liter</t>
  </si>
  <si>
    <t>1890 - GRAND MASTER VARNISH-MAHOGANY</t>
  </si>
  <si>
    <t>1891 - GRAND MASTER VARNISH-BROWN</t>
  </si>
  <si>
    <t>1892 - GRAND MASTER VARNISH-MAPLE</t>
  </si>
  <si>
    <t>1893 - GRAND MASTER VARNISH-NATURAL</t>
  </si>
  <si>
    <t>1894 - GRAND MASTER VARNISH-RED</t>
  </si>
  <si>
    <t>1895 - GRAND MASTER VARNISH-WALNUT</t>
  </si>
  <si>
    <t>1896 - GRAND MASTER VARNISH-YELLOW OCRE</t>
  </si>
  <si>
    <t>1897 - CEMENT PER KILO</t>
  </si>
  <si>
    <t>1898 - DE FORM BAR 16MM</t>
  </si>
  <si>
    <t>1899 - DE FORM BAR 12MM</t>
  </si>
  <si>
    <t>1900 - MAHOGANY BUNDLE 1X2X10</t>
  </si>
  <si>
    <t>1901 - MAHOGANY BUNDLE 1X2X8</t>
  </si>
  <si>
    <t>1902 - GARDEN WIRE 1.6X10meter</t>
  </si>
  <si>
    <t>1903 - IRON WIRE 10X30meter</t>
  </si>
  <si>
    <t>1904 - DUCT TAPE</t>
  </si>
  <si>
    <t>1905 - SPRAY GUN</t>
  </si>
  <si>
    <t>1906 - WATER PIPE CONNECTOR</t>
  </si>
  <si>
    <t>1907 - GARDEN TOOL</t>
  </si>
  <si>
    <t>1908 - TEE 1''</t>
  </si>
  <si>
    <t>1909 - G'I ELBOW 1''</t>
  </si>
  <si>
    <t>1910 - STREET BEND 1''</t>
  </si>
  <si>
    <t>1911 - G'I ELBOW 3/4''</t>
  </si>
  <si>
    <t>1912 - G'I TEE 1/2''</t>
  </si>
  <si>
    <t>1913 - G'I ELBOW 1/2</t>
  </si>
  <si>
    <t>1914 - G'I COUPLING 3/4''</t>
  </si>
  <si>
    <t>1915 - NIPPLE 1/2X5</t>
  </si>
  <si>
    <t>1916 - NIPPLE 1/2X4</t>
  </si>
  <si>
    <t>1917 - NIPPLE 1/2X3</t>
  </si>
  <si>
    <t>1918 - NIPPLE 1/2X2</t>
  </si>
  <si>
    <t>1919 - NIPPLE 1/2XC</t>
  </si>
  <si>
    <t>1920 - TEE PIPE FITTINGS</t>
  </si>
  <si>
    <t>1921 - ORDINARY PLYWOOD 1/2 ALFA/IMPERIAL ( BME )</t>
  </si>
  <si>
    <t>1922 - MARINE PLYWOOD 1/2 EAGLE/PAN-ASIA ( BME )</t>
  </si>
  <si>
    <t>1923 - PVC GATE BULB</t>
  </si>
  <si>
    <t>1924 - BICYCLE TIRE REPAIR KIT</t>
  </si>
  <si>
    <t>1925 - MIGHTY GASKET BIG</t>
  </si>
  <si>
    <t>1926 - MIGHTY GASKET MED</t>
  </si>
  <si>
    <t>1927 - MIGHTY GASKET SMALL</t>
  </si>
  <si>
    <t>1928 - SURTITE MED</t>
  </si>
  <si>
    <t>1929 - SURTITE BIG</t>
  </si>
  <si>
    <t>1930 - DE FORM BAR 10MM (NEW PRICE)</t>
  </si>
  <si>
    <t>1931 - MESH TAPE</t>
  </si>
  <si>
    <t>1932 - TOX MUSTARD YELLOW</t>
  </si>
  <si>
    <t>1933 - TOX ORANGE</t>
  </si>
  <si>
    <t>1934 - CTX CONCEALED HINGE FULL-OVERLAY</t>
  </si>
  <si>
    <t>1935 - TEE REDUCER SANITARY 3/4X1/2 (BLACK)</t>
  </si>
  <si>
    <t>1936 - MALE ELBOW SANITARY 1/2X1/2 (BLACK)</t>
  </si>
  <si>
    <t>1937 - FEMALE ELBOW SANITARY 1/2X1/2 (BLACK)</t>
  </si>
  <si>
    <t>1938 - MALE TEE SANITARY 1/2X1/2 (BLACK)</t>
  </si>
  <si>
    <t>1939 - CLEAN OUT- END CUP SANITARY (BLACK)</t>
  </si>
  <si>
    <t>1940 - MIGHTY BOND SMALL</t>
  </si>
  <si>
    <t>1941 - MIGHTY BOND BIG</t>
  </si>
  <si>
    <t>1942 - HOSE CONECTOR</t>
  </si>
  <si>
    <t>1943 - FEDERAL NON-SAQ EPOXY 1/4 Pint</t>
  </si>
  <si>
    <t>1944 - DAVIES SILVER FINISH</t>
  </si>
  <si>
    <t>1945 - MASONRY #3 IRWIN ( BARINA )</t>
  </si>
  <si>
    <t>1946 - DRILL BIT 1/8 MASONRY SUN AMES</t>
  </si>
  <si>
    <t>1947 - CUTTING DISC SUNRISE - YELLOW</t>
  </si>
  <si>
    <t>1948 - TARTAN PLAIN SHEET 0.3 - DJN</t>
  </si>
  <si>
    <t>1949 - ROLLER REFILL 9''</t>
  </si>
  <si>
    <t>1950 - ROLLER REFILL 7''</t>
  </si>
  <si>
    <t>1951 - PALITA BIG</t>
  </si>
  <si>
    <t>1952 - WOOD/SIDE SCRAPER 6''</t>
  </si>
  <si>
    <t>1953 - WOOD/SIDE SCRAPER 8''</t>
  </si>
  <si>
    <t>1954 - STICK GLUE BIG</t>
  </si>
  <si>
    <t>1955 - STICK GLUE SMALL</t>
  </si>
  <si>
    <t>1956 - TEE SANITARY 3X3</t>
  </si>
  <si>
    <t>1957 - TEE PLAIN 1/2 ( WATER )</t>
  </si>
  <si>
    <t>1958 - PVC PIPE SANITARY #4 ( S600 )</t>
  </si>
  <si>
    <t>1959 - DEVCON STEEL EPOXY S5 ( BIG )</t>
  </si>
  <si>
    <t>1960 - STICKWELL WOOD GLUE POUCH (250g)</t>
  </si>
  <si>
    <t>1961 - PIONEER MARINE EPOXY -1/2 pint</t>
  </si>
  <si>
    <t>1962 - BOSTIK MARINE EPOXY EL HENERAL (1/4 litter)</t>
  </si>
  <si>
    <t>1963 - PIONEER MARINE EPOXY -pint</t>
  </si>
  <si>
    <t>1964 - TEE REDUCER SANITARY 4X3</t>
  </si>
  <si>
    <t>1965 - WINCRAFT CUTTING DISC 14'' FOR CUT-OFF</t>
  </si>
  <si>
    <t>1966 - WELDING ROD 3/32 ( 2B )</t>
  </si>
  <si>
    <t>1967 - TEFLON WHITE 1/2</t>
  </si>
  <si>
    <t>1968 - TEFLON 3/4 PHILDEX</t>
  </si>
  <si>
    <t>1969 - LABATORY/SINK</t>
  </si>
  <si>
    <t>1970 - SEALANT BROWN</t>
  </si>
  <si>
    <t>1971 - SEALANT CLEAR</t>
  </si>
  <si>
    <t>1972 - BOYSEN BLACK ( QDE ) 1/4Litter</t>
  </si>
  <si>
    <t>1973 - TILE GROUT WHITE ( HANDYMAN )</t>
  </si>
  <si>
    <t>1974 - PPR-FEMALE THREAD COUPLING 1/2</t>
  </si>
  <si>
    <t>1975 - PPR-FEMALE THREAD TEE 1/2</t>
  </si>
  <si>
    <t>1976 - PPR- FEMALE THREAD ELBOW 90'' 1/2</t>
  </si>
  <si>
    <t>1977 - ORDINARY PLYWOOD 1/2 - ( DJN )</t>
  </si>
  <si>
    <t>1978 - WELDING ROD 3/32 ( 2B ) 1/2kilo</t>
  </si>
  <si>
    <t>1979 - EYE/HOOK</t>
  </si>
  <si>
    <t>1980 - LOTUS MASONRY DRILL BIT ( size 7 )</t>
  </si>
  <si>
    <t>1981 - DRILL BIT DORMER 7/16</t>
  </si>
  <si>
    <t>1982 - DRILL BIT DORMER 1/2</t>
  </si>
  <si>
    <t>1983 - DRILL BIT DORMER 5/16</t>
  </si>
  <si>
    <t>1984 - DRILL BIT DORMER 3/8</t>
  </si>
  <si>
    <t>1985 - CIRCUIT BREAKER 60amper BOLT-ON</t>
  </si>
  <si>
    <t>1986 - CIRCUIT BREAKER 30amper BOLT-ON</t>
  </si>
  <si>
    <t>1987 - CIRCUIT BREAKER 30amper PLUG-IN</t>
  </si>
  <si>
    <t>1988 - CIRCUIT BREAKER 20amper PLUG-IN</t>
  </si>
  <si>
    <t>1989 - CIRCUIT BREAKER 15amper PLUG-IN</t>
  </si>
  <si>
    <t>1990 - FLAT SCREW BIG</t>
  </si>
  <si>
    <t>1991 - FLAT SCREW MED</t>
  </si>
  <si>
    <t>1992 - FLAT SCREW SMALL</t>
  </si>
  <si>
    <t>1993 - FLAT SCREW 6X125mm ( HAUSMAN )</t>
  </si>
  <si>
    <t>1994 - STAR SCREW 6X150mm ( HAUSMAN )</t>
  </si>
  <si>
    <t>1995 - STAR SCREW 2X150mm ( HAUSMAN )</t>
  </si>
  <si>
    <t>1996 - STAR SCREW 1X150mm ( HAUSMAN )</t>
  </si>
  <si>
    <t>1997 - STAR SCREW 2X125mm ( HAUSMAN )</t>
  </si>
  <si>
    <t>1998 - FLAT SCREW 5X100mm ( HAUSMAN )</t>
  </si>
  <si>
    <t>1999 - FLAT SCREW 5X75mm ( HAUSMAN )</t>
  </si>
  <si>
    <t>2000 - STAR SCREW 1X75mm ( HAUSMAN )</t>
  </si>
  <si>
    <t>2001 - SAFETY BREAKER 20AMPER</t>
  </si>
  <si>
    <t>2002 - SAFETY BREAKER 30AMPER</t>
  </si>
  <si>
    <t>2003 - UNION COUPLING 1/2X3/4</t>
  </si>
  <si>
    <t>2004 - EVER WATT-HOUR SUB METER</t>
  </si>
  <si>
    <t>2005 - TIE WIRE 1/4kilo</t>
  </si>
  <si>
    <t>2006 - STAPLE WIRE 1/2 AND 3/4</t>
  </si>
  <si>
    <t>2007 - CYCLONE WIRE 4ft X4X4X 6meter</t>
  </si>
  <si>
    <t>2008 - CYCLONE WIRE 3ft X4X4X 6meter</t>
  </si>
  <si>
    <t>2009 - CYCLONE WIRE 4ft X2X2X 8meter</t>
  </si>
  <si>
    <t>2010 - CYCONE WIRE 4ft X2X2X 6meter-- CDO HARDWARE</t>
  </si>
  <si>
    <t>2011 - PLAIN ROUND BAR 10mm X 3.7KG</t>
  </si>
  <si>
    <t>2012 - OUTLET ADAPTOR</t>
  </si>
  <si>
    <t>2013 - AIRCON OUTLET</t>
  </si>
  <si>
    <t>2014 - DOOR JAMB 2X5</t>
  </si>
  <si>
    <t>2015 - UMBRELLA NAIL #2-1/2 1kilo</t>
  </si>
  <si>
    <t>2016 - UMBRELLA NAIL #2-1/2 1/2kilo</t>
  </si>
  <si>
    <t>2017 - UMBRELLA NAIL #2-1/2 1/4kilo</t>
  </si>
  <si>
    <t>2018 - MAYON LACQUER THINNER GAL.</t>
  </si>
  <si>
    <t>2019 - PLYBOARD 3/4 18mmx4x8ft HCH/OMEGA</t>
  </si>
  <si>
    <t>2020 - HIKOT</t>
  </si>
  <si>
    <t>2021 - TEX SCREW #2'' BOX</t>
  </si>
  <si>
    <t>2022 - FINISHING FOAM</t>
  </si>
  <si>
    <t>2023 - WASHER M3</t>
  </si>
  <si>
    <t>2024 - WASHER M4</t>
  </si>
  <si>
    <t>2025 - WASHER M5</t>
  </si>
  <si>
    <t>2026 - WASHER M6</t>
  </si>
  <si>
    <t>2027 - WASHER M8</t>
  </si>
  <si>
    <t>2028 - WASHER M10</t>
  </si>
  <si>
    <t>2029 - WASHER M12</t>
  </si>
  <si>
    <t>2030 - BOLT EXPANSION 1/4</t>
  </si>
  <si>
    <t>2031 - BOLT EXPANSION 5/16</t>
  </si>
  <si>
    <t>2032 - BOLT EXPANSION 3/8</t>
  </si>
  <si>
    <t>2033 - SAFETY BREAKER 20AMP</t>
  </si>
  <si>
    <t>2034 - TOILET BOWL ORDINARY</t>
  </si>
  <si>
    <t>2035 - SANITARY WYE REDUCER 3X2</t>
  </si>
  <si>
    <t>2036 - THHN WIRE #14/7 ( 2.0 ) 150M B0X</t>
  </si>
  <si>
    <t>2037 - THHN WIRE #12/7 ( 3.5 ) 150M BOX</t>
  </si>
  <si>
    <t>2038 - MARINE PLYWOOD 1/4 ( China ) - CDO HARDWARE</t>
  </si>
  <si>
    <t>2039 - ELECTROWELD WELDING ROD 3/32 1/4kilo</t>
  </si>
  <si>
    <t>2040 - SUPERLUM MAX 0.5 10FT -- DJN</t>
  </si>
  <si>
    <t>2041 - PLAIN SHEET 0.4X8 -- DJN</t>
  </si>
  <si>
    <t>2042 - HARDIE SCREW 3/4</t>
  </si>
  <si>
    <t>2043 - MAXWELL PAINT BRUSH #2</t>
  </si>
  <si>
    <t>2044 - ISLAND PAINT SEMI-GLOSS RED GAL.</t>
  </si>
  <si>
    <t>2045 - FLAT BAR 1/8X1 - CDO HARDWARE</t>
  </si>
  <si>
    <t>2046 - PULL BOX 4X6X6</t>
  </si>
  <si>
    <t>2047 - PANEL BOX 6 HOLE</t>
  </si>
  <si>
    <t>2048 - PANEL BOX 8 HOLE</t>
  </si>
  <si>
    <t>2049 - PANEL BOX 10 HOLE</t>
  </si>
  <si>
    <t>2050 - HUNTER DOOR KNOB #587-SS</t>
  </si>
  <si>
    <t>2051 - HUNTER DOOR KNOB #588-AB</t>
  </si>
  <si>
    <t>2052 - HAND RIVITER HUNTER BLACK ( HR-01 )</t>
  </si>
  <si>
    <t>2053 - CRESTON PLIER LONG NOSE 8'' (LNP-308)</t>
  </si>
  <si>
    <t>2054 - ADJUSTABLE WRENCH 6'' CANON</t>
  </si>
  <si>
    <t>2055 - WELCOAT QDE BLACK - WQD1150</t>
  </si>
  <si>
    <t>2056 - HARDINAIL 1/4kilo</t>
  </si>
  <si>
    <t>2057 - NIKKO SPRAY PAINT ( GRAY )</t>
  </si>
  <si>
    <t>2058 - HRC PAINT BRUSH 2''</t>
  </si>
  <si>
    <t>2059 - WYE REDUCER 4X3</t>
  </si>
  <si>
    <t>2060 - HUNTER SKWALA ( small )</t>
  </si>
  <si>
    <t>2061 - HUNTER SKWALA ( medium )</t>
  </si>
  <si>
    <t>2062 - HUNTER SKWALA ( big )</t>
  </si>
  <si>
    <t>2063 - GATE VALVE- BRASS- KAKING</t>
  </si>
  <si>
    <t>2064 - SUN AMES BROWN HANDLE</t>
  </si>
  <si>
    <t>2065 - SUN AMES BLACK HANDLE</t>
  </si>
  <si>
    <t>2066 - SUN AMES METAL HANDLE</t>
  </si>
  <si>
    <t>2067 - SUN AMES METAL HANDLE SMALL</t>
  </si>
  <si>
    <t>2068 - SUN AMES METAL HANDLE MEDIUM</t>
  </si>
  <si>
    <t>2069 - HOOK &amp; EYE LARGE</t>
  </si>
  <si>
    <t>2070 - HOOK &amp; EYE MEDIUM</t>
  </si>
  <si>
    <t>2071 - HOOK &amp; EYE SMALL</t>
  </si>
  <si>
    <t>2072 - HOOK &amp; EYE COLOR ( BIG )</t>
  </si>
  <si>
    <t>2073 - HOOK &amp; EYE COLOR ( MEDIUM )</t>
  </si>
  <si>
    <t>2074 - CUP HOOK 1/4</t>
  </si>
  <si>
    <t>2075 - CUP HOOK #2</t>
  </si>
  <si>
    <t>2076 - CUP HOOK 1/2</t>
  </si>
  <si>
    <t>2077 - GATE VALVE 3/4- BRASS- CITY HARDWARE</t>
  </si>
  <si>
    <t>2078 - G'I NIPPLE 3/4</t>
  </si>
  <si>
    <t>2079 - GATE VALVE 3/4- BRASS- RSO HARDWARE COGON</t>
  </si>
  <si>
    <t>2080 - ENTRANCE CAP 3/4</t>
  </si>
  <si>
    <t>2081 - ENTRANCE CAP 1/2</t>
  </si>
  <si>
    <t>2082 - QUICK FIX TILE ADHESIVE</t>
  </si>
  <si>
    <t>2083 - SIN PRINCE G26 0.13 8FT</t>
  </si>
  <si>
    <t>2084 - SIN PRINCE G26 0.13 12FT</t>
  </si>
  <si>
    <t>2085 - PAINT ROLLER 4'' ( 2B )</t>
  </si>
  <si>
    <t>2086 - PAINT BRUSH 1/2 ( 2B )</t>
  </si>
  <si>
    <t>2087 - PAINT BRUSH 3/4 ( 2B )</t>
  </si>
  <si>
    <t>2088 - PAINT BRUSH 1'' ( 2B )</t>
  </si>
  <si>
    <t>2089 - PAINT BRUSH 2'' ( 2B )</t>
  </si>
  <si>
    <t>2090 - GOMA</t>
  </si>
  <si>
    <t>2091 - DYNA GRIP LONGNOSE #8 ( STANLEY )</t>
  </si>
  <si>
    <t>2092 - HAND RIVITER ( STANLEY )</t>
  </si>
  <si>
    <t>2093 - LOCK PLIER #10 ( STANLEY )</t>
  </si>
  <si>
    <t>2094 - DYNA GRIP PLIER #7 ( STANLEY )</t>
  </si>
  <si>
    <t>2095 - AVIATION SNIPS ( STANLEY )</t>
  </si>
  <si>
    <t>2096 - TAPE MEASURE 3M ( STANLEY )</t>
  </si>
  <si>
    <t>2097 - TAPE MEASURE 5M ( STANLEY )</t>
  </si>
  <si>
    <t>2098 - TAPE MEASURE 8M ( GREENFIELD )</t>
  </si>
  <si>
    <t>2099 - TAPE MEASURE 5M ( GREENFIELD )</t>
  </si>
  <si>
    <t>2100 - RUBBER HUMMER MALLET ( GREENFIELD )</t>
  </si>
  <si>
    <t>2101 - SLIP JOINT PLIER #8 ( GREENFIELD )</t>
  </si>
  <si>
    <t>2102 - COMBINATION PLIER #6 ( GREENFIELD )</t>
  </si>
  <si>
    <t>2103 - LONGNOSE PLIER #5 ( GREENFIELD )</t>
  </si>
  <si>
    <t>2104 - LONGNOSE PLIER #8 ( GREENFIELD )</t>
  </si>
  <si>
    <t>2105 - MINI LONG NOSE PLIERS #5 ( GREENFIELD )</t>
  </si>
  <si>
    <t>2106 - MINI COMBINATION PLIER #5 ( GREENFIELD )</t>
  </si>
  <si>
    <t>2107 - HANDSAW #20 ( GEENFIELD )</t>
  </si>
  <si>
    <t>2108 - TIN SNIP #12 ( GREENFIELD )</t>
  </si>
  <si>
    <t>2109 - LOCKING PLIERS - STRAIGHT JAW #7 ( GREENFIELD )</t>
  </si>
  <si>
    <t>2110 - HAMMER ( GREENFIELD )</t>
  </si>
  <si>
    <t>2111 - STANDARD #10MM</t>
  </si>
  <si>
    <t>2112 - WATERPROOP DUCT TAPE</t>
  </si>
  <si>
    <t>2113 - HINGES 3X3 ( 2B )</t>
  </si>
  <si>
    <t>2114 - COMBINATION PLIER #7 ( 2B )</t>
  </si>
  <si>
    <t>2115 - PALITA BLUE HANDLE 8''</t>
  </si>
  <si>
    <t>2116 - PALITA BLUE HANDLE 6''</t>
  </si>
  <si>
    <t>2117 - INGCO MEASURING TAPE 30MTR</t>
  </si>
  <si>
    <t>2118 - BOSCH METAL DRILL BIT 3/16</t>
  </si>
  <si>
    <t>2119 - BOSCH METAL DRILL BIT 1/4</t>
  </si>
  <si>
    <t>2120 - BOSCH METAL DRILL BIT 1/2</t>
  </si>
  <si>
    <t>2121 - BOSCH METAL DRILL BIT 5/16</t>
  </si>
  <si>
    <t>2122 - CABLE TIE #6</t>
  </si>
  <si>
    <t>2123 - CABLE TIE #5</t>
  </si>
  <si>
    <t>2124 - CABLE TIE #3</t>
  </si>
  <si>
    <t>2125 - CABLE TIE #12</t>
  </si>
  <si>
    <t>2126 - CABLE TIE #8</t>
  </si>
  <si>
    <t>2127 - CABLE TIE #6 pcs</t>
  </si>
  <si>
    <t>2128 - CABLE TIE #5 pcs</t>
  </si>
  <si>
    <t>2129 - CABLE TIE #3 pcs</t>
  </si>
  <si>
    <t>2130 - CABLE TIE #12 pcs</t>
  </si>
  <si>
    <t>2131 - CABLE TIE #8 pcs</t>
  </si>
  <si>
    <t>2132 - PVC PIPE ORANGE 1''</t>
  </si>
  <si>
    <t>2133 - END CAP 1/2</t>
  </si>
  <si>
    <t>2134 - SILHIG LANOT</t>
  </si>
  <si>
    <t>2135 - KAWAYAN 8FT BUNDLE</t>
  </si>
  <si>
    <t>2136 - HOLCIM CEMENT ( REYMOND PRICE )</t>
  </si>
  <si>
    <t>2137 - PPR-PN16 PIPE 20mm ( 1/2 )</t>
  </si>
  <si>
    <t>2138 - PPR-PN16 PIPE 25mm ( 3/4 )</t>
  </si>
  <si>
    <t>2139 - PPR-PN20 PIPE 20mm ( 1/2 )</t>
  </si>
  <si>
    <t>2140 - PPR-PN20 PIPE 25mm ( 3/4 )</t>
  </si>
  <si>
    <t>2141 - PPR- LITE PIPE 20mm ( 1/2 )</t>
  </si>
  <si>
    <t>2142 - PPR-LITE PIPE 25mm ( 3/4 )</t>
  </si>
  <si>
    <t>2143 - PPR-MALE THREAD ( 20X1/2X90'' )</t>
  </si>
  <si>
    <t>2144 - PPR- COUPLING - ( 25 )</t>
  </si>
  <si>
    <t>2145 - PPR-REDUCING COUPLING ( 25X20 )</t>
  </si>
  <si>
    <t>2146 - PPR-REDUCING COUPLING ( 32X20 )</t>
  </si>
  <si>
    <t>2147 - PPR-FEMALE TREAD TEE ( 25X1/2 )</t>
  </si>
  <si>
    <t>2148 - PPR-FEMALE TREAD COUPLING ( 20X3/4 )</t>
  </si>
  <si>
    <t>2149 - PPR-FUSION MACHINE ( 20-32 ) ( HEATER )</t>
  </si>
  <si>
    <t>2150 - FAUCET ( POLYPROPYLENE )</t>
  </si>
  <si>
    <t>2151 - FAUCET ( POLYPROPYLENE ) BLUE</t>
  </si>
  <si>
    <t>2152 - YALE LEVERSET ( DOOR KNOB )</t>
  </si>
  <si>
    <t>2153 - SQUARE BAR 9MM</t>
  </si>
  <si>
    <t>2154 - CUP BRUSH/BARINA</t>
  </si>
  <si>
    <t>2155 - SKIMCOAT PER KILO</t>
  </si>
  <si>
    <t>2156 - FLEXIBLE HOSE SINGLE ( WATER )</t>
  </si>
  <si>
    <t>2157 - DIAMOND CUTTING WHEEL ULTRA THIN</t>
  </si>
  <si>
    <t>2158 - CONCRETE STAPLE ( WHITE )</t>
  </si>
  <si>
    <t>2159 - 10MM KABILYA ( DISCOUNTED PRICE )</t>
  </si>
  <si>
    <t>2160 - TOC DOORKNOB 5731 SSB</t>
  </si>
  <si>
    <t>2161 - DAVIES WATERPROOPING PAINT GAL.</t>
  </si>
  <si>
    <t>2162 - COMMON NAIL #4 ( CARTOON )</t>
  </si>
  <si>
    <t>2163 - LACQUER WHITE ( AUTO )</t>
  </si>
  <si>
    <t>2164 - LACQUER PRIMER ( AUTO )</t>
  </si>
  <si>
    <t>2165 - TRASH BAG BIG</t>
  </si>
  <si>
    <t>2166 - PRIMA SIMI-GLOSS WHITE</t>
  </si>
  <si>
    <t>2167 - HAYAGAN 1/2METER</t>
  </si>
  <si>
    <t>2168 - PVC PIPE SANITARY #4 ( 1000 )</t>
  </si>
  <si>
    <t>2169 - PIONEER ELASTOSEAL 1/4L</t>
  </si>
  <si>
    <t>2170 - BOYSEN QDE CHOCO-BROWN 1/4L #680</t>
  </si>
  <si>
    <t>2171 - BOYSEN SEMI-GLOSS LATEX WHITE 1GAL. #715</t>
  </si>
  <si>
    <t>2172 - BOYSEN SEMI-GLOSS LATEX WHITE 1L. #715</t>
  </si>
  <si>
    <t>2173 - BOYSEN AUTOMOTIVE LACQUER WHITE 1L #1300</t>
  </si>
  <si>
    <t>2174 - FAUCET BIG - COLORS</t>
  </si>
  <si>
    <t>2175 - BEST WELD - SOLVENT CEMENT 125cc</t>
  </si>
  <si>
    <t>2176 - MOSQUITO NET (60m) 1/2meter</t>
  </si>
  <si>
    <t>2177 - G,I PIPE S40 4''</t>
  </si>
  <si>
    <t>2178 - BARRA - CCH</t>
  </si>
  <si>
    <t>2179 - HINGES 3X3 ( ORDINARY )</t>
  </si>
  <si>
    <t>2180 - HINGES 2 1/2 ( ORDINARY )</t>
  </si>
  <si>
    <t>2181 - SENTRY MORTISE LEVER HANDLESET</t>
  </si>
  <si>
    <t>2182 - LACQUER THINNER ( LUX )</t>
  </si>
  <si>
    <t>2183 - ISLAND CONCRETO BOND GAL.</t>
  </si>
  <si>
    <t>2184 - DAVIES / BOYSEN EPOXY REDUCER ( DV-95 ) ( B-55 ) GAL.</t>
  </si>
  <si>
    <t>2185 - SUPERLUME EXCEL Corr. 0.4MM x 12ft.</t>
  </si>
  <si>
    <t>2186 - 8MM ( DISCOUNTED PRICE )</t>
  </si>
  <si>
    <t>2187 - SURESEAL ELASTOMERIC SEALANT 1/4L</t>
  </si>
  <si>
    <t>2188 - TREND RED OXIDE PRE409 GAL.</t>
  </si>
  <si>
    <t>2189 - 3M SAND PAPER #120</t>
  </si>
  <si>
    <t>2190 - BOYSEN PLEXIBOND TEXT FINISH #7760</t>
  </si>
  <si>
    <t>2191 - PAINT BRUSH 3'' ( 2B )</t>
  </si>
  <si>
    <t>2192 - BLUE PIPE 1 1/2</t>
  </si>
  <si>
    <t>2193 - GYPSUM SCREW WOOD 2 ( BOX )</t>
  </si>
  <si>
    <t>2194 - SIN PRINCE G26 0.13 10FT</t>
  </si>
  <si>
    <t>2195 - LUCKY PAINT THINNER GAL.</t>
  </si>
  <si>
    <t>2196 - ANGLE BAR 6MM 3/16X2 (BRN)25.5KG</t>
  </si>
  <si>
    <t>2197 - REPUBLIC CEMENT ( 217 - 240 ) LRJ</t>
  </si>
  <si>
    <t>2198 - MURIATIC ACID 1L</t>
  </si>
  <si>
    <t>2199 - MURIATIC ACID 500ML</t>
  </si>
  <si>
    <t>2200 - SOSA ( GLEAM ) 250ML</t>
  </si>
  <si>
    <t>2201 - SOSA ( GLEAM ) 500ML</t>
  </si>
  <si>
    <t>2202 - SOSA ( ZIM ) 250ML</t>
  </si>
  <si>
    <t>2203 - SOSA ( ZIM ) 500ML</t>
  </si>
  <si>
    <t>2204 - REPUBLIC CEMENT ( DISCOUNTED PRICE 250per bag )</t>
  </si>
  <si>
    <t>2205 - HOLCIM CEMENT (DISCOUNTED 250 PER BAG) LRJ</t>
  </si>
  <si>
    <t>2206 - RAIN OR SHINE PAINT( CHEESE YELLOW ) GAL.</t>
  </si>
  <si>
    <t>2207 - RAIN OR SHINE PAINT( NEUTRAL GRAY ) GAL.</t>
  </si>
  <si>
    <t>2208 - SQUARE BAR 12MM</t>
  </si>
  <si>
    <t>2209 - BLUE PIPE 1</t>
  </si>
  <si>
    <t>2210 - TILES GRAY 60X60</t>
  </si>
  <si>
    <t>2211 - TIMBERGUARD SOLIGNUM CLEAR GAL.</t>
  </si>
  <si>
    <t>2212 - RYKER ( GARDENING )</t>
  </si>
  <si>
    <t>2213 - MARINE PLYWOOD 3/4 ( China ) - DJN</t>
  </si>
  <si>
    <t>2214 - TILE ADHESIVE PER KILO</t>
  </si>
  <si>
    <t>2215 - SAFETY BREAKER 60AMP</t>
  </si>
  <si>
    <t>2216 - SINK SMALL</t>
  </si>
  <si>
    <t>2217 - SINK MEDIUM</t>
  </si>
  <si>
    <t>2218 - PVC BALL VALVE 1/2</t>
  </si>
  <si>
    <t>2219 - WHEEL BARROW</t>
  </si>
  <si>
    <t>2220 - TITAN SKIM COAT</t>
  </si>
  <si>
    <t>2221 - GREEN HOUSE TILE ADHESIVE</t>
  </si>
  <si>
    <t>2222 - SIN Corr. WHITE 8FT</t>
  </si>
  <si>
    <t>2223 - GYPSUM SCREW WOOD 1 ( BOX )</t>
  </si>
  <si>
    <t>2224 - WELCOAT QDE CHOCO BROWN - WQD4580 GAL.</t>
  </si>
  <si>
    <t>2225 - WELCOAT QDE CHOCO BROWN - WQD4580 Liter.</t>
  </si>
  <si>
    <t>2226 - PAINT THINNER ( GRAND MASTER ) Bottle</t>
  </si>
  <si>
    <t>2227 - PIONEER ELASTOSEAL 85g.</t>
  </si>
  <si>
    <t>2228 - BOYSEN EPOXY PRIMER RED OXIDE W/ CATALYST - #2277</t>
  </si>
  <si>
    <t>2229 - TITAN PAINT STONE GRAY GAL.</t>
  </si>
  <si>
    <t>2230 - DOOR LOCK 4'' ( JOSE )</t>
  </si>
  <si>
    <t>2231 - DOUBLE FURRING .3</t>
  </si>
  <si>
    <t>2232 - PIPE RANGE ( GREENFIELD ) BIG</t>
  </si>
  <si>
    <t>2233 - MOULDING FOR WOOD</t>
  </si>
  <si>
    <t>2234 - PVC PIPE #4 ( EMIRALD )</t>
  </si>
  <si>
    <t>2235 - PVC PIPE #3 ( EMIRALD )</t>
  </si>
  <si>
    <t>2236 - PVC PIPE #2 ( EMIRALD )</t>
  </si>
  <si>
    <t>2237 - PVC TEE #4 ( EMIRALD )</t>
  </si>
  <si>
    <t>2238 - PVC COUPLING #4 ( EMIRALD )</t>
  </si>
  <si>
    <t>2239 - PVC ELBOW #4 X90 ( EMIRALD )</t>
  </si>
  <si>
    <t>2240 - PVC ELBOW #3 X90 ( EMIRALD )</t>
  </si>
  <si>
    <t>2241 - PVC ELBOW #2 X90 ( EMIRALD )</t>
  </si>
  <si>
    <t>2242 - PVC ELBOW #2 X45 ( EMIRALD )</t>
  </si>
  <si>
    <t>2243 - PE PIPE SDR11 ROLL 1/2 X 100m</t>
  </si>
  <si>
    <t>2244 - PE PIPE SDR11 ROLL 3/4 X 100m</t>
  </si>
  <si>
    <t>2245 - REDIFIX GAL.</t>
  </si>
  <si>
    <t>2246 - G'I PIPE CLAMP</t>
  </si>
  <si>
    <t>2247 - BARRA / CLAWBAR 25mm</t>
  </si>
  <si>
    <t>2248 - BARRA / CLAWBAR 28mm</t>
  </si>
  <si>
    <t>2249 - BARRA / CLAWBAR 16mm</t>
  </si>
  <si>
    <t>2250 - BARRA W/ POINTED</t>
  </si>
  <si>
    <t>2251 - BARRA SOLID</t>
  </si>
  <si>
    <t>2252 - MARINE PLYWOOD 1/4 STANDARD</t>
  </si>
  <si>
    <t>2253 - CRESTON ROUND BLADE/ LIMBAS</t>
  </si>
  <si>
    <t>2254 - BRASS BALL VALVE 1/2</t>
  </si>
  <si>
    <t>2255 - ISLAND SEMI-GLOSS WHITE ( Gal. )</t>
  </si>
  <si>
    <t>2256 - BARBE WIRE / ALAMBRE ( AUSTRALIA BRAND )</t>
  </si>
  <si>
    <t>2257 - ALUMINIUM MOSQUITO SCREEN</t>
  </si>
  <si>
    <t>2258 - PHILIPS LED BULB 7w</t>
  </si>
  <si>
    <t>2259 - PHILIPS LED BULB 9w</t>
  </si>
  <si>
    <t>2260 - ONE SKIMCOAT</t>
  </si>
  <si>
    <t>2261 - BRASS FAUSET ( PLAIN BIBB 1/2 Small )</t>
  </si>
  <si>
    <t>2262 - BRASS BALL VALVE 1/2 ( YELLOW HANDLE )</t>
  </si>
  <si>
    <t>2263 - CHROME SINK FAUSET</t>
  </si>
  <si>
    <t>2264 - SHOE TACKS 3/4</t>
  </si>
  <si>
    <t>2265 - SHOE TACKS 7/8</t>
  </si>
  <si>
    <t>2266 - SHOE TACKS 1/2</t>
  </si>
  <si>
    <t>2267 - ANGLE BAR 1/4X2</t>
  </si>
  <si>
    <t>2268 - POWER CRAFT DRILL BIT 9/64</t>
  </si>
  <si>
    <t>2269 - POWER CRAFT DRILL BIT 1/8</t>
  </si>
  <si>
    <t>2270 - CABLE TIE #1.9mm</t>
  </si>
  <si>
    <t>2271 - CABLE TIE #4x250mm</t>
  </si>
  <si>
    <t>2272 - DOOR HANDLE LOCK ( JOSE ) METAL</t>
  </si>
  <si>
    <t>2273 - DOOR HANDLE LOCK ( JOSE ) BLACK</t>
  </si>
  <si>
    <t>2274 - DOOR SLIDE LOCK 5''</t>
  </si>
  <si>
    <t>2275 - AMAKAN</t>
  </si>
  <si>
    <t>2276 - SHERA BOARD 3.5</t>
  </si>
  <si>
    <t>2277 - SHERA BOARD 4.5</t>
  </si>
  <si>
    <t>2278 - COCO LUMBER 2X2X10</t>
  </si>
  <si>
    <t>2279 - COCO LUMBER 2X4X10</t>
  </si>
  <si>
    <t>2280 - BODY FILLER</t>
  </si>
  <si>
    <t>2281 - FLAT CHORD 18/2</t>
  </si>
  <si>
    <t>2282 - EMT PIPE 1"</t>
  </si>
  <si>
    <t>2283 - ALUMINUM DUCT TAPE</t>
  </si>
  <si>
    <t>2284 - WELCOAT LATEX FLAT WHITE WL1000</t>
  </si>
  <si>
    <t>2285 - BOYSEN EPOXY PRIMER GRAY W/ CATALYST - #2230</t>
  </si>
  <si>
    <t>2286 - WELCOAT LATEX SEMI-GLOSS WHITE WL1005 ( Gal. )</t>
  </si>
  <si>
    <t>2287 - WELCOAT LATEX SEMI-GLOSS WHITE WL1005 ( Liter )</t>
  </si>
  <si>
    <t>2288 - BOYSEN LATEX TINT VENETIAN RED #1477</t>
  </si>
  <si>
    <t>2289 - POWER MIX CEMENTITIOUS WATERPROOFING GAL.</t>
  </si>
  <si>
    <t>2290 - WELCOAT QDE BLACK - WQD1150 1/4Liter</t>
  </si>
  <si>
    <t>2291 - WELCOAT QDE NILE GREEN - WQD9120</t>
  </si>
  <si>
    <t>2292 - SANDING SEALER BOTTLE ( APOLLO )</t>
  </si>
  <si>
    <t>2293 - SANDING SEALER GAL. ( GRAND MASTER )</t>
  </si>
  <si>
    <t>2294 - NELTEX ELECTRICAL TAPE SMALL</t>
  </si>
  <si>
    <t>2295 - ROPE 7MM ROLL</t>
  </si>
  <si>
    <t>2296 - ELECTRIC WATER PUMP 1/2</t>
  </si>
  <si>
    <t>2297 - PDX WIRE #10 BOX</t>
  </si>
  <si>
    <t>2298 - PDX WIRE #12 BOX</t>
  </si>
  <si>
    <t>2299 - PDX WIRE #14 BOX</t>
  </si>
  <si>
    <t>2300 - FIREFLY BULB 25W</t>
  </si>
  <si>
    <t>2301 - TAMARRAW SEN 8ft</t>
  </si>
  <si>
    <t>2302 - TAMARRAW SEN 10ft</t>
  </si>
  <si>
    <t>2303 - HAND RIVETER METRO-A</t>
  </si>
  <si>
    <t>2304 - GI BUSHING REDUCER 1/2x3/4</t>
  </si>
  <si>
    <t>2305 - TOPGRADE PAINT BRUSH 3"</t>
  </si>
  <si>
    <t>2306 - TOPGRADE CABLE TIES 2.5x100mm Blk</t>
  </si>
  <si>
    <t>2307 - TOPGRADE CABLE TIES 3.6x150mm Blk</t>
  </si>
  <si>
    <t>2308 - TOPGRADE CABLE TIES 2.5x100mm Wht</t>
  </si>
  <si>
    <t>2309 - TOPGRADE CABLE TIES 3.6x150mm Wht</t>
  </si>
  <si>
    <t>2310 - WALL RIGHT</t>
  </si>
  <si>
    <t>2311 - COMMOM NAILS #11/2 CARTOON</t>
  </si>
  <si>
    <t>2312 - COMMOM NAILS #3 CARTOON</t>
  </si>
  <si>
    <t>2313 - TIE WIRE DISCOUNTED PRICE ROLL</t>
  </si>
  <si>
    <t>2314 - COMMON NAILS DISCOUNTED PRICE #4</t>
  </si>
  <si>
    <t>2315 - 6MM TOX &amp; SCREW</t>
  </si>
  <si>
    <t>2316 - CIRCUIT BREAKER 100amper PLUG-IN</t>
  </si>
  <si>
    <t>2317 - CROWN ELBOW 2x90</t>
  </si>
  <si>
    <t>2318 - CROWN ELBOW 2x45</t>
  </si>
  <si>
    <t>2319 - CROWN ELBOW 3x90</t>
  </si>
  <si>
    <t>2320 - CROWN ELBOW 3x45</t>
  </si>
  <si>
    <t>2321 - CROWN ELBOW 4x90</t>
  </si>
  <si>
    <t>2322 - CROWN ELBOW 4x45</t>
  </si>
  <si>
    <t>2323 - CROWN COUPLING #3</t>
  </si>
  <si>
    <t>2324 - CROWN COUPLING #2</t>
  </si>
  <si>
    <t>2325 - CROWN COUPLING #4</t>
  </si>
  <si>
    <t>2326 - CROWN P-TRAP W/ RING #3</t>
  </si>
  <si>
    <t>2327 - CROWN WYE 2x2</t>
  </si>
  <si>
    <t>2328 - CROWN WYE 3x2</t>
  </si>
  <si>
    <t>2329 - CROWN TEE 4x2</t>
  </si>
  <si>
    <t>2330 - CROWN BUSHING REDUCER 3x2</t>
  </si>
  <si>
    <t>2331 - AVIATION SNIP TOP GRADE</t>
  </si>
  <si>
    <t>2332 - D.I.Y MESH TAPE</t>
  </si>
  <si>
    <t>2333 - PE ELBOW 1/2</t>
  </si>
  <si>
    <t>2334 - WALL FLASHING/ GREEN</t>
  </si>
  <si>
    <t>2335 - SPANISH GUTTER</t>
  </si>
  <si>
    <t>2336 - COLOR ROOF/ GREEN per meter 335 x 8meters</t>
  </si>
  <si>
    <t>2337 - SPANISH END FLASHING</t>
  </si>
  <si>
    <t>2338 - FASCIA MOULDING 9inch x 8fT</t>
  </si>
  <si>
    <t>2339 - PAINT BRUSH 4" 2B</t>
  </si>
  <si>
    <t>2340 - CONCRETE POST 6ft</t>
  </si>
  <si>
    <t>2341 - HOLLOWBLOCK #6</t>
  </si>
  <si>
    <t>2342 - STAPLE WIRE PIECE#1</t>
  </si>
  <si>
    <t>2343 - G.I COUPLING 1/2</t>
  </si>
  <si>
    <t>2344 - STEEL EPOXY handyman</t>
  </si>
  <si>
    <t>2345 - CIRCUIT BREAKER 20amp HERTZ</t>
  </si>
  <si>
    <t>2346 - THHN WIRE #10/7</t>
  </si>
  <si>
    <t>2347 - 1,2,3 GANG PLATE</t>
  </si>
  <si>
    <t>2348 - CIRCUIT BREAKER 100A BOLT ON 2P</t>
  </si>
  <si>
    <t>2349 - ECOLINK BULB 5W</t>
  </si>
  <si>
    <t>2350 - ECOLINK BULB 3W</t>
  </si>
  <si>
    <t>2351 - ECOLINK BULB 13W</t>
  </si>
  <si>
    <t>2352 - OSTAR BULB 12W</t>
  </si>
  <si>
    <t>2353 - ECOLUM BULB 7W</t>
  </si>
  <si>
    <t>2354 - 2GANG 3 PRONG OUTLET {ROYU}</t>
  </si>
  <si>
    <t>2355 - PANEL BOARD 12holes BOLT ON</t>
  </si>
  <si>
    <t>2356 - EXPANSION BOLT 5/8</t>
  </si>
  <si>
    <t>2357 - EXPANSION BOLT 1/2</t>
  </si>
  <si>
    <t>2358 - TAMARRAW 12ft</t>
  </si>
  <si>
    <t>2359 - HAPPYLUME SEN 10ft</t>
  </si>
  <si>
    <t>2360 - HAPPYLUME SEN 8ft</t>
  </si>
  <si>
    <t>2361 - GRAY ELBOW 2X90</t>
  </si>
  <si>
    <t>2362 - GRAY ELBOW 4X90</t>
  </si>
  <si>
    <t>2363 - GRAY PIPE #2</t>
  </si>
  <si>
    <t>2364 - GRAY PIPE #4</t>
  </si>
  <si>
    <t>2365 - CROWN CLEAN-OUT 2"</t>
  </si>
  <si>
    <t>2366 - CROWN SOLVENT CEMENT 100cc</t>
  </si>
  <si>
    <t>2367 - CROWN SOLVENT CEMENT 200cc</t>
  </si>
  <si>
    <t>2368 - CLT PLYBOARD 3/4</t>
  </si>
  <si>
    <t>2369 - SOLIGNUM CLT 1LITER</t>
  </si>
  <si>
    <t>2370 - ROOFGARD PAINT</t>
  </si>
  <si>
    <t>2371 - SHARK DUPLEX STRAINER HD stainless</t>
  </si>
  <si>
    <t>2372 - SHARK DUPLEX STRAINER ABS plastic</t>
  </si>
  <si>
    <t>2373 - RODELA ORANGE FOAM</t>
  </si>
  <si>
    <t>2374 - KALIS</t>
  </si>
  <si>
    <t>2375 - PVC ORANGE PIPE 1/2</t>
  </si>
  <si>
    <t>2376 - COMMON NAILS #2 [CARTOON]</t>
  </si>
  <si>
    <t>2377 - UTILITY BOX METAL</t>
  </si>
  <si>
    <t>2378 - SANITECH PIPE #2 S1000</t>
  </si>
  <si>
    <t>2379 - SANITECH PIPE #4 S1000</t>
  </si>
  <si>
    <t>2380 - HEAT GUN</t>
  </si>
  <si>
    <t>2381 - SOLVENT CEMENT SHERMAN 100cc</t>
  </si>
  <si>
    <t>2382 - CEMENT REPUBLIC</t>
  </si>
  <si>
    <t>2383 - KALSIFLEX 3/16</t>
  </si>
  <si>
    <t>2384 - KALSIFLEX 1/4</t>
  </si>
  <si>
    <t>2385 - BOYSEN FLAT WALL ENAMEL WHITE 1L #800</t>
  </si>
  <si>
    <t>2386 - CHB JOHN</t>
  </si>
  <si>
    <t>2387 - PVC COUPLING 3/4</t>
  </si>
  <si>
    <t>2388 - PPR COUPLING 1/2</t>
  </si>
  <si>
    <t>2389 - PPR ELBOW 1/2 GREEN</t>
  </si>
  <si>
    <t>2390 - PDX WIRE #14 CARTOON</t>
  </si>
  <si>
    <t>2391 - PDX WIRE #14 P/ meter</t>
  </si>
  <si>
    <t>2392 - TOP GRADE FLAP DISC #80 &amp; #60</t>
  </si>
  <si>
    <t>2393 - WALIS TINGTING</t>
  </si>
  <si>
    <t>2394 - ELECTROWELD 6011 WELDING ROD</t>
  </si>
  <si>
    <t>2395 - UNIVERSAL OUTLET BOX HERTZ</t>
  </si>
  <si>
    <t>2396 - TOP GRADE TIN SNIP</t>
  </si>
  <si>
    <t>2397 - CDO HARDWARE 1/2 ORDINARY PLYWOOD</t>
  </si>
  <si>
    <t>2398 - WATERPROOF TAPE 5cm (DDY)</t>
  </si>
  <si>
    <t>2399 - MASONARY DRILLBIT 1/8 TOPGRADE</t>
  </si>
  <si>
    <t>2400 - MASONARY DRILLBIT 3/16 TOPGRADE</t>
  </si>
  <si>
    <t>2401 - ELECTROWELD 6011 WELDING ROD 1/2 Kilo</t>
  </si>
  <si>
    <t>2402 - ELECTROWELD 6011 WELDING ROD 1/4 Kilo</t>
  </si>
  <si>
    <t>2403 - PPR GATE VALVE 1/2</t>
  </si>
  <si>
    <t>2404 - THHN WIRE #6/7 150mtrs</t>
  </si>
  <si>
    <t>2405 - SKIM COAT ULTRAFINO BOOSTIK</t>
  </si>
  <si>
    <t>2406 - SURESEAL SEALANT 1L</t>
  </si>
  <si>
    <t>2407 - PVC SOLVENT CEMENT 400cc ( Sherman )</t>
  </si>
  <si>
    <t>2408 - WELDED SCREEN 1/2 ( 1/2meter )</t>
  </si>
  <si>
    <t>2409 - CYLINDRICAL HINGES 1 1/4</t>
  </si>
  <si>
    <t>2410 - CES PAINT THINNER 1 GAL.</t>
  </si>
  <si>
    <t>2411 - TURN BUCKLE 12mm</t>
  </si>
  <si>
    <t>2412 - P.E FEMALE ADOPTOR 1/2</t>
  </si>
  <si>
    <t>2413 - P.E MALE ADOPTOR 1/2</t>
  </si>
  <si>
    <t>2414 - HACKSAW FRAME W/ BLADE DDY</t>
  </si>
  <si>
    <t>2415 - TOP GRADE SCREWDRIVER 3X75mm ( + )</t>
  </si>
  <si>
    <t>2416 - TOP GRADE SCREWDRIVER 3X100mm ( + )</t>
  </si>
  <si>
    <t>2417 - TOP GRADE SCREWDRIVER 5X75mm ( + )</t>
  </si>
  <si>
    <t>2418 - TOP GRADE SCREWDRIVER 5X100mm ( + )</t>
  </si>
  <si>
    <t>2419 - TOP GRADE SCREWDRIVER 5X125mm ( + )</t>
  </si>
  <si>
    <t>2420 - TOP GRADE SCREWDRIVER 3X75mm ( - )</t>
  </si>
  <si>
    <t>2421 - TOP GRADE SCREWDRIVER 5X75mm ( - )</t>
  </si>
  <si>
    <t>2422 - TOP GRADE SCREWDRIVER 5X150mm ( - )</t>
  </si>
  <si>
    <t>2423 - TOP GRADE SCREWDRIVER 5X125mm ( - )</t>
  </si>
  <si>
    <t>2424 - TOP GRADE AVIATION SNIPS ( STRAIGHT )</t>
  </si>
  <si>
    <t>2425 - TOP GRADE CLAW HAMMER 16oz P/FIN.</t>
  </si>
  <si>
    <t>2426 - TOP GRADE HAND RIVETER LD 9.5"</t>
  </si>
  <si>
    <t>2427 - PVC FEMALE / MALE ADAPTOR BLUE 1/2</t>
  </si>
  <si>
    <t>2428 - ALL WEATHER 100amp</t>
  </si>
  <si>
    <t>2429 - CUTTING DISC (TECHNO)</t>
  </si>
  <si>
    <t>2430 - GRINDING DISC (TECHNO)</t>
  </si>
  <si>
    <t>2431 - DIAMOND CUTTING DISC (TECHNO)</t>
  </si>
  <si>
    <t>2432 - TCT SAW BLADE (TECHNO)</t>
  </si>
  <si>
    <t>2433 - DOOR HANDLE 587SS (TECHNO)</t>
  </si>
  <si>
    <t>2434 - THHN WIRE #10 p/meter</t>
  </si>
  <si>
    <t>2435 - WD40 277ml</t>
  </si>
  <si>
    <t>2436 - PLAIN SHEET SUPERLUME MAX .5X8</t>
  </si>
  <si>
    <t>2437 - PDX WIRE #10 p/m</t>
  </si>
  <si>
    <t>2438 - PDX WIRE #12 p/m</t>
  </si>
  <si>
    <t>2439 - PIONEER ELASTOSEAL 1L</t>
  </si>
  <si>
    <t>2440 - REPUBLIC CEMENT (221-240)</t>
  </si>
  <si>
    <t>2441 - GRINDING DISC ( POWER CRAFT )</t>
  </si>
  <si>
    <t>2442 - TEMP. 1/4 X 3/4 W/NT PW</t>
  </si>
  <si>
    <t>2443 - TEMP. 1/4 X 1 W/NT PW</t>
  </si>
  <si>
    <t>2444 - TEMP. 5/16 X 3/4 W/NT PW</t>
  </si>
  <si>
    <t>2445 - TEMP. 5/16 X 1 W/NT PW</t>
  </si>
  <si>
    <t>2446 - TEMP. 3/8 X 3/4 W/NT PW</t>
  </si>
  <si>
    <t>2447 - TEMP. 7/16 X 3/4 W/NT PW</t>
  </si>
  <si>
    <t>2448 - TEMP. 7/16 X 1 W/NT PW</t>
  </si>
  <si>
    <t>2449 - TEMP. 1/2 X 3/4 W/NT PW</t>
  </si>
  <si>
    <t>2450 - TEMP. 1/2 X 1 W/NT PW</t>
  </si>
  <si>
    <t>2451 - TEMP. 3/8 X 1 W/NT PW</t>
  </si>
  <si>
    <t>2452 - ELBOW 4X90 TECHNO</t>
  </si>
  <si>
    <t>2453 - ELBOW 4X45 TECHNO</t>
  </si>
  <si>
    <t>2454 - TEE REDUCER 4X3 TECHNO</t>
  </si>
  <si>
    <t>2455 - BOSTIK ADHESIVE</t>
  </si>
  <si>
    <t>2456 - JENEX GYPSUM METEL SCREW 2" (500)</t>
  </si>
  <si>
    <t>2457 - JENEX GYPSUM METAL SCREW 2" (500) p/piece</t>
  </si>
  <si>
    <t>2458 - JENEX GYPSUM WOOD SCREW 1" (1000)</t>
  </si>
  <si>
    <t>2459 - JENEX GYPSUM WOOD SCREW 1" (1000) p/piece</t>
  </si>
  <si>
    <t>2460 - JENEX HARDI SCREW (1000)</t>
  </si>
  <si>
    <t>2461 - JENEX HARDI SCREW (1000) p/piece</t>
  </si>
  <si>
    <t>2462 - JENEX GAULKING GUN HD</t>
  </si>
  <si>
    <t>2463 - POLY ELBOW THREADED 1/2</t>
  </si>
  <si>
    <t>2464 - KATHYNE DOOR CITI HARDWARE</t>
  </si>
  <si>
    <t>2465 - JENEX ANGLE VALVE 3 WAY</t>
  </si>
  <si>
    <t>2466 - BLUE TEE 1/2X3/4 &amp; 3/4</t>
  </si>
  <si>
    <t>2467 - ELASTOMERIC SEALANT (TECHNO)</t>
  </si>
  <si>
    <t>2468 - BOSCH GRINDER (AB-TECH)</t>
  </si>
  <si>
    <t>2469 - DAVIES ACRYTILE PRIMER</t>
  </si>
  <si>
    <t>2470 - DAVIES ACRYTILE REDUCER</t>
  </si>
  <si>
    <t>2471 - NOVA SEAL (TECHNO)</t>
  </si>
  <si>
    <t>2472 - FEDSEAL (ABTECH)</t>
  </si>
  <si>
    <t>2473 - LATEX IVORY</t>
  </si>
  <si>
    <t>2474 - LATEX TEMPTATION GREEN</t>
  </si>
  <si>
    <t>2475 - LATEX BAGUIO GREEN</t>
  </si>
  <si>
    <t>2476 - LATEX WHITE</t>
  </si>
  <si>
    <t>2477 - ENAMEL WHITE</t>
  </si>
  <si>
    <t>2478 - RED OXIDE MINNISOTA</t>
  </si>
  <si>
    <t>2479 - SOLIGNUM DEP.ED</t>
  </si>
  <si>
    <t>2480 - PAINT BRUSH #2</t>
  </si>
  <si>
    <t>2481 - RECEPTACLE #4</t>
  </si>
  <si>
    <t>2482 - RECEPTACLE #3</t>
  </si>
  <si>
    <t>2483 - FLEXIBLE TUBE 1/2</t>
  </si>
  <si>
    <t>2484 - PVC CLAMP 1/2</t>
  </si>
  <si>
    <t>2485 - TOX W/ SCREW 6MM</t>
  </si>
  <si>
    <t>2486 - 3M TARTAN TAPE DEP.ED</t>
  </si>
  <si>
    <t>2487 - THHN WIRE #10 DEP.ED</t>
  </si>
  <si>
    <t>2488 - MASORONG HOLCIM</t>
  </si>
  <si>
    <t>2489 - ALUMINUM FRAME 12BLADES</t>
  </si>
  <si>
    <t>2490 - HINGES 4X4 2B</t>
  </si>
  <si>
    <t>2491 - DIAMOND CUTTING DISC (JENEX)</t>
  </si>
  <si>
    <t>2492 - WOOD DOOR KNOB</t>
  </si>
  <si>
    <t>2493 - TAPAL SEAL</t>
  </si>
  <si>
    <t>2494 - HANDSAW W/ PVC HANDLE #20 (JENEX)</t>
  </si>
  <si>
    <t>2495 - JENEX METAL TEX SCREW 25mm (1000)</t>
  </si>
  <si>
    <t>2496 - JENEX METAL TEX SCREW 45mm (550)</t>
  </si>
  <si>
    <t>2497 - JENEX METAL TEX SCREW 65mm (350)</t>
  </si>
  <si>
    <t>2498 - JENEX METAL TEX SCREW 25mm (p/ piece)</t>
  </si>
  <si>
    <t>2499 - JENEX METAL TEX SCREW 45mm (p/ piece)</t>
  </si>
  <si>
    <t>2500 - JENEX METAL TEX SCREW 65mm (p/ piece)</t>
  </si>
  <si>
    <t>2501 - JENEX GARDEN HOSE p/m</t>
  </si>
  <si>
    <t>2502 - TUBULAR TUBE 1X1X1.5 (KPL)</t>
  </si>
  <si>
    <t>2503 - PLYWOOD 1/4 CHINA ( BME )</t>
  </si>
  <si>
    <t>2504 - ELASTOSEAL 250grms</t>
  </si>
  <si>
    <t>2505 - DOMINO PRIMER GRAY</t>
  </si>
  <si>
    <t>2506 - ACRYLIC LATEX WHITE</t>
  </si>
  <si>
    <t>2507 - LUMBER 2x3x10 (Dep.ed)</t>
  </si>
  <si>
    <t>2508 - LUMBER 2x2x10 (Dep.ed)</t>
  </si>
  <si>
    <t>2509 - LUMBER 2x2x8 (Dep.ed)</t>
  </si>
  <si>
    <t>2510 - ACRYTEX CAST (DAVIES)</t>
  </si>
  <si>
    <t>2511 - ACRYTILE PRIMER (WELCOAT)</t>
  </si>
  <si>
    <t>2512 - STEEL BRUSH (JR BORJA)</t>
  </si>
  <si>
    <t>2513 - LACQUER THINNER (MAYON)(JR BORJA)</t>
  </si>
  <si>
    <t>2514 - PATCHING COMPOUND</t>
  </si>
  <si>
    <t>2515 - NIHON WELDING ROD</t>
  </si>
  <si>
    <t>2516 - KABILYA 8mm (CUADRO OTSO)</t>
  </si>
  <si>
    <t>2517 - ABC TILE GROUT WHITE 2kg</t>
  </si>
  <si>
    <t>2518 - TYROLET CUTTING DISC RED</t>
  </si>
  <si>
    <t>2519 - NOOTIK FORTEX ADHESIIVE</t>
  </si>
  <si>
    <t>2520 - PANEL BOARD 4 BRANCHES</t>
  </si>
  <si>
    <t>2521 - BESGUARD STEEL FILE / LIMBAS 8''</t>
  </si>
  <si>
    <t>2522 - SAFETY BREAKER 60AMP PLUG IN</t>
  </si>
  <si>
    <t>2523 - THHN WIRE #14 BOX -HERTZ</t>
  </si>
  <si>
    <t>2524 - RED CEMENT P/KILO</t>
  </si>
  <si>
    <t>2525 - GEMILINA BUNDLE</t>
  </si>
  <si>
    <t>2526 - WALL ANGLE 6ft DDY</t>
  </si>
  <si>
    <t>2527 - SILICON ALL PURPOSE WHITE (TECHNO)</t>
  </si>
  <si>
    <t>2528 - BUILD SMART SKIMCOAT</t>
  </si>
  <si>
    <t>2529 - HIPPO SAND PAPER #120</t>
  </si>
  <si>
    <t>2530 - DAVIES LIQUID TILE PRIMER</t>
  </si>
  <si>
    <t>2531 - DAVIES LIQUID TILE REDUCER</t>
  </si>
  <si>
    <t>2532 - DAVIES CHOCO BROWN FLAT</t>
  </si>
  <si>
    <t>2533 - GRIP BODY FILLER 1L</t>
  </si>
  <si>
    <t>2534 - DAVIES PAIL LIQUID TILE PRIMER</t>
  </si>
  <si>
    <t>2535 - DAVIES SEMI GLOSS WHITE</t>
  </si>
  <si>
    <t>2536 - RUST CONVERTER SHERLUX 1L</t>
  </si>
  <si>
    <t>2537 - LUX QDE BLACK &amp; WHITE 80ml</t>
  </si>
  <si>
    <t>2538 - FOCUS PVC TAPE 5Y BLACK</t>
  </si>
  <si>
    <t>2539 - FOCUS PVC TAPE 20Y BLACK</t>
  </si>
  <si>
    <t>2540 - UNILUME 12FT</t>
  </si>
  <si>
    <t>2541 - CENTURY PEAK</t>
  </si>
  <si>
    <t>2542 - PREFIX SKIMCOAT WHITE</t>
  </si>
  <si>
    <t>2543 - JDE FLAT LATEX WHITE</t>
  </si>
  <si>
    <t>2544 - JDE SEMI GLOSS FLAT LAT</t>
  </si>
  <si>
    <t>2545 - FLEXIBLE HOSE 1/2 50mtrs BS</t>
  </si>
  <si>
    <t>2546 - PE PIPE REDUCER 1/2x3/4</t>
  </si>
  <si>
    <t>2547 - 3/4 ORDINARY PLYWOOD (DEP.ED)</t>
  </si>
  <si>
    <t>2548 - 12MM IRON BAR (DEP.ED)</t>
  </si>
  <si>
    <t>2549 - 10mm RSB BABAISON</t>
  </si>
  <si>
    <t>2550 - COCO LUMBER 1X2X8 (DEP.ED)</t>
  </si>
  <si>
    <t>2551 - C0CO LUMBER 2X3X10 (DEP.ED) ZAYAS</t>
  </si>
  <si>
    <t>2552 - GOOD LUMBER 2X2X8</t>
  </si>
  <si>
    <t>2553 - ARMOR CUTTING DISC 14" for Metal/Steel</t>
  </si>
  <si>
    <t>2554 - FUJI WELDING ROD #6011 (1/8 )</t>
  </si>
  <si>
    <t>2555 - PIONEER MARINE EPOXY 130grms can</t>
  </si>
  <si>
    <t>2556 - SAMPLE</t>
  </si>
  <si>
    <t>SAMPLE</t>
  </si>
  <si>
    <t>SALES ORDER</t>
  </si>
  <si>
    <t>GRAND TOTAL &gt;&gt;</t>
  </si>
  <si>
    <t># OF ITEMS &gt;&gt;</t>
  </si>
  <si>
    <t>Inventory</t>
  </si>
  <si>
    <t>SALES MENU</t>
  </si>
  <si>
    <t>ITEM TABLE</t>
  </si>
  <si>
    <t>SALES TABLE</t>
  </si>
  <si>
    <t>MAIN DASHBOARD</t>
  </si>
  <si>
    <t>ANALYSIS</t>
  </si>
  <si>
    <t>% COMPLETE</t>
  </si>
  <si>
    <t>ACTIVITY</t>
  </si>
  <si>
    <t>Mylah</t>
  </si>
  <si>
    <t>Miro</t>
  </si>
  <si>
    <t>ADD NEW ITEM</t>
  </si>
  <si>
    <t>CUSTOMER TABLE</t>
  </si>
  <si>
    <t>CUSTOMER_NAME</t>
  </si>
  <si>
    <t>ADDRESS</t>
  </si>
  <si>
    <t>CONTACT NO.</t>
  </si>
  <si>
    <t>EMAIL_ADD</t>
  </si>
  <si>
    <t>SUPPLIER TABLE</t>
  </si>
  <si>
    <t>custID</t>
  </si>
  <si>
    <t>supID</t>
  </si>
  <si>
    <t>Milan</t>
  </si>
  <si>
    <t>sadsad</t>
  </si>
  <si>
    <t>Sadsadsa</t>
  </si>
  <si>
    <t>ADD NEW CUSTOMER</t>
  </si>
  <si>
    <t>ADD NEW SUPPLIER</t>
  </si>
  <si>
    <t>x</t>
  </si>
  <si>
    <t>sample</t>
  </si>
  <si>
    <t>Minerva</t>
  </si>
  <si>
    <t>SUPPLIER NAME</t>
  </si>
  <si>
    <t>DESC</t>
  </si>
  <si>
    <t>SKU CODE</t>
  </si>
  <si>
    <t>LOCATION</t>
  </si>
  <si>
    <t>NO OF ITEMS</t>
  </si>
  <si>
    <t>FIRST 2DIGIT</t>
  </si>
  <si>
    <t>NEXT 4DIGIT</t>
  </si>
  <si>
    <t>LOC1</t>
  </si>
  <si>
    <t>LOC2</t>
  </si>
  <si>
    <t>LOC3</t>
  </si>
  <si>
    <t>LOC4</t>
  </si>
  <si>
    <t>LOC5</t>
  </si>
  <si>
    <t>LOC6</t>
  </si>
  <si>
    <t>LOC7</t>
  </si>
  <si>
    <t>LOC8</t>
  </si>
  <si>
    <t>LOC9</t>
  </si>
  <si>
    <t>LOC10</t>
  </si>
  <si>
    <t>1000-9999</t>
  </si>
  <si>
    <t>START NUM</t>
  </si>
  <si>
    <t>LARGE NUM</t>
  </si>
  <si>
    <t>ItemDescription</t>
  </si>
  <si>
    <t>QTYSold</t>
  </si>
  <si>
    <t>EndInv</t>
  </si>
  <si>
    <t>LOCXY</t>
  </si>
  <si>
    <t>RunningInv</t>
  </si>
  <si>
    <t>CurInv</t>
  </si>
  <si>
    <t>NewInv</t>
  </si>
  <si>
    <t>RUNNING INVENTORY</t>
  </si>
  <si>
    <t>SEARCH MENU</t>
  </si>
  <si>
    <t>PURCHASE MENU</t>
  </si>
  <si>
    <t>nj</t>
  </si>
  <si>
    <t>d</t>
  </si>
  <si>
    <t>Total Cost</t>
  </si>
  <si>
    <t>Tot Qty</t>
  </si>
  <si>
    <t>Profit %</t>
  </si>
  <si>
    <t>New SRP</t>
  </si>
  <si>
    <t>ProfPerPiece</t>
  </si>
  <si>
    <t>TotProfit</t>
  </si>
  <si>
    <t>TansDate</t>
  </si>
  <si>
    <t>Or#</t>
  </si>
  <si>
    <t>Del#</t>
  </si>
  <si>
    <t>Supplier</t>
  </si>
  <si>
    <t>Current INV</t>
  </si>
  <si>
    <t>prev SRP&gt;&gt;</t>
  </si>
  <si>
    <t>prev COST &gt;&gt;</t>
  </si>
  <si>
    <t>PURCHASE HIST TABLE</t>
  </si>
  <si>
    <t>COST Per Piece</t>
  </si>
  <si>
    <t>REMARKS</t>
  </si>
  <si>
    <t>COMPLETED</t>
  </si>
  <si>
    <t>YEAR</t>
  </si>
  <si>
    <t>MONTH</t>
  </si>
  <si>
    <t>DAY</t>
  </si>
  <si>
    <t>Column2</t>
  </si>
  <si>
    <t>selected row</t>
  </si>
  <si>
    <t>Year</t>
  </si>
  <si>
    <t>Month</t>
  </si>
  <si>
    <t>Day</t>
  </si>
  <si>
    <t>PrevSRP</t>
  </si>
  <si>
    <t>PrevCOST</t>
  </si>
  <si>
    <t>PrevDate</t>
  </si>
  <si>
    <t>PrevSupplier</t>
  </si>
  <si>
    <t>QTY_Sold</t>
  </si>
  <si>
    <t>PrevUpDate</t>
  </si>
  <si>
    <t>prev Sup&gt;&gt;</t>
  </si>
  <si>
    <t>NewINV</t>
  </si>
  <si>
    <t>TransDate</t>
  </si>
  <si>
    <t>COST/Piece</t>
  </si>
  <si>
    <t>awaiting file ITEM Table</t>
  </si>
  <si>
    <t>MAKE SOA</t>
  </si>
  <si>
    <t>MAKE INVOICE RECEIPT</t>
  </si>
  <si>
    <t>NewSupplier</t>
  </si>
  <si>
    <t>NewUpDate</t>
  </si>
  <si>
    <t>NewCOST</t>
  </si>
  <si>
    <t>NewSRP</t>
  </si>
  <si>
    <t>ValueNewUpDAte</t>
  </si>
  <si>
    <t>niasdsa</t>
  </si>
  <si>
    <t>pcs</t>
  </si>
  <si>
    <t>ValuePrevUpDate</t>
  </si>
  <si>
    <t>MaxNewUpDate</t>
  </si>
  <si>
    <t>MaxPrevUpDate</t>
  </si>
  <si>
    <t>STATEMENT OF ACCOUNT</t>
  </si>
  <si>
    <t>Bill To :</t>
  </si>
  <si>
    <t>Address :</t>
  </si>
  <si>
    <t>Statement Date :</t>
  </si>
  <si>
    <t>Covered Period :</t>
  </si>
  <si>
    <t>DR # :</t>
  </si>
  <si>
    <t>ITEM DESCRIPTION</t>
  </si>
  <si>
    <t>QTY</t>
  </si>
  <si>
    <t>UNIT PRICE</t>
  </si>
  <si>
    <t>GROSS AMOUNT</t>
  </si>
  <si>
    <t>TOTAL</t>
  </si>
  <si>
    <t>WWEWQE</t>
  </si>
  <si>
    <t>REF552024189057</t>
  </si>
  <si>
    <t>Sdsad</t>
  </si>
  <si>
    <t>INVOICE</t>
  </si>
  <si>
    <t>Date</t>
  </si>
  <si>
    <t>Invoice No.</t>
  </si>
  <si>
    <t>Bill To</t>
  </si>
  <si>
    <t>CREATE SKU#</t>
  </si>
  <si>
    <t>SALES VS EXPENSE</t>
  </si>
  <si>
    <t>OPERATION TEMPLATES</t>
  </si>
  <si>
    <t>ADD MENUS</t>
  </si>
  <si>
    <t>OPERATION MENU</t>
  </si>
  <si>
    <t>MENU</t>
  </si>
  <si>
    <t>CASH SALES MENU</t>
  </si>
  <si>
    <t>EXPENSE MENU</t>
  </si>
  <si>
    <t>SALARY MENU</t>
  </si>
  <si>
    <t>QWE</t>
  </si>
  <si>
    <t>QW123</t>
  </si>
  <si>
    <t>Sabysab</t>
  </si>
  <si>
    <t>SADSADSA@SADSA.COM</t>
  </si>
  <si>
    <t>sample2</t>
  </si>
  <si>
    <t>2557sample2</t>
  </si>
  <si>
    <t>SAMPLE3</t>
  </si>
  <si>
    <t>2558 - SAMPLE3</t>
  </si>
  <si>
    <t>sample3</t>
  </si>
  <si>
    <t>2559 - SAMPLE3</t>
  </si>
  <si>
    <t>SABYSAB</t>
  </si>
  <si>
    <t>sdfdsf</t>
  </si>
  <si>
    <t>sdfdsfds</t>
  </si>
  <si>
    <t>BACK</t>
  </si>
  <si>
    <t>Millan Cabactulan</t>
  </si>
  <si>
    <t>MHELCBAS@YAHOO.COM</t>
  </si>
  <si>
    <t>1133 Central Village Camaman-An, Cagayan De Oro City</t>
  </si>
  <si>
    <t>SSSSS@SSSSS.SSSS</t>
  </si>
  <si>
    <t>The Quick Brown Fox Jumps Over The Lazy Dog</t>
  </si>
  <si>
    <t>John Michael Vincent Cabactulan</t>
  </si>
  <si>
    <t>DATE :</t>
  </si>
  <si>
    <t>EMPLOYEE PROFILE</t>
  </si>
  <si>
    <t>EmpIDNo</t>
  </si>
  <si>
    <t>Last Name</t>
  </si>
  <si>
    <t>First Name</t>
  </si>
  <si>
    <t>Middle Name</t>
  </si>
  <si>
    <t>Gender</t>
  </si>
  <si>
    <t>Birth Date</t>
  </si>
  <si>
    <t>Position</t>
  </si>
  <si>
    <t>Mobile Num</t>
  </si>
  <si>
    <t>Address</t>
  </si>
  <si>
    <t>Email Add</t>
  </si>
  <si>
    <t>TIN No.</t>
  </si>
  <si>
    <t>SSS No.</t>
  </si>
  <si>
    <t>PhilHealth No.</t>
  </si>
  <si>
    <t>Driver's License No.</t>
  </si>
  <si>
    <t>Picture</t>
  </si>
  <si>
    <t>Date Hired</t>
  </si>
  <si>
    <t>Contact Person</t>
  </si>
  <si>
    <t>ConPers CP No.</t>
  </si>
  <si>
    <t>Remarks</t>
  </si>
  <si>
    <t>Manager</t>
  </si>
  <si>
    <t>OLANDRIA</t>
  </si>
  <si>
    <t>ABEGAIL</t>
  </si>
  <si>
    <t>QUIMQUE</t>
  </si>
  <si>
    <t>FEMALE</t>
  </si>
  <si>
    <t>08-2529742-5</t>
  </si>
  <si>
    <t>324-085-672</t>
  </si>
  <si>
    <t>CASHIER/COUNTER PERSONNEL</t>
  </si>
  <si>
    <t>JULY 25, 2022</t>
  </si>
  <si>
    <t>NERI</t>
  </si>
  <si>
    <t>JOY</t>
  </si>
  <si>
    <t>NICKNAME</t>
  </si>
  <si>
    <t>S</t>
  </si>
  <si>
    <t>REY NERI</t>
  </si>
  <si>
    <t>0935-840-6237</t>
  </si>
  <si>
    <t>08-1268022-3</t>
  </si>
  <si>
    <t>Education Status</t>
  </si>
  <si>
    <t>National IDNo.</t>
  </si>
  <si>
    <t>LABOR</t>
  </si>
  <si>
    <t>JUNE 1, 2022</t>
  </si>
  <si>
    <t>MARCH 18, 2022</t>
  </si>
  <si>
    <t>LOBO</t>
  </si>
  <si>
    <t>EUGENE</t>
  </si>
  <si>
    <t>B</t>
  </si>
  <si>
    <t>MALE</t>
  </si>
  <si>
    <t>AGUSTIN B. LOBO</t>
  </si>
  <si>
    <t>0935-654-8251</t>
  </si>
  <si>
    <t>08-3099879-3</t>
  </si>
  <si>
    <t>PALAC</t>
  </si>
  <si>
    <t>MICHAEL</t>
  </si>
  <si>
    <t>E</t>
  </si>
  <si>
    <t>VERGIE PAHUYO</t>
  </si>
  <si>
    <t>0935-470-3216</t>
  </si>
  <si>
    <t>08-1972594-5</t>
  </si>
  <si>
    <t>C:\Users\Admin_Xuyu\Desktop\MHELCABS FILE\EXCEL WORKING TEMPLATES\QA HARDWARE\icons\NeriID.jpg</t>
  </si>
  <si>
    <t>C:\Users\Admin_Xuyu\Desktop\MHELCABS FILE\EXCEL WORKING TEMPLATES\QA HARDWARE\icons\EugeneID.jpg</t>
  </si>
  <si>
    <t>C:\Users\Admin_Xuyu\Desktop\MHELCABS FILE\EXCEL WORKING TEMPLATES\QA HARDWARE\icons\MichaelID.jpg</t>
  </si>
  <si>
    <t>"ABBY"</t>
  </si>
  <si>
    <t>"NGIJ"</t>
  </si>
  <si>
    <t>"WONDER"</t>
  </si>
  <si>
    <t>"KELPAX"</t>
  </si>
  <si>
    <t>the quick brown fox jumps over the lazy dog…................................................</t>
  </si>
  <si>
    <t>Name</t>
  </si>
  <si>
    <t>EmpID</t>
  </si>
  <si>
    <t>Rate/Hour</t>
  </si>
  <si>
    <t xml:space="preserve">Rate/Day </t>
  </si>
  <si>
    <t>SSS</t>
  </si>
  <si>
    <t>Philhealth</t>
  </si>
  <si>
    <t>Insurance</t>
  </si>
  <si>
    <t>Current Employee Salary Grade (Monthly)</t>
  </si>
  <si>
    <t>Gross Salary</t>
  </si>
  <si>
    <t>EmpName</t>
  </si>
  <si>
    <t>PayrollDate</t>
  </si>
  <si>
    <t>JAN 1 - 15</t>
  </si>
  <si>
    <t>JAN 16 - 31</t>
  </si>
  <si>
    <t>FEB 1 - 15</t>
  </si>
  <si>
    <t>FEB 16 - 29</t>
  </si>
  <si>
    <t>MAR 1 - 15</t>
  </si>
  <si>
    <t>MAR 16 - 31</t>
  </si>
  <si>
    <t>APR 1 - 15</t>
  </si>
  <si>
    <t>APR 16 - 30</t>
  </si>
  <si>
    <t>MAY 1 - 15</t>
  </si>
  <si>
    <t>MAY 16 - 31</t>
  </si>
  <si>
    <t>JUN 1 - 15</t>
  </si>
  <si>
    <t>JUN 16 - 30</t>
  </si>
  <si>
    <t>JUL 1 - 15</t>
  </si>
  <si>
    <t>JUL 16 - 31</t>
  </si>
  <si>
    <t>AUG 1 - 15</t>
  </si>
  <si>
    <t>AUG 16 - 31</t>
  </si>
  <si>
    <t>SEP 1 - 15</t>
  </si>
  <si>
    <t>SEP 16 - 30</t>
  </si>
  <si>
    <t>OCT 1 - 15</t>
  </si>
  <si>
    <t>OCT 16 - 31</t>
  </si>
  <si>
    <t>NOV 1 - 15</t>
  </si>
  <si>
    <t>NOV 16 - 30</t>
  </si>
  <si>
    <t>DEC 1 - 15</t>
  </si>
  <si>
    <t>DEC 16 - 31</t>
  </si>
  <si>
    <t>Rate/Hr</t>
  </si>
  <si>
    <t>Total Reg Hour</t>
  </si>
  <si>
    <t>Total Reg Pay</t>
  </si>
  <si>
    <t>GROSS INCOME</t>
  </si>
  <si>
    <t>Cash Advances</t>
  </si>
  <si>
    <t>PhilHealth</t>
  </si>
  <si>
    <t>Others</t>
  </si>
  <si>
    <t>DEDUCTIONS</t>
  </si>
  <si>
    <t>EMPLOYEE INFO</t>
  </si>
  <si>
    <t>NET INCOME</t>
  </si>
  <si>
    <t>Rate/OT  /Hr</t>
  </si>
  <si>
    <t>Total        OT Hour</t>
  </si>
  <si>
    <t>Total            OT Pay</t>
  </si>
  <si>
    <t>Employee Salary Increase Table</t>
  </si>
  <si>
    <t>Gross Salary Increase</t>
  </si>
  <si>
    <t>Rate/Day</t>
  </si>
  <si>
    <t>Rate/OT/Hr</t>
  </si>
  <si>
    <t>CoverageDate</t>
  </si>
  <si>
    <t>TotNetPay</t>
  </si>
  <si>
    <t>TotRegHr</t>
  </si>
  <si>
    <t>Tot/OT</t>
  </si>
  <si>
    <t>TotRegPay</t>
  </si>
  <si>
    <t>TotOTPay</t>
  </si>
  <si>
    <t>TotGrossPay</t>
  </si>
  <si>
    <t>CA</t>
  </si>
  <si>
    <t>SS</t>
  </si>
  <si>
    <t>PHealth</t>
  </si>
  <si>
    <t>TotDeduc</t>
  </si>
  <si>
    <t>Payroll Table</t>
  </si>
  <si>
    <t>Total                 Net Pay</t>
  </si>
  <si>
    <t>Total               Gross Pay</t>
  </si>
  <si>
    <t>Total Deduction</t>
  </si>
  <si>
    <t>Date of Increase</t>
  </si>
  <si>
    <t>PAYROLL TEMPLATE</t>
  </si>
  <si>
    <t>PAYROLL TABLE</t>
  </si>
  <si>
    <t>Total OTHr</t>
  </si>
  <si>
    <t>Reg</t>
  </si>
  <si>
    <t>OT</t>
  </si>
  <si>
    <t>Payroll Date Coverage</t>
  </si>
  <si>
    <t>Total RegHr</t>
  </si>
  <si>
    <t>Legend</t>
  </si>
  <si>
    <t>A</t>
  </si>
  <si>
    <t>- Absent</t>
  </si>
  <si>
    <t>- Vacation Leave</t>
  </si>
  <si>
    <t>VL</t>
  </si>
  <si>
    <t>EL</t>
  </si>
  <si>
    <t>- Emergency Leave</t>
  </si>
  <si>
    <t>SL</t>
  </si>
  <si>
    <t>- Sick Leave</t>
  </si>
  <si>
    <t>HD</t>
  </si>
  <si>
    <t>P</t>
  </si>
  <si>
    <t>- Present</t>
  </si>
  <si>
    <t>- Half Day</t>
  </si>
  <si>
    <t>Employee Info</t>
  </si>
  <si>
    <t>PROVISIONS W/ PAY</t>
  </si>
  <si>
    <t>PaySDay</t>
  </si>
  <si>
    <t>PayEDay</t>
  </si>
  <si>
    <t>PayrollDateTable</t>
  </si>
  <si>
    <t>a</t>
  </si>
  <si>
    <t>b</t>
  </si>
  <si>
    <t>c</t>
  </si>
  <si>
    <t>ATTENDANCE TEMPLATE</t>
  </si>
  <si>
    <t>START &gt;&gt;</t>
  </si>
  <si>
    <t>ATTENDANCE TABLE</t>
  </si>
  <si>
    <t>LACKING EMPLOYEE INFO</t>
  </si>
  <si>
    <t xml:space="preserve"> - </t>
  </si>
  <si>
    <t>&lt;&lt; Payroll Date Coverage &gt;&gt;</t>
  </si>
  <si>
    <t>PURCHASES :</t>
  </si>
  <si>
    <t>RENTAL :</t>
  </si>
  <si>
    <t>ELECTRICITY :</t>
  </si>
  <si>
    <t>WATER :</t>
  </si>
  <si>
    <t>INTERNET :</t>
  </si>
  <si>
    <t>TRANSPORTATION :</t>
  </si>
  <si>
    <t>TAX :</t>
  </si>
  <si>
    <t>OTHERS :</t>
  </si>
  <si>
    <t>GAS/DIESEL :</t>
  </si>
  <si>
    <t>YES-SPECIFY</t>
  </si>
  <si>
    <t xml:space="preserve">DATE </t>
  </si>
  <si>
    <t xml:space="preserve">PURCHASES </t>
  </si>
  <si>
    <t xml:space="preserve">SALARY/CA </t>
  </si>
  <si>
    <t xml:space="preserve">RENTAL </t>
  </si>
  <si>
    <t xml:space="preserve">ELECTRICITY </t>
  </si>
  <si>
    <t xml:space="preserve">WATER </t>
  </si>
  <si>
    <t xml:space="preserve">INTERNET </t>
  </si>
  <si>
    <t xml:space="preserve">GAS/DIESEL </t>
  </si>
  <si>
    <t xml:space="preserve">TRANSPORTATION </t>
  </si>
  <si>
    <t xml:space="preserve">TAX </t>
  </si>
  <si>
    <t xml:space="preserve">OTHERS </t>
  </si>
  <si>
    <t xml:space="preserve">ADVERTISING </t>
  </si>
  <si>
    <t xml:space="preserve">VEHICLE REPAIRS </t>
  </si>
  <si>
    <t xml:space="preserve">BLDG. MAINTENANCE </t>
  </si>
  <si>
    <t xml:space="preserve">OFFICE SUPPLIES </t>
  </si>
  <si>
    <t xml:space="preserve">SEMINARS/MEETINGS </t>
  </si>
  <si>
    <t xml:space="preserve">SOLICITATION </t>
  </si>
  <si>
    <t xml:space="preserve">VEHICLE RENEWAL </t>
  </si>
  <si>
    <t xml:space="preserve">PERMIT RENEWAL </t>
  </si>
  <si>
    <t>SALARY/CASH ADVANCES :</t>
  </si>
  <si>
    <t>DAILY EXPENSES MONITORING</t>
  </si>
  <si>
    <t>MonthGuide</t>
  </si>
  <si>
    <t>MonthNum</t>
  </si>
  <si>
    <t>MonthName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</si>
  <si>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</si>
  <si>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</si>
  <si>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</si>
  <si>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</si>
  <si>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</si>
  <si>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</si>
  <si>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</si>
  <si>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</si>
  <si>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</si>
  <si>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</si>
  <si>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</si>
  <si>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</si>
  <si>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</si>
  <si>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</si>
  <si>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</si>
  <si>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</si>
  <si>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</si>
  <si>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</si>
  <si>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</si>
  <si>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</si>
  <si>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</si>
  <si>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</si>
  <si>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</si>
  <si>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REF4220241307431</t>
  </si>
  <si>
    <t xml:space="preserve">YEAR </t>
  </si>
  <si>
    <t>REF4820241308555</t>
  </si>
  <si>
    <t>FOOD/SNACK :</t>
  </si>
  <si>
    <t>FOOD/SNACK</t>
  </si>
  <si>
    <t>IN-KIND/INCENTIVES</t>
  </si>
  <si>
    <t>EXPENSES MENU &amp; TABLE</t>
  </si>
  <si>
    <t>AWAITING ITEM FINALIZATION</t>
  </si>
  <si>
    <t>EmployeeTable</t>
  </si>
  <si>
    <t>&lt;&lt; BACK TO MAIN DASHBOARD</t>
  </si>
  <si>
    <t>DAILY CASH SALES MONITORING</t>
  </si>
  <si>
    <t>--- CHOOSE ONE ---</t>
  </si>
  <si>
    <t>CASH ON HAND :</t>
  </si>
  <si>
    <t>OTHER CASH ADDED :</t>
  </si>
  <si>
    <t>CASH THROUGH SALES TODAY:</t>
  </si>
  <si>
    <t>(1) CHEQUE RECEIVED AS PAYMENT - AMOUNT</t>
  </si>
  <si>
    <t>(2) CHEQUE RECEIVED AS PAYMENT - AMOUNT</t>
  </si>
  <si>
    <t>(3) CHEQUE RECEIVED AS PAYMENT - AMOUNT</t>
  </si>
  <si>
    <t>(4) CHEQUE RECEIVED AS PAYMENT - AMOUNT</t>
  </si>
  <si>
    <t>(5) CHEQUE RECEIVED AS PAYMENT - AMOUNT</t>
  </si>
  <si>
    <t>(6) CHEQUE RECEIVED AS PAYMENT - AMOUNT</t>
  </si>
  <si>
    <t>(7) CHEQUE RECEIVED AS PAYMENT - AMOUNT</t>
  </si>
  <si>
    <t>CASH OUT :</t>
  </si>
  <si>
    <t>&gt;&gt;&gt;&gt;</t>
  </si>
  <si>
    <t>INDICATE REASON FOR CASH OUT</t>
  </si>
  <si>
    <t>INDICATE BANK AND CHEQUE NUMBER</t>
  </si>
  <si>
    <t>TOTAL CHEQUE AMOUNT &gt;&gt;&gt;</t>
  </si>
  <si>
    <t>CASH ON HAND SHOULD BE</t>
  </si>
  <si>
    <t>DIFFERENCE</t>
  </si>
  <si>
    <t>TODAY'S ENDING CASH &gt;&gt;&gt;</t>
  </si>
  <si>
    <t xml:space="preserve">CASH ON HAND </t>
  </si>
  <si>
    <t xml:space="preserve">OTHER CASH ADDED </t>
  </si>
  <si>
    <t xml:space="preserve">CASH OUT </t>
  </si>
  <si>
    <t>CASH THROUGH SALES TODAY</t>
  </si>
  <si>
    <t>TODAY'S ENDING CASH</t>
  </si>
  <si>
    <t>TOTAL CHEQUE AMOUNT</t>
  </si>
  <si>
    <t>CASH SALES</t>
  </si>
  <si>
    <t>CHK1-AMOUNT</t>
  </si>
  <si>
    <t>CHK2-AMOUNT</t>
  </si>
  <si>
    <t>CHK3-AMOUNT</t>
  </si>
  <si>
    <t>CHK4-AMOUNT</t>
  </si>
  <si>
    <t>CHK5-AMOUNT</t>
  </si>
  <si>
    <t>CHK6-AMOUNT</t>
  </si>
  <si>
    <t>CHK7-AMOUNT</t>
  </si>
  <si>
    <t>TOTCHKAMT</t>
  </si>
  <si>
    <t>CASHHAND</t>
  </si>
  <si>
    <t>OCASHADDED</t>
  </si>
  <si>
    <t xml:space="preserve">CASHOUT </t>
  </si>
  <si>
    <t>ENDCASH</t>
  </si>
  <si>
    <t>CHK1DETAILS</t>
  </si>
  <si>
    <t>CHK2DETAILS</t>
  </si>
  <si>
    <t>CHK3DETAILS</t>
  </si>
  <si>
    <t>CHK4DETAILS</t>
  </si>
  <si>
    <t>CHK5DETAILS</t>
  </si>
  <si>
    <t>CHK6DETAILS</t>
  </si>
  <si>
    <t>CHK7DETAILS</t>
  </si>
  <si>
    <t>COHCHECKER</t>
  </si>
  <si>
    <t>DIFF</t>
  </si>
  <si>
    <t>REMARKS2</t>
  </si>
  <si>
    <t>e</t>
  </si>
  <si>
    <t>f</t>
  </si>
  <si>
    <t>utang</t>
  </si>
  <si>
    <t>&lt;&lt;&lt; BACK TO MAIN</t>
  </si>
  <si>
    <t>&lt;&lt;&lt; BACK TO MAIN DASHBOARD</t>
  </si>
  <si>
    <t>SHORT</t>
  </si>
  <si>
    <t>CASH SALE MENU &amp; TABLE</t>
  </si>
  <si>
    <t>TODAY</t>
  </si>
  <si>
    <t>MTD</t>
  </si>
  <si>
    <t>YTD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</si>
  <si>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</si>
  <si>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</si>
  <si>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</si>
  <si>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</si>
  <si>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</si>
  <si>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</si>
  <si>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</si>
  <si>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</si>
  <si>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</si>
  <si>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</si>
  <si>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</si>
  <si>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</si>
  <si>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TODAY IS :</t>
  </si>
  <si>
    <t>EXPENSES</t>
  </si>
  <si>
    <t>NET SALES</t>
  </si>
  <si>
    <t>DATEVALUE</t>
  </si>
  <si>
    <t>DV</t>
  </si>
  <si>
    <t>Millan</t>
  </si>
  <si>
    <t>&gt;&gt;go to Sales Table</t>
  </si>
  <si>
    <t>&lt;&lt; goto Sales Menu</t>
  </si>
  <si>
    <t>DateValue</t>
  </si>
  <si>
    <t>&lt;&lt;&lt; back to MainDashBoard</t>
  </si>
  <si>
    <t>&lt;&lt; back To PurchaseMenu</t>
  </si>
  <si>
    <t>qwewqe</t>
  </si>
  <si>
    <t>&gt;&gt; goto PurchaseHistoryTable</t>
  </si>
  <si>
    <t>&gt;&gt;&gt; goto ExpensesTable</t>
  </si>
  <si>
    <t>&lt;&lt; BACK TO EXPENSE MENU</t>
  </si>
  <si>
    <t>&lt;&lt; BACK TO CASH SALES MENU</t>
  </si>
  <si>
    <t>OVER</t>
  </si>
  <si>
    <t>&gt;&gt;&gt; goto CashSalesTable</t>
  </si>
  <si>
    <t>TOTLESSPURCHASE</t>
  </si>
  <si>
    <t>GRANDTOTAL</t>
  </si>
  <si>
    <t>TOTLPUR</t>
  </si>
  <si>
    <t>GRANDTOT</t>
  </si>
  <si>
    <t>GROSS SALES</t>
  </si>
  <si>
    <t>PURCHASES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</si>
</sst>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3409]mmmm\ dd\,\ yyyy;@"/>
    <numFmt numFmtId="165" formatCode="ddd/\-/mmm/dd\,/yyyy"/>
    <numFmt numFmtId="166" formatCode="0###\-###\-####"/>
    <numFmt numFmtId="167" formatCode="&quot;₱&quot;\ #,##0.00"/>
    <numFmt numFmtId="168" formatCode="#,##0.00;[Red]#,##0.00"/>
    <numFmt numFmtId="169" formatCode="#,##0.00_ ;[Red]\-#,##0.00\ 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48"/>
      <color theme="9" tint="-0.499984740745262"/>
      <name val="Bernard MT Condensed"/>
      <family val="1"/>
    </font>
    <font>
      <sz val="11"/>
      <color rgb="FF0C0D0E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8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1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9"/>
      <color theme="1"/>
      <name val="Arial Narrow"/>
      <family val="2"/>
    </font>
    <font>
      <b/>
      <i/>
      <sz val="10"/>
      <color theme="1"/>
      <name val="Arial Narrow"/>
      <family val="2"/>
    </font>
    <font>
      <i/>
      <sz val="8"/>
      <color theme="1"/>
      <name val="Arial Narrow"/>
      <family val="2"/>
    </font>
    <font>
      <i/>
      <sz val="9"/>
      <color theme="1"/>
      <name val="Arial Narrow"/>
      <family val="2"/>
    </font>
    <font>
      <b/>
      <sz val="11"/>
      <color theme="0"/>
      <name val="Calibri"/>
      <family val="2"/>
      <scheme val="minor"/>
    </font>
    <font>
      <b/>
      <sz val="22"/>
      <color theme="9" tint="-0.499984740745262"/>
      <name val="Berlin Sans FB Demi"/>
      <family val="2"/>
    </font>
    <font>
      <b/>
      <i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0"/>
      <color theme="1"/>
      <name val="Arial Narrow"/>
      <family val="2"/>
    </font>
    <font>
      <sz val="12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gradientFill degree="90">
        <stop position="0">
          <color theme="9" tint="0.59999389629810485"/>
        </stop>
        <stop position="1">
          <color theme="9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AEB"/>
        <bgColor indexed="64"/>
      </patternFill>
    </fill>
    <fill>
      <patternFill patternType="solid">
        <fgColor rgb="FFEAF3F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gradientFill degree="90">
        <stop position="0">
          <color theme="9" tint="0.40000610370189521"/>
        </stop>
        <stop position="1">
          <color theme="9" tint="0.80001220740379042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rgb="FFF6F5D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73">
    <border>
      <left/>
      <right/>
      <top/>
      <bottom/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 style="medium">
        <color theme="0" tint="-0.499984740745262"/>
      </left>
      <right style="medium">
        <color theme="0" tint="-0.14996795556505021"/>
      </right>
      <top style="medium">
        <color theme="0" tint="-0.499984740745262"/>
      </top>
      <bottom style="medium">
        <color theme="0" tint="-0.1499679555650502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dash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ashed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dotted">
        <color auto="1"/>
      </right>
      <top style="dash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ash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hair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medium">
        <color auto="1"/>
      </right>
      <top/>
      <bottom style="dashed">
        <color auto="1"/>
      </bottom>
      <diagonal/>
    </border>
    <border>
      <left/>
      <right style="dashed">
        <color auto="1"/>
      </right>
      <top style="medium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medium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 style="medium">
        <color indexed="64"/>
      </right>
      <top/>
      <bottom style="medium">
        <color indexed="64"/>
      </bottom>
      <diagonal/>
    </border>
    <border>
      <left style="dashed">
        <color auto="1"/>
      </left>
      <right/>
      <top style="medium">
        <color auto="1"/>
      </top>
      <bottom style="dashed">
        <color auto="1"/>
      </bottom>
      <diagonal/>
    </border>
    <border>
      <left style="dashed">
        <color auto="1"/>
      </left>
      <right/>
      <top style="dashed">
        <color auto="1"/>
      </top>
      <bottom style="medium">
        <color auto="1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medium">
        <color auto="1"/>
      </right>
      <top style="dashed">
        <color auto="1"/>
      </top>
      <bottom/>
      <diagonal/>
    </border>
    <border>
      <left style="dashed">
        <color auto="1"/>
      </left>
      <right/>
      <top style="dashed">
        <color auto="1"/>
      </top>
      <bottom/>
      <diagonal/>
    </border>
    <border>
      <left style="thin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thin">
        <color auto="1"/>
      </right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hair">
        <color indexed="64"/>
      </left>
      <right/>
      <top style="dashed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dashed">
        <color indexed="64"/>
      </top>
      <bottom style="dashed">
        <color indexed="64"/>
      </bottom>
      <diagonal/>
    </border>
    <border>
      <left/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 style="hair">
        <color auto="1"/>
      </left>
      <right style="hair">
        <color auto="1"/>
      </right>
      <top style="dotted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/>
      <bottom style="dotted">
        <color auto="1"/>
      </bottom>
      <diagonal/>
    </border>
    <border>
      <left/>
      <right style="hair">
        <color auto="1"/>
      </right>
      <top style="dotted">
        <color auto="1"/>
      </top>
      <bottom style="medium">
        <color auto="1"/>
      </bottom>
      <diagonal/>
    </border>
    <border>
      <left style="hair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thin">
        <color indexed="64"/>
      </right>
      <top style="dotted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dotted">
        <color auto="1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dotted">
        <color auto="1"/>
      </bottom>
      <diagonal/>
    </border>
    <border>
      <left style="hair">
        <color auto="1"/>
      </left>
      <right style="hair">
        <color auto="1"/>
      </right>
      <top style="dotted">
        <color auto="1"/>
      </top>
      <bottom style="dotted">
        <color auto="1"/>
      </bottom>
      <diagonal/>
    </border>
    <border>
      <left style="hair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/>
      <right style="hair">
        <color auto="1"/>
      </right>
      <top style="medium">
        <color indexed="64"/>
      </top>
      <bottom style="dotted">
        <color auto="1"/>
      </bottom>
      <diagonal/>
    </border>
    <border>
      <left/>
      <right style="hair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dotted">
        <color auto="1"/>
      </bottom>
      <diagonal/>
    </border>
    <border>
      <left style="hair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hair">
        <color auto="1"/>
      </right>
      <top style="dotted">
        <color auto="1"/>
      </top>
      <bottom style="dotted">
        <color auto="1"/>
      </bottom>
      <diagonal/>
    </border>
    <border>
      <left style="hair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hair">
        <color auto="1"/>
      </right>
      <top style="dotted">
        <color auto="1"/>
      </top>
      <bottom style="medium">
        <color auto="1"/>
      </bottom>
      <diagonal/>
    </border>
    <border>
      <left style="hair">
        <color auto="1"/>
      </left>
      <right/>
      <top/>
      <bottom style="dotted">
        <color auto="1"/>
      </bottom>
      <diagonal/>
    </border>
    <border>
      <left style="hair">
        <color auto="1"/>
      </left>
      <right/>
      <top style="dotted">
        <color auto="1"/>
      </top>
      <bottom style="dotted">
        <color auto="1"/>
      </bottom>
      <diagonal/>
    </border>
    <border>
      <left/>
      <right style="hair">
        <color auto="1"/>
      </right>
      <top style="dotted">
        <color auto="1"/>
      </top>
      <bottom/>
      <diagonal/>
    </border>
    <border>
      <left style="hair">
        <color auto="1"/>
      </left>
      <right style="hair">
        <color auto="1"/>
      </right>
      <top style="dotted">
        <color auto="1"/>
      </top>
      <bottom/>
      <diagonal/>
    </border>
    <border>
      <left style="hair">
        <color auto="1"/>
      </left>
      <right/>
      <top style="dotted">
        <color auto="1"/>
      </top>
      <bottom/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643">
    <xf numFmtId="0" fontId="0" fillId="0" borderId="0" xfId="0"/>
    <xf numFmtId="0" fontId="0" fillId="0" borderId="0" xfId="0" applyAlignment="1">
      <alignment shrinkToFit="1"/>
    </xf>
    <xf numFmtId="0" fontId="0" fillId="4" borderId="0" xfId="0" applyFill="1"/>
    <xf numFmtId="0" fontId="0" fillId="2" borderId="0" xfId="0" applyFill="1"/>
    <xf numFmtId="0" fontId="2" fillId="4" borderId="0" xfId="0" applyFont="1" applyFill="1"/>
    <xf numFmtId="0" fontId="2" fillId="3" borderId="0" xfId="0" applyFont="1" applyFill="1"/>
    <xf numFmtId="0" fontId="2" fillId="3" borderId="0" xfId="0" applyFont="1" applyFill="1" applyAlignment="1">
      <alignment shrinkToFit="1"/>
    </xf>
    <xf numFmtId="0" fontId="1" fillId="5" borderId="2" xfId="0" applyFont="1" applyFill="1" applyBorder="1" applyAlignment="1">
      <alignment horizontal="center" shrinkToFit="1"/>
    </xf>
    <xf numFmtId="0" fontId="0" fillId="6" borderId="0" xfId="0" applyFill="1"/>
    <xf numFmtId="0" fontId="3" fillId="7" borderId="0" xfId="0" applyFont="1" applyFill="1" applyAlignment="1">
      <alignment vertical="center"/>
    </xf>
    <xf numFmtId="0" fontId="0" fillId="0" borderId="0" xfId="0" applyFill="1"/>
    <xf numFmtId="0" fontId="0" fillId="0" borderId="0" xfId="0" applyAlignment="1">
      <alignment horizontal="center"/>
    </xf>
    <xf numFmtId="0" fontId="6" fillId="0" borderId="9" xfId="0" applyFont="1" applyBorder="1" applyAlignment="1">
      <alignment horizontal="right" vertical="center"/>
    </xf>
    <xf numFmtId="4" fontId="1" fillId="0" borderId="9" xfId="0" applyNumberFormat="1" applyFont="1" applyBorder="1" applyAlignment="1">
      <alignment vertical="center"/>
    </xf>
    <xf numFmtId="0" fontId="0" fillId="0" borderId="0" xfId="0" applyProtection="1">
      <protection locked="0"/>
    </xf>
    <xf numFmtId="0" fontId="0" fillId="6" borderId="0" xfId="0" applyFill="1" applyBorder="1" applyAlignment="1"/>
    <xf numFmtId="0" fontId="3" fillId="0" borderId="0" xfId="0" applyFont="1" applyFill="1" applyAlignment="1">
      <alignment horizontal="center" vertical="center"/>
    </xf>
    <xf numFmtId="4" fontId="0" fillId="0" borderId="0" xfId="0" applyNumberFormat="1" applyFill="1"/>
    <xf numFmtId="4" fontId="0" fillId="12" borderId="10" xfId="0" applyNumberFormat="1" applyFill="1" applyBorder="1" applyAlignment="1">
      <alignment vertical="center"/>
    </xf>
    <xf numFmtId="4" fontId="0" fillId="0" borderId="15" xfId="0" applyNumberFormat="1" applyBorder="1"/>
    <xf numFmtId="0" fontId="0" fillId="9" borderId="0" xfId="0" applyFill="1" applyAlignment="1">
      <alignment horizontal="center"/>
    </xf>
    <xf numFmtId="0" fontId="0" fillId="8" borderId="6" xfId="0" applyFill="1" applyBorder="1" applyAlignment="1" applyProtection="1">
      <alignment horizontal="center" vertical="center" shrinkToFit="1"/>
    </xf>
    <xf numFmtId="0" fontId="0" fillId="8" borderId="7" xfId="0" applyFill="1" applyBorder="1" applyAlignment="1" applyProtection="1">
      <alignment vertical="center" shrinkToFit="1"/>
    </xf>
    <xf numFmtId="0" fontId="0" fillId="8" borderId="7" xfId="0" applyFill="1" applyBorder="1" applyAlignment="1" applyProtection="1">
      <alignment horizontal="center" vertical="center" shrinkToFit="1"/>
    </xf>
    <xf numFmtId="0" fontId="0" fillId="8" borderId="7" xfId="0" applyNumberFormat="1" applyFill="1" applyBorder="1" applyAlignment="1" applyProtection="1">
      <alignment horizontal="center" vertical="center" shrinkToFit="1"/>
    </xf>
    <xf numFmtId="4" fontId="0" fillId="8" borderId="7" xfId="0" applyNumberFormat="1" applyFill="1" applyBorder="1" applyAlignment="1" applyProtection="1">
      <alignment vertical="center" shrinkToFit="1"/>
    </xf>
    <xf numFmtId="164" fontId="0" fillId="8" borderId="7" xfId="0" applyNumberFormat="1" applyFill="1" applyBorder="1" applyAlignment="1" applyProtection="1">
      <alignment vertical="center" shrinkToFit="1"/>
    </xf>
    <xf numFmtId="4" fontId="0" fillId="8" borderId="8" xfId="0" applyNumberFormat="1" applyFill="1" applyBorder="1" applyAlignment="1" applyProtection="1">
      <alignment vertical="center" shrinkToFit="1"/>
    </xf>
    <xf numFmtId="0" fontId="0" fillId="0" borderId="15" xfId="0" applyBorder="1" applyAlignment="1">
      <alignment horizontal="center"/>
    </xf>
    <xf numFmtId="164" fontId="0" fillId="0" borderId="15" xfId="0" applyNumberFormat="1" applyBorder="1" applyAlignment="1">
      <alignment horizontal="center" shrinkToFit="1"/>
    </xf>
    <xf numFmtId="0" fontId="0" fillId="0" borderId="15" xfId="0" applyBorder="1" applyAlignment="1">
      <alignment shrinkToFit="1"/>
    </xf>
    <xf numFmtId="0" fontId="0" fillId="0" borderId="15" xfId="0" applyBorder="1" applyAlignment="1">
      <alignment horizontal="center" shrinkToFit="1"/>
    </xf>
    <xf numFmtId="0" fontId="0" fillId="0" borderId="0" xfId="0" applyNumberFormat="1" applyFill="1"/>
    <xf numFmtId="4" fontId="0" fillId="11" borderId="10" xfId="0" applyNumberFormat="1" applyFill="1" applyBorder="1" applyAlignment="1" applyProtection="1">
      <alignment vertical="center"/>
      <protection locked="0"/>
    </xf>
    <xf numFmtId="0" fontId="0" fillId="9" borderId="8" xfId="0" applyFill="1" applyBorder="1" applyAlignment="1">
      <alignment horizontal="center"/>
    </xf>
    <xf numFmtId="0" fontId="7" fillId="5" borderId="17" xfId="0" applyFont="1" applyFill="1" applyBorder="1" applyAlignment="1">
      <alignment horizontal="center" shrinkToFit="1"/>
    </xf>
    <xf numFmtId="0" fontId="7" fillId="5" borderId="18" xfId="0" applyFont="1" applyFill="1" applyBorder="1" applyAlignment="1">
      <alignment horizontal="center" shrinkToFit="1"/>
    </xf>
    <xf numFmtId="0" fontId="0" fillId="0" borderId="0" xfId="0" applyFont="1" applyFill="1"/>
    <xf numFmtId="0" fontId="0" fillId="0" borderId="0" xfId="0" applyFont="1" applyFill="1" applyBorder="1" applyAlignment="1">
      <alignment horizontal="center" shrinkToFit="1"/>
    </xf>
    <xf numFmtId="0" fontId="0" fillId="0" borderId="0" xfId="0" applyFont="1" applyFill="1" applyAlignment="1">
      <alignment horizontal="center" shrinkToFit="1"/>
    </xf>
    <xf numFmtId="0" fontId="0" fillId="0" borderId="0" xfId="0" applyFont="1" applyFill="1" applyBorder="1" applyAlignment="1">
      <alignment horizontal="left" shrinkToFit="1"/>
    </xf>
    <xf numFmtId="0" fontId="0" fillId="0" borderId="0" xfId="0" applyFont="1" applyFill="1" applyAlignment="1">
      <alignment horizontal="left" shrinkToFit="1"/>
    </xf>
    <xf numFmtId="0" fontId="1" fillId="0" borderId="0" xfId="0" applyFont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horizontal="left" shrinkToFit="1"/>
    </xf>
    <xf numFmtId="0" fontId="7" fillId="5" borderId="18" xfId="0" applyFont="1" applyFill="1" applyBorder="1" applyAlignment="1">
      <alignment horizontal="left" shrinkToFit="1"/>
    </xf>
    <xf numFmtId="0" fontId="1" fillId="2" borderId="21" xfId="0" applyFont="1" applyFill="1" applyBorder="1" applyAlignment="1">
      <alignment horizontal="center" vertical="center"/>
    </xf>
    <xf numFmtId="17" fontId="0" fillId="8" borderId="22" xfId="0" applyNumberFormat="1" applyFont="1" applyFill="1" applyBorder="1" applyAlignment="1">
      <alignment horizontal="center" vertical="center"/>
    </xf>
    <xf numFmtId="0" fontId="1" fillId="13" borderId="23" xfId="0" applyFont="1" applyFill="1" applyBorder="1" applyAlignment="1">
      <alignment horizontal="center" vertical="center" wrapText="1"/>
    </xf>
    <xf numFmtId="0" fontId="0" fillId="0" borderId="24" xfId="0" applyBorder="1"/>
    <xf numFmtId="0" fontId="0" fillId="0" borderId="26" xfId="0" applyBorder="1"/>
    <xf numFmtId="10" fontId="0" fillId="0" borderId="25" xfId="0" applyNumberFormat="1" applyBorder="1"/>
    <xf numFmtId="10" fontId="0" fillId="0" borderId="7" xfId="0" applyNumberFormat="1" applyBorder="1"/>
    <xf numFmtId="0" fontId="7" fillId="3" borderId="20" xfId="0" applyFont="1" applyFill="1" applyBorder="1"/>
    <xf numFmtId="0" fontId="7" fillId="3" borderId="20" xfId="0" applyFont="1" applyFill="1" applyBorder="1" applyAlignment="1">
      <alignment shrinkToFit="1"/>
    </xf>
    <xf numFmtId="0" fontId="7" fillId="3" borderId="20" xfId="0" applyFont="1" applyFill="1" applyBorder="1" applyAlignment="1">
      <alignment horizontal="center"/>
    </xf>
    <xf numFmtId="166" fontId="0" fillId="0" borderId="0" xfId="0" applyNumberFormat="1" applyAlignment="1">
      <alignment shrinkToFit="1"/>
    </xf>
    <xf numFmtId="0" fontId="7" fillId="5" borderId="20" xfId="0" applyFont="1" applyFill="1" applyBorder="1" applyAlignment="1">
      <alignment horizontal="center"/>
    </xf>
    <xf numFmtId="0" fontId="1" fillId="5" borderId="27" xfId="0" applyFont="1" applyFill="1" applyBorder="1" applyAlignment="1">
      <alignment horizontal="center" shrinkToFit="1"/>
    </xf>
    <xf numFmtId="4" fontId="0" fillId="0" borderId="28" xfId="0" applyNumberFormat="1" applyBorder="1"/>
    <xf numFmtId="0" fontId="1" fillId="5" borderId="15" xfId="0" applyFont="1" applyFill="1" applyBorder="1" applyAlignment="1">
      <alignment horizontal="center" shrinkToFit="1"/>
    </xf>
    <xf numFmtId="0" fontId="1" fillId="5" borderId="16" xfId="0" applyFont="1" applyFill="1" applyBorder="1" applyAlignment="1">
      <alignment horizontal="center" shrinkToFit="1"/>
    </xf>
    <xf numFmtId="0" fontId="0" fillId="0" borderId="20" xfId="0" applyFont="1" applyFill="1" applyBorder="1"/>
    <xf numFmtId="0" fontId="0" fillId="0" borderId="20" xfId="0" applyFont="1" applyFill="1" applyBorder="1" applyAlignment="1">
      <alignment shrinkToFit="1"/>
    </xf>
    <xf numFmtId="0" fontId="0" fillId="0" borderId="20" xfId="0" applyFont="1" applyFill="1" applyBorder="1" applyAlignment="1">
      <alignment horizontal="center"/>
    </xf>
    <xf numFmtId="0" fontId="7" fillId="4" borderId="20" xfId="0" applyFont="1" applyFill="1" applyBorder="1" applyAlignment="1">
      <alignment shrinkToFit="1"/>
    </xf>
    <xf numFmtId="0" fontId="9" fillId="8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3" fontId="0" fillId="0" borderId="0" xfId="0" applyNumberFormat="1"/>
    <xf numFmtId="3" fontId="0" fillId="5" borderId="0" xfId="0" applyNumberFormat="1" applyFill="1"/>
    <xf numFmtId="3" fontId="0" fillId="9" borderId="8" xfId="0" applyNumberFormat="1" applyFill="1" applyBorder="1" applyAlignment="1" applyProtection="1">
      <alignment vertical="center" shrinkToFit="1"/>
    </xf>
    <xf numFmtId="3" fontId="0" fillId="0" borderId="0" xfId="0" applyNumberFormat="1" applyFill="1"/>
    <xf numFmtId="3" fontId="0" fillId="0" borderId="15" xfId="0" applyNumberFormat="1" applyBorder="1"/>
    <xf numFmtId="0" fontId="1" fillId="4" borderId="15" xfId="0" applyFont="1" applyFill="1" applyBorder="1" applyAlignment="1">
      <alignment horizontal="center" shrinkToFit="1"/>
    </xf>
    <xf numFmtId="0" fontId="0" fillId="11" borderId="10" xfId="0" applyFill="1" applyBorder="1" applyAlignment="1" applyProtection="1">
      <alignment horizontal="center" vertical="center"/>
      <protection locked="0"/>
    </xf>
    <xf numFmtId="3" fontId="0" fillId="4" borderId="15" xfId="0" applyNumberFormat="1" applyFill="1" applyBorder="1"/>
    <xf numFmtId="0" fontId="1" fillId="4" borderId="1" xfId="0" applyFont="1" applyFill="1" applyBorder="1" applyAlignment="1">
      <alignment horizontal="center" shrinkToFit="1"/>
    </xf>
    <xf numFmtId="0" fontId="0" fillId="4" borderId="14" xfId="0" applyFill="1" applyBorder="1" applyAlignment="1">
      <alignment horizontal="center"/>
    </xf>
    <xf numFmtId="4" fontId="0" fillId="6" borderId="0" xfId="0" applyNumberFormat="1" applyFill="1" applyBorder="1" applyAlignment="1">
      <alignment horizontal="center" vertical="center" shrinkToFit="1"/>
    </xf>
    <xf numFmtId="0" fontId="11" fillId="12" borderId="10" xfId="0" applyFont="1" applyFill="1" applyBorder="1" applyAlignment="1">
      <alignment horizontal="center" vertical="center" shrinkToFit="1"/>
    </xf>
    <xf numFmtId="4" fontId="11" fillId="12" borderId="10" xfId="0" applyNumberFormat="1" applyFont="1" applyFill="1" applyBorder="1" applyAlignment="1">
      <alignment horizontal="center" vertical="center" shrinkToFit="1"/>
    </xf>
    <xf numFmtId="3" fontId="11" fillId="12" borderId="10" xfId="0" applyNumberFormat="1" applyFont="1" applyFill="1" applyBorder="1" applyAlignment="1">
      <alignment horizontal="center" vertical="center" shrinkToFit="1"/>
    </xf>
    <xf numFmtId="0" fontId="0" fillId="6" borderId="29" xfId="0" applyFill="1" applyBorder="1" applyAlignment="1" applyProtection="1">
      <alignment vertical="center"/>
      <protection locked="0"/>
    </xf>
    <xf numFmtId="4" fontId="0" fillId="12" borderId="10" xfId="0" applyNumberFormat="1" applyFill="1" applyBorder="1" applyAlignment="1" applyProtection="1">
      <alignment vertical="center"/>
    </xf>
    <xf numFmtId="4" fontId="0" fillId="6" borderId="0" xfId="0" applyNumberFormat="1" applyFill="1" applyBorder="1" applyAlignment="1" applyProtection="1">
      <alignment vertical="center"/>
      <protection locked="0"/>
    </xf>
    <xf numFmtId="4" fontId="0" fillId="6" borderId="0" xfId="0" applyNumberFormat="1" applyFill="1" applyBorder="1" applyAlignment="1">
      <alignment horizontal="right" vertical="center"/>
    </xf>
    <xf numFmtId="10" fontId="0" fillId="11" borderId="10" xfId="0" applyNumberFormat="1" applyFill="1" applyBorder="1" applyAlignment="1" applyProtection="1">
      <alignment horizontal="center" vertical="center"/>
      <protection locked="0"/>
    </xf>
    <xf numFmtId="10" fontId="0" fillId="0" borderId="0" xfId="0" applyNumberFormat="1" applyFill="1"/>
    <xf numFmtId="0" fontId="0" fillId="6" borderId="0" xfId="0" applyFill="1" applyBorder="1"/>
    <xf numFmtId="4" fontId="0" fillId="6" borderId="0" xfId="0" applyNumberFormat="1" applyFill="1" applyBorder="1" applyAlignment="1" applyProtection="1">
      <alignment horizontal="right" vertical="center"/>
      <protection locked="0"/>
    </xf>
    <xf numFmtId="4" fontId="0" fillId="12" borderId="30" xfId="0" applyNumberFormat="1" applyFill="1" applyBorder="1" applyAlignment="1">
      <alignment horizontal="right" vertical="center"/>
    </xf>
    <xf numFmtId="3" fontId="0" fillId="12" borderId="30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shrinkToFit="1"/>
    </xf>
    <xf numFmtId="164" fontId="7" fillId="5" borderId="18" xfId="0" applyNumberFormat="1" applyFont="1" applyFill="1" applyBorder="1" applyAlignment="1">
      <alignment horizontal="center" shrinkToFit="1"/>
    </xf>
    <xf numFmtId="164" fontId="0" fillId="0" borderId="0" xfId="0" applyNumberFormat="1" applyFont="1" applyFill="1" applyBorder="1" applyAlignment="1">
      <alignment horizontal="center" shrinkToFit="1"/>
    </xf>
    <xf numFmtId="164" fontId="0" fillId="0" borderId="0" xfId="0" applyNumberFormat="1" applyFont="1" applyFill="1" applyAlignment="1">
      <alignment horizontal="center" shrinkToFit="1"/>
    </xf>
    <xf numFmtId="0" fontId="11" fillId="5" borderId="0" xfId="0" applyFont="1" applyFill="1" applyAlignment="1">
      <alignment horizontal="center" shrinkToFit="1"/>
    </xf>
    <xf numFmtId="0" fontId="11" fillId="0" borderId="0" xfId="0" applyFont="1" applyAlignment="1">
      <alignment horizontal="right" shrinkToFit="1"/>
    </xf>
    <xf numFmtId="0" fontId="0" fillId="6" borderId="0" xfId="0" applyFill="1" applyAlignment="1">
      <alignment horizontal="center"/>
    </xf>
    <xf numFmtId="0" fontId="1" fillId="3" borderId="31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5" xfId="0" applyFont="1" applyFill="1" applyBorder="1"/>
    <xf numFmtId="0" fontId="0" fillId="0" borderId="35" xfId="0" applyBorder="1"/>
    <xf numFmtId="0" fontId="0" fillId="0" borderId="0" xfId="0" applyAlignment="1"/>
    <xf numFmtId="0" fontId="7" fillId="5" borderId="18" xfId="0" applyFont="1" applyFill="1" applyBorder="1" applyAlignment="1">
      <alignment shrinkToFit="1"/>
    </xf>
    <xf numFmtId="0" fontId="0" fillId="0" borderId="0" xfId="0" applyFont="1" applyFill="1" applyAlignment="1">
      <alignment shrinkToFit="1"/>
    </xf>
    <xf numFmtId="0" fontId="7" fillId="5" borderId="19" xfId="0" applyFont="1" applyFill="1" applyBorder="1" applyAlignment="1">
      <alignment shrinkToFit="1"/>
    </xf>
    <xf numFmtId="0" fontId="1" fillId="5" borderId="28" xfId="0" applyFont="1" applyFill="1" applyBorder="1" applyAlignment="1">
      <alignment horizontal="center" shrinkToFit="1"/>
    </xf>
    <xf numFmtId="14" fontId="0" fillId="0" borderId="15" xfId="0" applyNumberFormat="1" applyBorder="1" applyAlignment="1">
      <alignment shrinkToFit="1"/>
    </xf>
    <xf numFmtId="3" fontId="0" fillId="4" borderId="0" xfId="0" applyNumberFormat="1" applyFill="1" applyAlignment="1">
      <alignment horizontal="center"/>
    </xf>
    <xf numFmtId="0" fontId="0" fillId="6" borderId="36" xfId="0" applyNumberFormat="1" applyFill="1" applyBorder="1" applyAlignment="1" applyProtection="1">
      <alignment horizontal="center" vertical="center" shrinkToFit="1"/>
    </xf>
    <xf numFmtId="3" fontId="0" fillId="9" borderId="37" xfId="0" applyNumberFormat="1" applyFill="1" applyBorder="1" applyAlignment="1" applyProtection="1">
      <alignment vertical="center" shrinkToFit="1"/>
    </xf>
    <xf numFmtId="0" fontId="0" fillId="14" borderId="15" xfId="0" applyNumberFormat="1" applyFill="1" applyBorder="1"/>
    <xf numFmtId="0" fontId="0" fillId="14" borderId="28" xfId="0" applyNumberFormat="1" applyFill="1" applyBorder="1"/>
    <xf numFmtId="0" fontId="0" fillId="14" borderId="16" xfId="0" applyNumberFormat="1" applyFill="1" applyBorder="1"/>
    <xf numFmtId="0" fontId="7" fillId="4" borderId="18" xfId="0" applyFont="1" applyFill="1" applyBorder="1" applyAlignment="1">
      <alignment shrinkToFit="1"/>
    </xf>
    <xf numFmtId="0" fontId="0" fillId="6" borderId="0" xfId="0" applyFont="1" applyFill="1" applyAlignment="1">
      <alignment shrinkToFit="1"/>
    </xf>
    <xf numFmtId="0" fontId="0" fillId="14" borderId="0" xfId="0" applyFont="1" applyFill="1" applyAlignment="1">
      <alignment shrinkToFit="1"/>
    </xf>
    <xf numFmtId="0" fontId="7" fillId="15" borderId="18" xfId="0" applyFont="1" applyFill="1" applyBorder="1" applyAlignment="1">
      <alignment shrinkToFit="1"/>
    </xf>
    <xf numFmtId="0" fontId="0" fillId="0" borderId="0" xfId="0" applyAlignment="1">
      <alignment vertical="top" shrinkToFit="1"/>
    </xf>
    <xf numFmtId="0" fontId="0" fillId="0" borderId="0" xfId="0" applyAlignment="1" applyProtection="1">
      <alignment horizontal="center" shrinkToFit="1"/>
      <protection locked="0"/>
    </xf>
    <xf numFmtId="0" fontId="0" fillId="6" borderId="0" xfId="0" applyFill="1" applyAlignment="1">
      <alignment shrinkToFit="1"/>
    </xf>
    <xf numFmtId="0" fontId="0" fillId="14" borderId="0" xfId="0" applyFill="1" applyAlignment="1">
      <alignment shrinkToFit="1"/>
    </xf>
    <xf numFmtId="14" fontId="0" fillId="0" borderId="0" xfId="0" applyNumberFormat="1" applyAlignment="1">
      <alignment horizontal="left" shrinkToFit="1"/>
    </xf>
    <xf numFmtId="0" fontId="0" fillId="0" borderId="28" xfId="0" applyNumberFormat="1" applyBorder="1" applyAlignment="1">
      <alignment horizontal="center"/>
    </xf>
    <xf numFmtId="0" fontId="0" fillId="0" borderId="16" xfId="0" applyNumberFormat="1" applyBorder="1" applyAlignment="1">
      <alignment horizontal="center"/>
    </xf>
    <xf numFmtId="164" fontId="0" fillId="0" borderId="15" xfId="0" applyNumberFormat="1" applyBorder="1"/>
    <xf numFmtId="0" fontId="0" fillId="0" borderId="15" xfId="0" applyNumberFormat="1" applyBorder="1"/>
    <xf numFmtId="0" fontId="0" fillId="0" borderId="15" xfId="0" applyNumberFormat="1" applyFill="1" applyBorder="1"/>
    <xf numFmtId="4" fontId="0" fillId="0" borderId="15" xfId="0" applyNumberFormat="1" applyBorder="1" applyAlignment="1">
      <alignment shrinkToFit="1"/>
    </xf>
    <xf numFmtId="4" fontId="0" fillId="0" borderId="15" xfId="0" applyNumberFormat="1" applyBorder="1" applyAlignment="1">
      <alignment horizontal="center" shrinkToFit="1"/>
    </xf>
    <xf numFmtId="10" fontId="0" fillId="0" borderId="15" xfId="0" applyNumberFormat="1" applyBorder="1" applyAlignment="1">
      <alignment horizontal="center" shrinkToFit="1"/>
    </xf>
    <xf numFmtId="3" fontId="0" fillId="0" borderId="15" xfId="0" applyNumberFormat="1" applyBorder="1" applyAlignment="1">
      <alignment horizontal="center"/>
    </xf>
    <xf numFmtId="0" fontId="0" fillId="2" borderId="38" xfId="0" applyFill="1" applyBorder="1" applyAlignment="1">
      <alignment shrinkToFit="1"/>
    </xf>
    <xf numFmtId="0" fontId="0" fillId="2" borderId="39" xfId="0" applyFill="1" applyBorder="1" applyAlignment="1">
      <alignment shrinkToFit="1"/>
    </xf>
    <xf numFmtId="3" fontId="0" fillId="5" borderId="39" xfId="0" applyNumberFormat="1" applyFill="1" applyBorder="1" applyAlignment="1">
      <alignment shrinkToFit="1"/>
    </xf>
    <xf numFmtId="0" fontId="0" fillId="8" borderId="41" xfId="0" applyFill="1" applyBorder="1" applyAlignment="1" applyProtection="1">
      <alignment horizontal="center" vertical="center" shrinkToFit="1"/>
    </xf>
    <xf numFmtId="0" fontId="0" fillId="8" borderId="42" xfId="0" applyFill="1" applyBorder="1" applyAlignment="1" applyProtection="1">
      <alignment horizontal="center" vertical="center" shrinkToFit="1"/>
    </xf>
    <xf numFmtId="0" fontId="0" fillId="8" borderId="42" xfId="0" applyNumberFormat="1" applyFill="1" applyBorder="1" applyAlignment="1" applyProtection="1">
      <alignment horizontal="center" vertical="center" shrinkToFit="1"/>
    </xf>
    <xf numFmtId="4" fontId="0" fillId="8" borderId="42" xfId="0" applyNumberFormat="1" applyFill="1" applyBorder="1" applyAlignment="1" applyProtection="1">
      <alignment vertical="center" shrinkToFit="1"/>
    </xf>
    <xf numFmtId="0" fontId="0" fillId="8" borderId="42" xfId="0" applyFill="1" applyBorder="1" applyAlignment="1" applyProtection="1">
      <alignment vertical="center" shrinkToFit="1"/>
    </xf>
    <xf numFmtId="164" fontId="0" fillId="8" borderId="42" xfId="0" applyNumberFormat="1" applyFill="1" applyBorder="1" applyAlignment="1" applyProtection="1">
      <alignment vertical="center" shrinkToFit="1"/>
    </xf>
    <xf numFmtId="3" fontId="0" fillId="9" borderId="42" xfId="0" applyNumberFormat="1" applyFill="1" applyBorder="1" applyAlignment="1" applyProtection="1">
      <alignment horizontal="center" vertical="center" shrinkToFit="1"/>
    </xf>
    <xf numFmtId="0" fontId="0" fillId="2" borderId="0" xfId="0" applyFill="1" applyAlignment="1">
      <alignment horizontal="center"/>
    </xf>
    <xf numFmtId="4" fontId="0" fillId="0" borderId="28" xfId="0" applyNumberFormat="1" applyBorder="1" applyAlignment="1">
      <alignment horizontal="center"/>
    </xf>
    <xf numFmtId="0" fontId="0" fillId="0" borderId="0" xfId="0" applyAlignment="1" applyProtection="1">
      <alignment horizontal="left" shrinkToFit="1"/>
      <protection locked="0"/>
    </xf>
    <xf numFmtId="0" fontId="0" fillId="0" borderId="24" xfId="0" applyBorder="1" applyAlignment="1">
      <alignment vertical="center"/>
    </xf>
    <xf numFmtId="10" fontId="0" fillId="0" borderId="7" xfId="0" applyNumberFormat="1" applyBorder="1" applyAlignment="1">
      <alignment vertical="center"/>
    </xf>
    <xf numFmtId="10" fontId="0" fillId="0" borderId="25" xfId="0" applyNumberFormat="1" applyBorder="1" applyAlignment="1">
      <alignment vertical="center"/>
    </xf>
    <xf numFmtId="0" fontId="0" fillId="0" borderId="33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Font="1" applyFill="1" applyBorder="1" applyAlignment="1">
      <alignment shrinkToFit="1"/>
    </xf>
    <xf numFmtId="164" fontId="0" fillId="0" borderId="28" xfId="0" applyNumberFormat="1" applyBorder="1"/>
    <xf numFmtId="0" fontId="0" fillId="0" borderId="28" xfId="0" applyNumberFormat="1" applyBorder="1"/>
    <xf numFmtId="164" fontId="0" fillId="9" borderId="42" xfId="0" applyNumberFormat="1" applyFill="1" applyBorder="1" applyAlignment="1" applyProtection="1">
      <alignment horizontal="center" vertical="center" shrinkToFit="1"/>
    </xf>
    <xf numFmtId="0" fontId="0" fillId="14" borderId="42" xfId="0" applyNumberFormat="1" applyFill="1" applyBorder="1" applyAlignment="1" applyProtection="1">
      <alignment horizontal="center" vertical="center" shrinkToFit="1"/>
    </xf>
    <xf numFmtId="0" fontId="0" fillId="14" borderId="43" xfId="0" applyNumberFormat="1" applyFill="1" applyBorder="1" applyAlignment="1" applyProtection="1">
      <alignment horizontal="center" vertical="center" shrinkToFit="1"/>
    </xf>
    <xf numFmtId="3" fontId="0" fillId="15" borderId="39" xfId="0" applyNumberFormat="1" applyFill="1" applyBorder="1" applyAlignment="1">
      <alignment horizontal="center" vertical="center" shrinkToFit="1"/>
    </xf>
    <xf numFmtId="3" fontId="0" fillId="15" borderId="40" xfId="0" applyNumberFormat="1" applyFill="1" applyBorder="1" applyAlignment="1">
      <alignment horizontal="center" vertical="center" shrinkToFit="1"/>
    </xf>
    <xf numFmtId="0" fontId="0" fillId="0" borderId="15" xfId="0" applyNumberFormat="1" applyBorder="1" applyAlignment="1">
      <alignment horizontal="center"/>
    </xf>
    <xf numFmtId="0" fontId="0" fillId="0" borderId="15" xfId="0" applyNumberForma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4" fontId="0" fillId="0" borderId="36" xfId="0" applyNumberFormat="1" applyFill="1" applyBorder="1"/>
    <xf numFmtId="3" fontId="0" fillId="4" borderId="36" xfId="0" applyNumberFormat="1" applyFill="1" applyBorder="1" applyAlignment="1">
      <alignment horizontal="center" vertical="center" shrinkToFit="1"/>
    </xf>
    <xf numFmtId="4" fontId="0" fillId="0" borderId="28" xfId="0" applyNumberFormat="1" applyBorder="1" applyAlignment="1">
      <alignment shrinkToFit="1"/>
    </xf>
    <xf numFmtId="0" fontId="5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 shrinkToFit="1"/>
    </xf>
    <xf numFmtId="4" fontId="1" fillId="9" borderId="8" xfId="0" applyNumberFormat="1" applyFont="1" applyFill="1" applyBorder="1" applyAlignment="1">
      <alignment horizontal="center" vertical="center" shrinkToFit="1"/>
    </xf>
    <xf numFmtId="0" fontId="11" fillId="0" borderId="0" xfId="0" applyFont="1" applyAlignment="1">
      <alignment horizontal="left"/>
    </xf>
    <xf numFmtId="0" fontId="7" fillId="5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shrinkToFit="1"/>
    </xf>
    <xf numFmtId="164" fontId="0" fillId="0" borderId="0" xfId="0" applyNumberFormat="1" applyFont="1" applyFill="1" applyBorder="1" applyAlignment="1">
      <alignment shrinkToFit="1"/>
    </xf>
    <xf numFmtId="164" fontId="0" fillId="0" borderId="0" xfId="0" applyNumberFormat="1" applyAlignment="1">
      <alignment shrinkToFit="1"/>
    </xf>
    <xf numFmtId="164" fontId="2" fillId="5" borderId="0" xfId="0" applyNumberFormat="1" applyFont="1" applyFill="1" applyBorder="1" applyAlignment="1">
      <alignment shrinkToFit="1"/>
    </xf>
    <xf numFmtId="0" fontId="2" fillId="5" borderId="0" xfId="0" applyFont="1" applyFill="1" applyBorder="1" applyAlignment="1">
      <alignment shrinkToFit="1"/>
    </xf>
    <xf numFmtId="0" fontId="2" fillId="8" borderId="0" xfId="0" applyFont="1" applyFill="1" applyAlignment="1">
      <alignment shrinkToFit="1"/>
    </xf>
    <xf numFmtId="0" fontId="0" fillId="0" borderId="0" xfId="0" applyNumberFormat="1" applyAlignment="1">
      <alignment shrinkToFit="1"/>
    </xf>
    <xf numFmtId="0" fontId="0" fillId="0" borderId="0" xfId="0" applyNumberFormat="1" applyFill="1" applyBorder="1" applyAlignment="1">
      <alignment shrinkToFit="1"/>
    </xf>
    <xf numFmtId="164" fontId="0" fillId="0" borderId="0" xfId="0" applyNumberFormat="1"/>
    <xf numFmtId="0" fontId="1" fillId="0" borderId="0" xfId="0" applyFont="1" applyAlignment="1">
      <alignment horizontal="right" vertical="center"/>
    </xf>
    <xf numFmtId="0" fontId="0" fillId="0" borderId="9" xfId="0" applyBorder="1"/>
    <xf numFmtId="0" fontId="0" fillId="0" borderId="0" xfId="0" applyBorder="1"/>
    <xf numFmtId="0" fontId="1" fillId="0" borderId="0" xfId="0" applyFont="1" applyBorder="1" applyAlignment="1">
      <alignment vertical="center"/>
    </xf>
    <xf numFmtId="4" fontId="0" fillId="0" borderId="0" xfId="0" applyNumberFormat="1"/>
    <xf numFmtId="4" fontId="0" fillId="0" borderId="0" xfId="0" applyNumberFormat="1" applyBorder="1"/>
    <xf numFmtId="0" fontId="1" fillId="16" borderId="47" xfId="0" applyFont="1" applyFill="1" applyBorder="1" applyAlignment="1">
      <alignment horizontal="center" vertical="center"/>
    </xf>
    <xf numFmtId="4" fontId="2" fillId="0" borderId="47" xfId="0" applyNumberFormat="1" applyFont="1" applyFill="1" applyBorder="1" applyAlignment="1">
      <alignment horizontal="right" vertical="center" shrinkToFit="1"/>
    </xf>
    <xf numFmtId="0" fontId="2" fillId="0" borderId="47" xfId="0" applyFont="1" applyFill="1" applyBorder="1" applyAlignment="1">
      <alignment horizontal="center" vertical="center" shrinkToFit="1"/>
    </xf>
    <xf numFmtId="0" fontId="2" fillId="0" borderId="47" xfId="0" applyFont="1" applyBorder="1" applyAlignment="1">
      <alignment horizontal="right" vertical="center" shrinkToFit="1"/>
    </xf>
    <xf numFmtId="0" fontId="18" fillId="0" borderId="0" xfId="0" applyFont="1" applyBorder="1" applyAlignment="1">
      <alignment horizontal="left" vertical="center" shrinkToFit="1"/>
    </xf>
    <xf numFmtId="0" fontId="1" fillId="16" borderId="47" xfId="0" applyFont="1" applyFill="1" applyBorder="1" applyAlignment="1">
      <alignment horizontal="center" vertical="center" shrinkToFit="1"/>
    </xf>
    <xf numFmtId="0" fontId="17" fillId="0" borderId="0" xfId="0" applyFont="1" applyBorder="1" applyAlignment="1">
      <alignment horizontal="left" vertical="center"/>
    </xf>
    <xf numFmtId="0" fontId="2" fillId="0" borderId="46" xfId="0" applyFont="1" applyBorder="1" applyAlignment="1"/>
    <xf numFmtId="0" fontId="2" fillId="0" borderId="0" xfId="0" applyFont="1" applyBorder="1" applyAlignment="1"/>
    <xf numFmtId="0" fontId="15" fillId="0" borderId="0" xfId="0" applyFont="1" applyAlignment="1">
      <alignment vertical="center"/>
    </xf>
    <xf numFmtId="0" fontId="20" fillId="0" borderId="0" xfId="0" applyFont="1" applyAlignment="1">
      <alignment horizontal="right"/>
    </xf>
    <xf numFmtId="0" fontId="15" fillId="0" borderId="36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5" fillId="0" borderId="48" xfId="0" applyFont="1" applyBorder="1" applyAlignment="1">
      <alignment vertical="center"/>
    </xf>
    <xf numFmtId="0" fontId="15" fillId="0" borderId="51" xfId="0" applyFont="1" applyBorder="1" applyAlignment="1">
      <alignment vertical="center"/>
    </xf>
    <xf numFmtId="0" fontId="1" fillId="0" borderId="44" xfId="0" applyFont="1" applyBorder="1" applyAlignment="1">
      <alignment vertical="center"/>
    </xf>
    <xf numFmtId="0" fontId="1" fillId="0" borderId="50" xfId="0" applyFont="1" applyBorder="1" applyAlignment="1">
      <alignment vertical="center"/>
    </xf>
    <xf numFmtId="0" fontId="1" fillId="0" borderId="45" xfId="0" applyFont="1" applyBorder="1" applyAlignment="1">
      <alignment vertical="center"/>
    </xf>
    <xf numFmtId="0" fontId="1" fillId="0" borderId="49" xfId="0" applyFont="1" applyBorder="1" applyAlignment="1">
      <alignment vertical="center"/>
    </xf>
    <xf numFmtId="0" fontId="19" fillId="17" borderId="36" xfId="0" applyFont="1" applyFill="1" applyBorder="1" applyAlignment="1">
      <alignment horizontal="center" vertical="center"/>
    </xf>
    <xf numFmtId="0" fontId="19" fillId="17" borderId="52" xfId="0" applyFont="1" applyFill="1" applyBorder="1" applyAlignment="1">
      <alignment vertical="center"/>
    </xf>
    <xf numFmtId="0" fontId="1" fillId="17" borderId="37" xfId="0" applyFont="1" applyFill="1" applyBorder="1" applyAlignment="1">
      <alignment vertical="center"/>
    </xf>
    <xf numFmtId="0" fontId="2" fillId="0" borderId="36" xfId="0" applyFont="1" applyBorder="1" applyAlignment="1">
      <alignment horizontal="right" vertical="center" shrinkToFit="1"/>
    </xf>
    <xf numFmtId="0" fontId="1" fillId="0" borderId="44" xfId="0" applyFont="1" applyBorder="1" applyAlignment="1">
      <alignment horizontal="center" vertical="center" shrinkToFit="1"/>
    </xf>
    <xf numFmtId="0" fontId="1" fillId="0" borderId="50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4" fontId="2" fillId="0" borderId="47" xfId="0" applyNumberFormat="1" applyFont="1" applyBorder="1" applyAlignment="1">
      <alignment horizontal="right" vertical="center" shrinkToFit="1"/>
    </xf>
    <xf numFmtId="4" fontId="21" fillId="0" borderId="36" xfId="0" applyNumberFormat="1" applyFont="1" applyBorder="1" applyAlignment="1">
      <alignment horizontal="right" vertical="center" shrinkToFit="1"/>
    </xf>
    <xf numFmtId="0" fontId="11" fillId="0" borderId="0" xfId="0" applyFont="1" applyBorder="1" applyAlignment="1">
      <alignment horizontal="left" vertical="center"/>
    </xf>
    <xf numFmtId="4" fontId="11" fillId="0" borderId="0" xfId="0" applyNumberFormat="1" applyFont="1" applyBorder="1" applyAlignment="1">
      <alignment horizontal="left" vertical="center"/>
    </xf>
    <xf numFmtId="0" fontId="0" fillId="0" borderId="44" xfId="0" applyBorder="1"/>
    <xf numFmtId="0" fontId="0" fillId="0" borderId="48" xfId="0" applyBorder="1"/>
    <xf numFmtId="4" fontId="0" fillId="0" borderId="9" xfId="0" applyNumberFormat="1" applyBorder="1"/>
    <xf numFmtId="4" fontId="0" fillId="0" borderId="50" xfId="0" applyNumberFormat="1" applyBorder="1"/>
    <xf numFmtId="4" fontId="0" fillId="0" borderId="51" xfId="0" applyNumberFormat="1" applyBorder="1"/>
    <xf numFmtId="167" fontId="21" fillId="0" borderId="36" xfId="0" applyNumberFormat="1" applyFont="1" applyBorder="1" applyAlignment="1">
      <alignment vertical="center" shrinkToFit="1"/>
    </xf>
    <xf numFmtId="4" fontId="2" fillId="0" borderId="0" xfId="0" applyNumberFormat="1" applyFont="1" applyBorder="1" applyAlignment="1"/>
    <xf numFmtId="4" fontId="2" fillId="0" borderId="46" xfId="0" applyNumberFormat="1" applyFont="1" applyBorder="1" applyAlignment="1"/>
    <xf numFmtId="0" fontId="2" fillId="0" borderId="45" xfId="0" applyFont="1" applyBorder="1" applyAlignment="1"/>
    <xf numFmtId="0" fontId="2" fillId="0" borderId="44" xfId="0" applyFont="1" applyBorder="1" applyAlignment="1"/>
    <xf numFmtId="4" fontId="16" fillId="0" borderId="47" xfId="0" applyNumberFormat="1" applyFont="1" applyBorder="1" applyAlignment="1">
      <alignment horizontal="right" vertical="center" shrinkToFit="1"/>
    </xf>
    <xf numFmtId="167" fontId="16" fillId="0" borderId="47" xfId="0" applyNumberFormat="1" applyFont="1" applyBorder="1" applyAlignment="1">
      <alignment vertical="center" shrinkToFit="1"/>
    </xf>
    <xf numFmtId="4" fontId="2" fillId="0" borderId="49" xfId="0" applyNumberFormat="1" applyFont="1" applyBorder="1" applyAlignment="1"/>
    <xf numFmtId="4" fontId="2" fillId="0" borderId="50" xfId="0" applyNumberFormat="1" applyFont="1" applyBorder="1" applyAlignment="1"/>
    <xf numFmtId="0" fontId="2" fillId="0" borderId="47" xfId="0" applyFont="1" applyBorder="1" applyAlignment="1">
      <alignment horizontal="center" vertical="center" shrinkToFit="1"/>
    </xf>
    <xf numFmtId="0" fontId="13" fillId="0" borderId="36" xfId="0" applyFont="1" applyBorder="1" applyAlignment="1">
      <alignment horizontal="center" vertical="center" shrinkToFit="1"/>
    </xf>
    <xf numFmtId="0" fontId="0" fillId="0" borderId="53" xfId="0" applyBorder="1"/>
    <xf numFmtId="0" fontId="0" fillId="0" borderId="54" xfId="0" applyBorder="1" applyAlignment="1">
      <alignment horizontal="center"/>
    </xf>
    <xf numFmtId="0" fontId="0" fillId="8" borderId="0" xfId="0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4" fillId="3" borderId="0" xfId="1" applyFont="1" applyFill="1" applyAlignment="1">
      <alignment horizontal="center" vertical="center"/>
    </xf>
    <xf numFmtId="0" fontId="2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36" xfId="0" applyBorder="1" applyAlignment="1">
      <alignment horizontal="center"/>
    </xf>
    <xf numFmtId="0" fontId="0" fillId="0" borderId="55" xfId="0" applyBorder="1" applyAlignment="1">
      <alignment horizontal="center"/>
    </xf>
    <xf numFmtId="0" fontId="1" fillId="10" borderId="32" xfId="0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/>
    </xf>
    <xf numFmtId="0" fontId="1" fillId="0" borderId="0" xfId="0" applyFont="1" applyAlignment="1">
      <alignment horizontal="left"/>
    </xf>
    <xf numFmtId="0" fontId="0" fillId="2" borderId="55" xfId="0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2" borderId="47" xfId="0" applyFill="1" applyBorder="1" applyAlignment="1">
      <alignment horizontal="center"/>
    </xf>
    <xf numFmtId="0" fontId="1" fillId="21" borderId="70" xfId="0" applyFont="1" applyFill="1" applyBorder="1" applyAlignment="1">
      <alignment horizontal="center"/>
    </xf>
    <xf numFmtId="0" fontId="1" fillId="21" borderId="71" xfId="0" applyFont="1" applyFill="1" applyBorder="1" applyAlignment="1">
      <alignment horizontal="center"/>
    </xf>
    <xf numFmtId="0" fontId="1" fillId="21" borderId="72" xfId="0" applyFont="1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0" fillId="8" borderId="62" xfId="0" applyFill="1" applyBorder="1" applyAlignment="1">
      <alignment horizontal="center"/>
    </xf>
    <xf numFmtId="0" fontId="0" fillId="8" borderId="63" xfId="0" applyFill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8" borderId="67" xfId="0" applyFill="1" applyBorder="1" applyAlignment="1">
      <alignment horizontal="center"/>
    </xf>
    <xf numFmtId="168" fontId="1" fillId="9" borderId="60" xfId="0" applyNumberFormat="1" applyFont="1" applyFill="1" applyBorder="1" applyAlignment="1">
      <alignment horizontal="center"/>
    </xf>
    <xf numFmtId="168" fontId="0" fillId="6" borderId="58" xfId="0" applyNumberFormat="1" applyFill="1" applyBorder="1"/>
    <xf numFmtId="168" fontId="1" fillId="4" borderId="61" xfId="0" applyNumberFormat="1" applyFont="1" applyFill="1" applyBorder="1"/>
    <xf numFmtId="168" fontId="0" fillId="6" borderId="61" xfId="0" applyNumberFormat="1" applyFill="1" applyBorder="1"/>
    <xf numFmtId="168" fontId="1" fillId="13" borderId="59" xfId="0" applyNumberFormat="1" applyFont="1" applyFill="1" applyBorder="1"/>
    <xf numFmtId="168" fontId="1" fillId="9" borderId="64" xfId="0" applyNumberFormat="1" applyFont="1" applyFill="1" applyBorder="1" applyAlignment="1">
      <alignment horizontal="center"/>
    </xf>
    <xf numFmtId="168" fontId="0" fillId="6" borderId="62" xfId="0" applyNumberFormat="1" applyFill="1" applyBorder="1"/>
    <xf numFmtId="168" fontId="1" fillId="4" borderId="65" xfId="0" applyNumberFormat="1" applyFont="1" applyFill="1" applyBorder="1"/>
    <xf numFmtId="168" fontId="0" fillId="6" borderId="65" xfId="0" applyNumberFormat="1" applyFill="1" applyBorder="1"/>
    <xf numFmtId="168" fontId="1" fillId="13" borderId="63" xfId="0" applyNumberFormat="1" applyFont="1" applyFill="1" applyBorder="1"/>
    <xf numFmtId="168" fontId="1" fillId="9" borderId="68" xfId="0" applyNumberFormat="1" applyFont="1" applyFill="1" applyBorder="1" applyAlignment="1">
      <alignment horizontal="center"/>
    </xf>
    <xf numFmtId="168" fontId="0" fillId="6" borderId="66" xfId="0" applyNumberFormat="1" applyFill="1" applyBorder="1"/>
    <xf numFmtId="168" fontId="1" fillId="4" borderId="69" xfId="0" applyNumberFormat="1" applyFont="1" applyFill="1" applyBorder="1"/>
    <xf numFmtId="168" fontId="0" fillId="6" borderId="69" xfId="0" applyNumberFormat="1" applyFill="1" applyBorder="1"/>
    <xf numFmtId="168" fontId="1" fillId="13" borderId="67" xfId="0" applyNumberFormat="1" applyFont="1" applyFill="1" applyBorder="1"/>
    <xf numFmtId="168" fontId="1" fillId="19" borderId="59" xfId="0" applyNumberFormat="1" applyFont="1" applyFill="1" applyBorder="1" applyAlignment="1">
      <alignment horizontal="center"/>
    </xf>
    <xf numFmtId="168" fontId="1" fillId="19" borderId="63" xfId="0" applyNumberFormat="1" applyFont="1" applyFill="1" applyBorder="1" applyAlignment="1">
      <alignment horizontal="center"/>
    </xf>
    <xf numFmtId="168" fontId="1" fillId="19" borderId="67" xfId="0" applyNumberFormat="1" applyFont="1" applyFill="1" applyBorder="1" applyAlignment="1">
      <alignment horizontal="center"/>
    </xf>
    <xf numFmtId="0" fontId="0" fillId="22" borderId="35" xfId="0" applyFill="1" applyBorder="1"/>
    <xf numFmtId="0" fontId="0" fillId="0" borderId="74" xfId="0" applyFill="1" applyBorder="1"/>
    <xf numFmtId="0" fontId="27" fillId="0" borderId="0" xfId="0" applyFont="1"/>
    <xf numFmtId="0" fontId="28" fillId="0" borderId="0" xfId="0" applyFont="1"/>
    <xf numFmtId="0" fontId="30" fillId="0" borderId="0" xfId="0" applyFont="1"/>
    <xf numFmtId="0" fontId="0" fillId="0" borderId="0" xfId="0" applyAlignment="1">
      <alignment horizontal="center" vertical="center"/>
    </xf>
    <xf numFmtId="0" fontId="31" fillId="0" borderId="0" xfId="0" applyFont="1"/>
    <xf numFmtId="0" fontId="32" fillId="13" borderId="73" xfId="0" applyFont="1" applyFill="1" applyBorder="1" applyAlignment="1">
      <alignment horizontal="center"/>
    </xf>
    <xf numFmtId="0" fontId="26" fillId="13" borderId="73" xfId="0" quotePrefix="1" applyFont="1" applyFill="1" applyBorder="1"/>
    <xf numFmtId="0" fontId="30" fillId="13" borderId="73" xfId="0" applyFont="1" applyFill="1" applyBorder="1"/>
    <xf numFmtId="0" fontId="31" fillId="13" borderId="73" xfId="0" applyFont="1" applyFill="1" applyBorder="1"/>
    <xf numFmtId="0" fontId="30" fillId="13" borderId="79" xfId="0" applyFont="1" applyFill="1" applyBorder="1"/>
    <xf numFmtId="0" fontId="0" fillId="13" borderId="80" xfId="0" applyFont="1" applyFill="1" applyBorder="1"/>
    <xf numFmtId="0" fontId="32" fillId="13" borderId="81" xfId="0" applyFont="1" applyFill="1" applyBorder="1" applyAlignment="1">
      <alignment horizontal="center"/>
    </xf>
    <xf numFmtId="0" fontId="26" fillId="13" borderId="81" xfId="0" quotePrefix="1" applyFont="1" applyFill="1" applyBorder="1"/>
    <xf numFmtId="0" fontId="31" fillId="13" borderId="81" xfId="0" applyFont="1" applyFill="1" applyBorder="1"/>
    <xf numFmtId="0" fontId="30" fillId="13" borderId="81" xfId="0" applyFont="1" applyFill="1" applyBorder="1"/>
    <xf numFmtId="0" fontId="30" fillId="13" borderId="82" xfId="0" applyFont="1" applyFill="1" applyBorder="1"/>
    <xf numFmtId="0" fontId="1" fillId="13" borderId="78" xfId="0" applyFont="1" applyFill="1" applyBorder="1"/>
    <xf numFmtId="0" fontId="29" fillId="17" borderId="87" xfId="0" applyFont="1" applyFill="1" applyBorder="1" applyAlignment="1">
      <alignment horizontal="center" vertical="center" shrinkToFit="1"/>
    </xf>
    <xf numFmtId="0" fontId="29" fillId="17" borderId="88" xfId="0" applyFont="1" applyFill="1" applyBorder="1" applyAlignment="1">
      <alignment horizontal="center" vertical="center" shrinkToFit="1"/>
    </xf>
    <xf numFmtId="0" fontId="34" fillId="14" borderId="88" xfId="0" applyFont="1" applyFill="1" applyBorder="1" applyAlignment="1">
      <alignment horizontal="center" vertical="center" wrapText="1"/>
    </xf>
    <xf numFmtId="0" fontId="34" fillId="14" borderId="87" xfId="0" applyFont="1" applyFill="1" applyBorder="1" applyAlignment="1">
      <alignment horizontal="center" vertical="center" wrapText="1"/>
    </xf>
    <xf numFmtId="0" fontId="0" fillId="0" borderId="89" xfId="0" applyBorder="1" applyAlignment="1">
      <alignment horizontal="center" shrinkToFit="1"/>
    </xf>
    <xf numFmtId="0" fontId="0" fillId="0" borderId="90" xfId="0" applyBorder="1" applyAlignment="1">
      <alignment horizontal="center" shrinkToFit="1"/>
    </xf>
    <xf numFmtId="0" fontId="0" fillId="0" borderId="85" xfId="0" applyBorder="1" applyAlignment="1">
      <alignment horizontal="center" shrinkToFit="1"/>
    </xf>
    <xf numFmtId="0" fontId="0" fillId="0" borderId="86" xfId="0" applyBorder="1" applyAlignment="1">
      <alignment horizontal="center" shrinkToFit="1"/>
    </xf>
    <xf numFmtId="0" fontId="0" fillId="14" borderId="89" xfId="0" applyFill="1" applyBorder="1" applyAlignment="1">
      <alignment horizontal="center"/>
    </xf>
    <xf numFmtId="0" fontId="0" fillId="14" borderId="90" xfId="0" applyFill="1" applyBorder="1" applyAlignment="1">
      <alignment horizontal="center"/>
    </xf>
    <xf numFmtId="0" fontId="0" fillId="14" borderId="85" xfId="0" applyFill="1" applyBorder="1" applyAlignment="1">
      <alignment horizontal="center"/>
    </xf>
    <xf numFmtId="0" fontId="0" fillId="14" borderId="86" xfId="0" applyFill="1" applyBorder="1" applyAlignment="1">
      <alignment horizontal="center"/>
    </xf>
    <xf numFmtId="0" fontId="35" fillId="22" borderId="92" xfId="0" applyFont="1" applyFill="1" applyBorder="1" applyAlignment="1">
      <alignment horizontal="center" vertical="center"/>
    </xf>
    <xf numFmtId="0" fontId="35" fillId="9" borderId="106" xfId="0" applyFont="1" applyFill="1" applyBorder="1" applyAlignment="1">
      <alignment horizontal="center" vertical="center"/>
    </xf>
    <xf numFmtId="0" fontId="35" fillId="9" borderId="88" xfId="0" applyFont="1" applyFill="1" applyBorder="1" applyAlignment="1">
      <alignment horizontal="center" vertical="center"/>
    </xf>
    <xf numFmtId="0" fontId="36" fillId="9" borderId="107" xfId="0" applyFont="1" applyFill="1" applyBorder="1" applyAlignment="1" applyProtection="1">
      <alignment horizontal="center"/>
      <protection locked="0"/>
    </xf>
    <xf numFmtId="0" fontId="36" fillId="22" borderId="93" xfId="0" applyFont="1" applyFill="1" applyBorder="1" applyAlignment="1" applyProtection="1">
      <alignment horizontal="center"/>
      <protection locked="0"/>
    </xf>
    <xf numFmtId="0" fontId="36" fillId="9" borderId="90" xfId="0" applyFont="1" applyFill="1" applyBorder="1" applyAlignment="1" applyProtection="1">
      <alignment horizontal="center"/>
      <protection locked="0"/>
    </xf>
    <xf numFmtId="0" fontId="36" fillId="9" borderId="108" xfId="0" applyFont="1" applyFill="1" applyBorder="1" applyAlignment="1" applyProtection="1">
      <alignment horizontal="center"/>
      <protection locked="0"/>
    </xf>
    <xf numFmtId="0" fontId="36" fillId="22" borderId="94" xfId="0" applyFont="1" applyFill="1" applyBorder="1" applyAlignment="1" applyProtection="1">
      <alignment horizontal="center"/>
      <protection locked="0"/>
    </xf>
    <xf numFmtId="0" fontId="36" fillId="9" borderId="86" xfId="0" applyFont="1" applyFill="1" applyBorder="1" applyAlignment="1" applyProtection="1">
      <alignment horizontal="center"/>
      <protection locked="0"/>
    </xf>
    <xf numFmtId="0" fontId="35" fillId="22" borderId="111" xfId="0" applyFont="1" applyFill="1" applyBorder="1" applyAlignment="1">
      <alignment horizontal="center" vertical="center"/>
    </xf>
    <xf numFmtId="0" fontId="35" fillId="9" borderId="112" xfId="0" applyFont="1" applyFill="1" applyBorder="1" applyAlignment="1">
      <alignment horizontal="center" vertical="center"/>
    </xf>
    <xf numFmtId="0" fontId="36" fillId="22" borderId="113" xfId="0" applyFont="1" applyFill="1" applyBorder="1" applyAlignment="1" applyProtection="1">
      <alignment horizontal="center"/>
      <protection locked="0"/>
    </xf>
    <xf numFmtId="0" fontId="36" fillId="9" borderId="114" xfId="0" applyFont="1" applyFill="1" applyBorder="1" applyAlignment="1" applyProtection="1">
      <alignment horizontal="center"/>
      <protection locked="0"/>
    </xf>
    <xf numFmtId="0" fontId="36" fillId="22" borderId="115" xfId="0" applyFont="1" applyFill="1" applyBorder="1" applyAlignment="1" applyProtection="1">
      <alignment horizontal="center"/>
      <protection locked="0"/>
    </xf>
    <xf numFmtId="0" fontId="36" fillId="9" borderId="116" xfId="0" applyFont="1" applyFill="1" applyBorder="1" applyAlignment="1" applyProtection="1">
      <alignment horizontal="center"/>
      <protection locked="0"/>
    </xf>
    <xf numFmtId="0" fontId="0" fillId="25" borderId="117" xfId="0" applyFont="1" applyFill="1" applyBorder="1"/>
    <xf numFmtId="0" fontId="0" fillId="0" borderId="117" xfId="0" applyFont="1" applyBorder="1"/>
    <xf numFmtId="0" fontId="37" fillId="24" borderId="0" xfId="0" applyFont="1" applyFill="1" applyBorder="1"/>
    <xf numFmtId="0" fontId="38" fillId="0" borderId="0" xfId="0" applyFont="1" applyAlignment="1">
      <alignment horizontal="left"/>
    </xf>
    <xf numFmtId="0" fontId="0" fillId="0" borderId="0" xfId="0" applyBorder="1" applyAlignment="1">
      <alignment shrinkToFit="1"/>
    </xf>
    <xf numFmtId="0" fontId="30" fillId="0" borderId="0" xfId="0" applyFont="1" applyBorder="1"/>
    <xf numFmtId="0" fontId="0" fillId="0" borderId="118" xfId="0" applyBorder="1" applyAlignment="1">
      <alignment horizontal="center" shrinkToFit="1"/>
    </xf>
    <xf numFmtId="0" fontId="0" fillId="0" borderId="119" xfId="0" applyBorder="1" applyAlignment="1">
      <alignment horizontal="center" shrinkToFit="1"/>
    </xf>
    <xf numFmtId="0" fontId="0" fillId="14" borderId="118" xfId="0" applyFill="1" applyBorder="1" applyAlignment="1">
      <alignment horizontal="center"/>
    </xf>
    <xf numFmtId="0" fontId="0" fillId="14" borderId="119" xfId="0" applyFill="1" applyBorder="1" applyAlignment="1">
      <alignment horizontal="center"/>
    </xf>
    <xf numFmtId="0" fontId="36" fillId="9" borderId="120" xfId="0" applyFont="1" applyFill="1" applyBorder="1" applyAlignment="1" applyProtection="1">
      <alignment horizontal="center"/>
      <protection locked="0"/>
    </xf>
    <xf numFmtId="0" fontId="36" fillId="22" borderId="121" xfId="0" applyFont="1" applyFill="1" applyBorder="1" applyAlignment="1" applyProtection="1">
      <alignment horizontal="center"/>
      <protection locked="0"/>
    </xf>
    <xf numFmtId="0" fontId="36" fillId="9" borderId="122" xfId="0" applyFont="1" applyFill="1" applyBorder="1" applyAlignment="1" applyProtection="1">
      <alignment horizontal="center"/>
      <protection locked="0"/>
    </xf>
    <xf numFmtId="0" fontId="36" fillId="22" borderId="123" xfId="0" applyFont="1" applyFill="1" applyBorder="1" applyAlignment="1" applyProtection="1">
      <alignment horizontal="center"/>
      <protection locked="0"/>
    </xf>
    <xf numFmtId="0" fontId="36" fillId="9" borderId="119" xfId="0" applyFont="1" applyFill="1" applyBorder="1" applyAlignment="1" applyProtection="1">
      <alignment horizontal="center"/>
      <protection locked="0"/>
    </xf>
    <xf numFmtId="0" fontId="0" fillId="0" borderId="62" xfId="0" applyBorder="1" applyAlignment="1">
      <alignment horizontal="center" shrinkToFit="1"/>
    </xf>
    <xf numFmtId="0" fontId="36" fillId="22" borderId="65" xfId="0" applyFont="1" applyFill="1" applyBorder="1" applyAlignment="1" applyProtection="1">
      <alignment horizontal="center"/>
      <protection locked="0"/>
    </xf>
    <xf numFmtId="0" fontId="36" fillId="9" borderId="65" xfId="0" applyFont="1" applyFill="1" applyBorder="1" applyAlignment="1" applyProtection="1">
      <alignment horizontal="center"/>
      <protection locked="0"/>
    </xf>
    <xf numFmtId="0" fontId="36" fillId="9" borderId="63" xfId="0" applyFont="1" applyFill="1" applyBorder="1" applyAlignment="1" applyProtection="1">
      <alignment horizontal="center"/>
      <protection locked="0"/>
    </xf>
    <xf numFmtId="0" fontId="0" fillId="0" borderId="66" xfId="0" applyBorder="1" applyAlignment="1">
      <alignment horizontal="center" shrinkToFit="1"/>
    </xf>
    <xf numFmtId="0" fontId="36" fillId="22" borderId="69" xfId="0" applyFont="1" applyFill="1" applyBorder="1" applyAlignment="1" applyProtection="1">
      <alignment horizontal="center"/>
      <protection locked="0"/>
    </xf>
    <xf numFmtId="0" fontId="36" fillId="9" borderId="69" xfId="0" applyFont="1" applyFill="1" applyBorder="1" applyAlignment="1" applyProtection="1">
      <alignment horizontal="center"/>
      <protection locked="0"/>
    </xf>
    <xf numFmtId="0" fontId="36" fillId="9" borderId="67" xfId="0" applyFont="1" applyFill="1" applyBorder="1" applyAlignment="1" applyProtection="1">
      <alignment horizontal="center"/>
      <protection locked="0"/>
    </xf>
    <xf numFmtId="0" fontId="36" fillId="22" borderId="126" xfId="0" applyFont="1" applyFill="1" applyBorder="1" applyAlignment="1" applyProtection="1">
      <alignment horizontal="center"/>
      <protection locked="0"/>
    </xf>
    <xf numFmtId="0" fontId="36" fillId="22" borderId="127" xfId="0" applyFont="1" applyFill="1" applyBorder="1" applyAlignment="1" applyProtection="1">
      <alignment horizontal="center"/>
      <protection locked="0"/>
    </xf>
    <xf numFmtId="0" fontId="0" fillId="0" borderId="63" xfId="0" applyBorder="1" applyAlignment="1">
      <alignment horizontal="center" shrinkToFit="1"/>
    </xf>
    <xf numFmtId="0" fontId="0" fillId="0" borderId="67" xfId="0" applyBorder="1" applyAlignment="1">
      <alignment horizontal="center" shrinkToFit="1"/>
    </xf>
    <xf numFmtId="0" fontId="0" fillId="14" borderId="62" xfId="0" applyFill="1" applyBorder="1" applyAlignment="1">
      <alignment horizontal="center"/>
    </xf>
    <xf numFmtId="0" fontId="0" fillId="14" borderId="63" xfId="0" applyFill="1" applyBorder="1" applyAlignment="1">
      <alignment horizontal="center"/>
    </xf>
    <xf numFmtId="0" fontId="0" fillId="14" borderId="66" xfId="0" applyFill="1" applyBorder="1" applyAlignment="1">
      <alignment horizontal="center"/>
    </xf>
    <xf numFmtId="0" fontId="0" fillId="14" borderId="67" xfId="0" applyFill="1" applyBorder="1" applyAlignment="1">
      <alignment horizontal="center"/>
    </xf>
    <xf numFmtId="0" fontId="36" fillId="9" borderId="124" xfId="0" applyFont="1" applyFill="1" applyBorder="1" applyAlignment="1" applyProtection="1">
      <alignment horizontal="center"/>
      <protection locked="0"/>
    </xf>
    <xf numFmtId="0" fontId="36" fillId="9" borderId="125" xfId="0" applyFont="1" applyFill="1" applyBorder="1" applyAlignment="1" applyProtection="1">
      <alignment horizontal="center"/>
      <protection locked="0"/>
    </xf>
    <xf numFmtId="0" fontId="36" fillId="22" borderId="128" xfId="0" applyFont="1" applyFill="1" applyBorder="1" applyAlignment="1" applyProtection="1">
      <alignment horizontal="center"/>
      <protection locked="0"/>
    </xf>
    <xf numFmtId="0" fontId="36" fillId="9" borderId="129" xfId="0" applyFont="1" applyFill="1" applyBorder="1" applyAlignment="1" applyProtection="1">
      <alignment horizontal="center"/>
      <protection locked="0"/>
    </xf>
    <xf numFmtId="0" fontId="36" fillId="22" borderId="130" xfId="0" applyFont="1" applyFill="1" applyBorder="1" applyAlignment="1" applyProtection="1">
      <alignment horizontal="center"/>
      <protection locked="0"/>
    </xf>
    <xf numFmtId="0" fontId="36" fillId="9" borderId="131" xfId="0" applyFont="1" applyFill="1" applyBorder="1" applyAlignment="1" applyProtection="1">
      <alignment horizontal="center"/>
      <protection locked="0"/>
    </xf>
    <xf numFmtId="0" fontId="39" fillId="26" borderId="0" xfId="0" applyFont="1" applyFill="1" applyAlignment="1">
      <alignment horizontal="center"/>
    </xf>
    <xf numFmtId="0" fontId="11" fillId="26" borderId="0" xfId="0" applyFont="1" applyFill="1" applyAlignment="1">
      <alignment horizontal="center"/>
    </xf>
    <xf numFmtId="0" fontId="23" fillId="0" borderId="0" xfId="1"/>
    <xf numFmtId="0" fontId="0" fillId="18" borderId="61" xfId="0" applyNumberFormat="1" applyFill="1" applyBorder="1" applyAlignment="1" applyProtection="1">
      <alignment horizontal="center"/>
      <protection locked="0"/>
    </xf>
    <xf numFmtId="0" fontId="0" fillId="18" borderId="65" xfId="0" applyNumberFormat="1" applyFill="1" applyBorder="1" applyAlignment="1" applyProtection="1">
      <alignment horizontal="center"/>
      <protection locked="0"/>
    </xf>
    <xf numFmtId="0" fontId="0" fillId="18" borderId="69" xfId="0" applyNumberFormat="1" applyFill="1" applyBorder="1" applyAlignment="1" applyProtection="1">
      <alignment horizontal="center"/>
      <protection locked="0"/>
    </xf>
    <xf numFmtId="0" fontId="0" fillId="18" borderId="58" xfId="0" applyNumberFormat="1" applyFont="1" applyFill="1" applyBorder="1" applyAlignment="1" applyProtection="1">
      <alignment horizontal="center"/>
      <protection locked="0"/>
    </xf>
    <xf numFmtId="0" fontId="0" fillId="18" borderId="61" xfId="0" applyNumberFormat="1" applyFont="1" applyFill="1" applyBorder="1" applyAlignment="1" applyProtection="1">
      <alignment horizontal="center"/>
      <protection locked="0"/>
    </xf>
    <xf numFmtId="0" fontId="0" fillId="18" borderId="59" xfId="0" applyNumberFormat="1" applyFont="1" applyFill="1" applyBorder="1" applyAlignment="1" applyProtection="1">
      <alignment horizontal="center"/>
      <protection locked="0"/>
    </xf>
    <xf numFmtId="0" fontId="0" fillId="18" borderId="62" xfId="0" applyNumberFormat="1" applyFont="1" applyFill="1" applyBorder="1" applyAlignment="1" applyProtection="1">
      <alignment horizontal="center"/>
      <protection locked="0"/>
    </xf>
    <xf numFmtId="0" fontId="0" fillId="18" borderId="65" xfId="0" applyNumberFormat="1" applyFont="1" applyFill="1" applyBorder="1" applyAlignment="1" applyProtection="1">
      <alignment horizontal="center"/>
      <protection locked="0"/>
    </xf>
    <xf numFmtId="0" fontId="0" fillId="18" borderId="63" xfId="0" applyNumberFormat="1" applyFont="1" applyFill="1" applyBorder="1" applyAlignment="1" applyProtection="1">
      <alignment horizontal="center"/>
      <protection locked="0"/>
    </xf>
    <xf numFmtId="0" fontId="0" fillId="18" borderId="66" xfId="0" applyNumberFormat="1" applyFont="1" applyFill="1" applyBorder="1" applyAlignment="1" applyProtection="1">
      <alignment horizontal="center"/>
      <protection locked="0"/>
    </xf>
    <xf numFmtId="0" fontId="0" fillId="18" borderId="69" xfId="0" applyNumberFormat="1" applyFont="1" applyFill="1" applyBorder="1" applyAlignment="1" applyProtection="1">
      <alignment horizontal="center"/>
      <protection locked="0"/>
    </xf>
    <xf numFmtId="0" fontId="0" fillId="18" borderId="67" xfId="0" applyNumberFormat="1" applyFont="1" applyFill="1" applyBorder="1" applyAlignment="1" applyProtection="1">
      <alignment horizontal="center"/>
      <protection locked="0"/>
    </xf>
    <xf numFmtId="168" fontId="0" fillId="18" borderId="58" xfId="0" applyNumberFormat="1" applyFill="1" applyBorder="1" applyProtection="1">
      <protection locked="0"/>
    </xf>
    <xf numFmtId="168" fontId="0" fillId="18" borderId="61" xfId="0" applyNumberFormat="1" applyFill="1" applyBorder="1" applyAlignment="1" applyProtection="1">
      <alignment horizontal="center"/>
      <protection locked="0"/>
    </xf>
    <xf numFmtId="168" fontId="0" fillId="18" borderId="62" xfId="0" applyNumberFormat="1" applyFill="1" applyBorder="1" applyProtection="1">
      <protection locked="0"/>
    </xf>
    <xf numFmtId="168" fontId="0" fillId="18" borderId="65" xfId="0" applyNumberFormat="1" applyFill="1" applyBorder="1" applyAlignment="1" applyProtection="1">
      <alignment horizontal="center"/>
      <protection locked="0"/>
    </xf>
    <xf numFmtId="168" fontId="0" fillId="18" borderId="66" xfId="0" applyNumberFormat="1" applyFill="1" applyBorder="1" applyProtection="1">
      <protection locked="0"/>
    </xf>
    <xf numFmtId="168" fontId="0" fillId="18" borderId="69" xfId="0" applyNumberFormat="1" applyFill="1" applyBorder="1" applyAlignment="1" applyProtection="1">
      <alignment horizontal="center"/>
      <protection locked="0"/>
    </xf>
    <xf numFmtId="14" fontId="0" fillId="0" borderId="0" xfId="0" applyNumberFormat="1"/>
    <xf numFmtId="0" fontId="0" fillId="0" borderId="55" xfId="0" applyBorder="1" applyAlignment="1" applyProtection="1">
      <alignment horizontal="center"/>
      <protection locked="0"/>
    </xf>
    <xf numFmtId="0" fontId="0" fillId="0" borderId="55" xfId="0" applyBorder="1" applyProtection="1"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0" borderId="36" xfId="0" applyBorder="1" applyProtection="1">
      <protection locked="0"/>
    </xf>
    <xf numFmtId="0" fontId="0" fillId="0" borderId="47" xfId="0" applyBorder="1" applyAlignment="1" applyProtection="1">
      <alignment horizontal="center"/>
      <protection locked="0"/>
    </xf>
    <xf numFmtId="0" fontId="0" fillId="0" borderId="47" xfId="0" applyBorder="1" applyProtection="1">
      <protection locked="0"/>
    </xf>
    <xf numFmtId="0" fontId="0" fillId="6" borderId="137" xfId="0" applyFill="1" applyBorder="1"/>
    <xf numFmtId="0" fontId="0" fillId="6" borderId="0" xfId="0" applyFill="1" applyBorder="1" applyAlignment="1">
      <alignment horizontal="right"/>
    </xf>
    <xf numFmtId="0" fontId="0" fillId="6" borderId="138" xfId="0" applyFill="1" applyBorder="1"/>
    <xf numFmtId="0" fontId="0" fillId="6" borderId="139" xfId="0" applyFill="1" applyBorder="1"/>
    <xf numFmtId="0" fontId="0" fillId="6" borderId="140" xfId="0" applyFill="1" applyBorder="1" applyAlignment="1">
      <alignment horizontal="right"/>
    </xf>
    <xf numFmtId="0" fontId="0" fillId="6" borderId="140" xfId="0" applyFill="1" applyBorder="1"/>
    <xf numFmtId="0" fontId="0" fillId="6" borderId="141" xfId="0" applyFill="1" applyBorder="1"/>
    <xf numFmtId="0" fontId="0" fillId="14" borderId="133" xfId="0" applyFill="1" applyBorder="1" applyAlignment="1" applyProtection="1">
      <alignment horizontal="center"/>
      <protection locked="0"/>
    </xf>
    <xf numFmtId="164" fontId="0" fillId="14" borderId="133" xfId="0" applyNumberFormat="1" applyFill="1" applyBorder="1" applyProtection="1">
      <protection locked="0"/>
    </xf>
    <xf numFmtId="164" fontId="40" fillId="0" borderId="0" xfId="0" applyNumberFormat="1" applyFont="1"/>
    <xf numFmtId="0" fontId="0" fillId="2" borderId="0" xfId="0" applyFill="1" applyAlignment="1">
      <alignment horizontal="center" shrinkToFit="1"/>
    </xf>
    <xf numFmtId="14" fontId="0" fillId="0" borderId="0" xfId="0" applyNumberFormat="1" applyAlignment="1">
      <alignment horizontal="center" shrinkToFit="1"/>
    </xf>
    <xf numFmtId="15" fontId="0" fillId="0" borderId="0" xfId="0" applyNumberFormat="1" applyAlignment="1">
      <alignment horizontal="center" shrinkToFit="1"/>
    </xf>
    <xf numFmtId="168" fontId="0" fillId="14" borderId="133" xfId="0" applyNumberFormat="1" applyFill="1" applyBorder="1" applyAlignment="1" applyProtection="1">
      <alignment horizontal="right"/>
      <protection locked="0"/>
    </xf>
    <xf numFmtId="168" fontId="0" fillId="6" borderId="0" xfId="0" applyNumberFormat="1" applyFill="1" applyBorder="1" applyAlignment="1" applyProtection="1">
      <alignment horizontal="right"/>
      <protection locked="0"/>
    </xf>
    <xf numFmtId="168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center" shrinkToFit="1"/>
    </xf>
    <xf numFmtId="0" fontId="43" fillId="6" borderId="0" xfId="0" applyFont="1" applyFill="1" applyBorder="1" applyAlignment="1">
      <alignment horizontal="center"/>
    </xf>
    <xf numFmtId="0" fontId="44" fillId="6" borderId="0" xfId="0" applyFont="1" applyFill="1" applyBorder="1"/>
    <xf numFmtId="0" fontId="0" fillId="6" borderId="0" xfId="0" applyFill="1" applyBorder="1" applyAlignment="1">
      <alignment vertical="top"/>
    </xf>
    <xf numFmtId="0" fontId="0" fillId="6" borderId="0" xfId="0" applyFill="1" applyBorder="1" applyAlignment="1">
      <alignment vertical="top" shrinkToFit="1"/>
    </xf>
    <xf numFmtId="0" fontId="44" fillId="6" borderId="0" xfId="0" applyFont="1" applyFill="1" applyBorder="1" applyAlignment="1">
      <alignment vertical="top"/>
    </xf>
    <xf numFmtId="0" fontId="0" fillId="6" borderId="0" xfId="0" applyFill="1" applyBorder="1" applyAlignment="1">
      <alignment horizontal="left" vertical="top" shrinkToFit="1"/>
    </xf>
    <xf numFmtId="168" fontId="0" fillId="4" borderId="36" xfId="0" applyNumberFormat="1" applyFill="1" applyBorder="1" applyAlignment="1" applyProtection="1">
      <alignment horizontal="right"/>
      <protection locked="0"/>
    </xf>
    <xf numFmtId="168" fontId="0" fillId="4" borderId="55" xfId="0" applyNumberFormat="1" applyFill="1" applyBorder="1" applyAlignment="1" applyProtection="1">
      <alignment horizontal="right"/>
      <protection locked="0"/>
    </xf>
    <xf numFmtId="0" fontId="43" fillId="6" borderId="0" xfId="0" applyFont="1" applyFill="1" applyBorder="1" applyAlignment="1">
      <alignment horizontal="left" vertical="top"/>
    </xf>
    <xf numFmtId="0" fontId="43" fillId="6" borderId="0" xfId="0" applyFont="1" applyFill="1" applyBorder="1" applyAlignment="1">
      <alignment horizontal="left" vertical="top" shrinkToFit="1"/>
    </xf>
    <xf numFmtId="14" fontId="40" fillId="0" borderId="0" xfId="0" applyNumberFormat="1" applyFont="1"/>
    <xf numFmtId="0" fontId="23" fillId="0" borderId="0" xfId="1" applyAlignment="1">
      <alignment vertical="center"/>
    </xf>
    <xf numFmtId="15" fontId="0" fillId="0" borderId="0" xfId="0" applyNumberFormat="1"/>
    <xf numFmtId="0" fontId="23" fillId="0" borderId="0" xfId="1" applyAlignment="1">
      <alignment horizontal="center" shrinkToFit="1"/>
    </xf>
    <xf numFmtId="0" fontId="2" fillId="0" borderId="0" xfId="0" applyFont="1" applyBorder="1" applyAlignment="1">
      <alignment horizontal="center"/>
    </xf>
    <xf numFmtId="164" fontId="11" fillId="6" borderId="137" xfId="0" applyNumberFormat="1" applyFont="1" applyFill="1" applyBorder="1"/>
    <xf numFmtId="168" fontId="44" fillId="6" borderId="0" xfId="0" applyNumberFormat="1" applyFont="1" applyFill="1" applyBorder="1" applyAlignment="1" applyProtection="1">
      <alignment horizontal="right"/>
      <protection locked="0"/>
    </xf>
    <xf numFmtId="0" fontId="44" fillId="0" borderId="0" xfId="0" applyFont="1"/>
    <xf numFmtId="0" fontId="29" fillId="0" borderId="142" xfId="0" applyFont="1" applyBorder="1"/>
    <xf numFmtId="0" fontId="29" fillId="0" borderId="143" xfId="0" applyFont="1" applyBorder="1"/>
    <xf numFmtId="0" fontId="29" fillId="0" borderId="149" xfId="0" applyFont="1" applyBorder="1"/>
    <xf numFmtId="0" fontId="29" fillId="0" borderId="151" xfId="0" applyFont="1" applyBorder="1"/>
    <xf numFmtId="0" fontId="34" fillId="0" borderId="159" xfId="0" applyFont="1" applyBorder="1" applyAlignment="1">
      <alignment horizontal="right" vertical="center"/>
    </xf>
    <xf numFmtId="0" fontId="29" fillId="0" borderId="167" xfId="0" applyFont="1" applyBorder="1"/>
    <xf numFmtId="0" fontId="34" fillId="6" borderId="158" xfId="0" applyFont="1" applyFill="1" applyBorder="1" applyAlignment="1">
      <alignment horizontal="right" vertical="center"/>
    </xf>
    <xf numFmtId="0" fontId="34" fillId="8" borderId="158" xfId="0" applyFont="1" applyFill="1" applyBorder="1" applyAlignment="1">
      <alignment horizontal="right" vertical="center"/>
    </xf>
    <xf numFmtId="0" fontId="45" fillId="13" borderId="156" xfId="0" applyFont="1" applyFill="1" applyBorder="1" applyAlignment="1">
      <alignment horizontal="center"/>
    </xf>
    <xf numFmtId="0" fontId="45" fillId="13" borderId="162" xfId="0" applyFont="1" applyFill="1" applyBorder="1" applyAlignment="1">
      <alignment horizontal="center"/>
    </xf>
    <xf numFmtId="0" fontId="45" fillId="13" borderId="145" xfId="0" applyFont="1" applyFill="1" applyBorder="1" applyAlignment="1">
      <alignment horizontal="center"/>
    </xf>
    <xf numFmtId="0" fontId="45" fillId="13" borderId="150" xfId="0" applyFont="1" applyFill="1" applyBorder="1" applyAlignment="1">
      <alignment horizontal="center"/>
    </xf>
    <xf numFmtId="0" fontId="45" fillId="13" borderId="147" xfId="0" applyFont="1" applyFill="1" applyBorder="1" applyAlignment="1">
      <alignment horizontal="center"/>
    </xf>
    <xf numFmtId="0" fontId="45" fillId="13" borderId="146" xfId="0" applyFont="1" applyFill="1" applyBorder="1" applyAlignment="1">
      <alignment horizontal="center"/>
    </xf>
    <xf numFmtId="0" fontId="34" fillId="27" borderId="157" xfId="0" applyFont="1" applyFill="1" applyBorder="1" applyAlignment="1">
      <alignment horizontal="right" vertical="center"/>
    </xf>
    <xf numFmtId="0" fontId="34" fillId="27" borderId="158" xfId="0" applyFont="1" applyFill="1" applyBorder="1" applyAlignment="1">
      <alignment horizontal="right" vertical="center"/>
    </xf>
    <xf numFmtId="0" fontId="46" fillId="15" borderId="0" xfId="0" applyFont="1" applyFill="1" applyAlignment="1">
      <alignment horizontal="right"/>
    </xf>
    <xf numFmtId="0" fontId="23" fillId="0" borderId="0" xfId="1" applyFill="1"/>
    <xf numFmtId="3" fontId="0" fillId="15" borderId="0" xfId="0" applyNumberFormat="1" applyFill="1" applyBorder="1" applyAlignment="1">
      <alignment horizontal="center" vertical="center" shrinkToFit="1"/>
    </xf>
    <xf numFmtId="0" fontId="23" fillId="0" borderId="0" xfId="1" applyAlignment="1">
      <alignment shrinkToFit="1"/>
    </xf>
    <xf numFmtId="0" fontId="7" fillId="4" borderId="148" xfId="0" applyFont="1" applyFill="1" applyBorder="1" applyAlignment="1">
      <alignment horizontal="center" shrinkToFit="1"/>
    </xf>
    <xf numFmtId="0" fontId="7" fillId="5" borderId="144" xfId="0" applyFont="1" applyFill="1" applyBorder="1" applyAlignment="1">
      <alignment horizontal="center" shrinkToFit="1"/>
    </xf>
    <xf numFmtId="0" fontId="7" fillId="5" borderId="168" xfId="0" applyFont="1" applyFill="1" applyBorder="1" applyAlignment="1">
      <alignment horizontal="center" shrinkToFit="1"/>
    </xf>
    <xf numFmtId="0" fontId="0" fillId="4" borderId="161" xfId="0" applyFont="1" applyFill="1" applyBorder="1" applyAlignment="1">
      <alignment horizontal="center"/>
    </xf>
    <xf numFmtId="0" fontId="2" fillId="0" borderId="154" xfId="0" applyFont="1" applyBorder="1" applyAlignment="1">
      <alignment horizontal="center"/>
    </xf>
    <xf numFmtId="0" fontId="2" fillId="0" borderId="154" xfId="0" applyFont="1" applyBorder="1" applyAlignment="1">
      <alignment shrinkToFit="1"/>
    </xf>
    <xf numFmtId="3" fontId="2" fillId="0" borderId="154" xfId="0" applyNumberFormat="1" applyFont="1" applyBorder="1" applyAlignment="1">
      <alignment horizontal="center"/>
    </xf>
    <xf numFmtId="4" fontId="2" fillId="0" borderId="154" xfId="0" applyNumberFormat="1" applyFont="1" applyBorder="1"/>
    <xf numFmtId="10" fontId="2" fillId="0" borderId="154" xfId="0" applyNumberFormat="1" applyFont="1" applyBorder="1" applyAlignment="1">
      <alignment horizontal="center" shrinkToFit="1"/>
    </xf>
    <xf numFmtId="4" fontId="2" fillId="0" borderId="154" xfId="0" applyNumberFormat="1" applyFont="1" applyBorder="1" applyAlignment="1">
      <alignment shrinkToFit="1"/>
    </xf>
    <xf numFmtId="4" fontId="2" fillId="0" borderId="154" xfId="0" applyNumberFormat="1" applyFont="1" applyBorder="1" applyAlignment="1">
      <alignment horizontal="center" shrinkToFit="1"/>
    </xf>
    <xf numFmtId="164" fontId="2" fillId="0" borderId="154" xfId="0" applyNumberFormat="1" applyFont="1" applyBorder="1"/>
    <xf numFmtId="0" fontId="2" fillId="0" borderId="154" xfId="0" applyNumberFormat="1" applyFont="1" applyBorder="1"/>
    <xf numFmtId="0" fontId="2" fillId="0" borderId="154" xfId="0" applyNumberFormat="1" applyFont="1" applyFill="1" applyBorder="1"/>
    <xf numFmtId="3" fontId="2" fillId="0" borderId="154" xfId="0" applyNumberFormat="1" applyFont="1" applyBorder="1"/>
    <xf numFmtId="4" fontId="2" fillId="0" borderId="154" xfId="0" applyNumberFormat="1" applyFont="1" applyBorder="1" applyAlignment="1">
      <alignment horizontal="center"/>
    </xf>
    <xf numFmtId="0" fontId="2" fillId="0" borderId="154" xfId="0" applyNumberFormat="1" applyFont="1" applyBorder="1" applyAlignment="1">
      <alignment horizontal="center"/>
    </xf>
    <xf numFmtId="0" fontId="2" fillId="0" borderId="169" xfId="0" applyFont="1" applyBorder="1" applyAlignment="1">
      <alignment horizontal="center"/>
    </xf>
    <xf numFmtId="0" fontId="2" fillId="4" borderId="161" xfId="0" applyFont="1" applyFill="1" applyBorder="1" applyAlignment="1">
      <alignment horizontal="center"/>
    </xf>
    <xf numFmtId="164" fontId="2" fillId="0" borderId="154" xfId="0" applyNumberFormat="1" applyFont="1" applyBorder="1" applyAlignment="1">
      <alignment shrinkToFit="1"/>
    </xf>
    <xf numFmtId="0" fontId="2" fillId="0" borderId="154" xfId="0" applyNumberFormat="1" applyFont="1" applyBorder="1" applyAlignment="1">
      <alignment shrinkToFit="1"/>
    </xf>
    <xf numFmtId="0" fontId="2" fillId="0" borderId="154" xfId="0" applyNumberFormat="1" applyFont="1" applyFill="1" applyBorder="1" applyAlignment="1">
      <alignment shrinkToFit="1"/>
    </xf>
    <xf numFmtId="3" fontId="2" fillId="0" borderId="154" xfId="0" applyNumberFormat="1" applyFont="1" applyBorder="1" applyAlignment="1">
      <alignment shrinkToFit="1"/>
    </xf>
    <xf numFmtId="0" fontId="0" fillId="0" borderId="154" xfId="0" applyBorder="1" applyAlignment="1">
      <alignment horizontal="center" shrinkToFit="1"/>
    </xf>
    <xf numFmtId="0" fontId="0" fillId="0" borderId="154" xfId="0" applyBorder="1" applyAlignment="1">
      <alignment shrinkToFit="1"/>
    </xf>
    <xf numFmtId="0" fontId="2" fillId="4" borderId="170" xfId="0" applyFont="1" applyFill="1" applyBorder="1" applyAlignment="1">
      <alignment horizontal="center"/>
    </xf>
    <xf numFmtId="0" fontId="2" fillId="0" borderId="171" xfId="0" applyFont="1" applyBorder="1" applyAlignment="1">
      <alignment horizontal="center"/>
    </xf>
    <xf numFmtId="0" fontId="2" fillId="0" borderId="171" xfId="0" applyFont="1" applyBorder="1" applyAlignment="1">
      <alignment shrinkToFit="1"/>
    </xf>
    <xf numFmtId="3" fontId="2" fillId="0" borderId="171" xfId="0" applyNumberFormat="1" applyFont="1" applyBorder="1" applyAlignment="1">
      <alignment horizontal="center"/>
    </xf>
    <xf numFmtId="4" fontId="2" fillId="0" borderId="171" xfId="0" applyNumberFormat="1" applyFont="1" applyBorder="1" applyAlignment="1">
      <alignment shrinkToFit="1"/>
    </xf>
    <xf numFmtId="10" fontId="2" fillId="0" borderId="171" xfId="0" applyNumberFormat="1" applyFont="1" applyBorder="1" applyAlignment="1">
      <alignment horizontal="center" shrinkToFit="1"/>
    </xf>
    <xf numFmtId="4" fontId="2" fillId="0" borderId="171" xfId="0" applyNumberFormat="1" applyFont="1" applyBorder="1" applyAlignment="1">
      <alignment horizontal="center" shrinkToFit="1"/>
    </xf>
    <xf numFmtId="164" fontId="2" fillId="0" borderId="171" xfId="0" applyNumberFormat="1" applyFont="1" applyBorder="1" applyAlignment="1">
      <alignment shrinkToFit="1"/>
    </xf>
    <xf numFmtId="0" fontId="2" fillId="0" borderId="171" xfId="0" applyNumberFormat="1" applyFont="1" applyBorder="1" applyAlignment="1">
      <alignment shrinkToFit="1"/>
    </xf>
    <xf numFmtId="0" fontId="2" fillId="0" borderId="171" xfId="0" applyNumberFormat="1" applyFont="1" applyFill="1" applyBorder="1" applyAlignment="1">
      <alignment shrinkToFit="1"/>
    </xf>
    <xf numFmtId="3" fontId="2" fillId="0" borderId="171" xfId="0" applyNumberFormat="1" applyFont="1" applyBorder="1" applyAlignment="1">
      <alignment shrinkToFit="1"/>
    </xf>
    <xf numFmtId="4" fontId="2" fillId="0" borderId="171" xfId="0" applyNumberFormat="1" applyFont="1" applyBorder="1" applyAlignment="1">
      <alignment horizontal="center"/>
    </xf>
    <xf numFmtId="0" fontId="2" fillId="0" borderId="171" xfId="0" applyNumberFormat="1" applyFont="1" applyBorder="1" applyAlignment="1">
      <alignment horizontal="center"/>
    </xf>
    <xf numFmtId="0" fontId="2" fillId="0" borderId="172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0" borderId="46" xfId="0" applyFont="1" applyBorder="1" applyAlignment="1">
      <alignment shrinkToFit="1"/>
    </xf>
    <xf numFmtId="3" fontId="2" fillId="0" borderId="46" xfId="0" applyNumberFormat="1" applyFont="1" applyBorder="1" applyAlignment="1">
      <alignment horizontal="center"/>
    </xf>
    <xf numFmtId="4" fontId="2" fillId="0" borderId="46" xfId="0" applyNumberFormat="1" applyFont="1" applyBorder="1" applyAlignment="1">
      <alignment shrinkToFit="1"/>
    </xf>
    <xf numFmtId="10" fontId="2" fillId="0" borderId="46" xfId="0" applyNumberFormat="1" applyFont="1" applyBorder="1" applyAlignment="1">
      <alignment horizontal="center" shrinkToFit="1"/>
    </xf>
    <xf numFmtId="4" fontId="2" fillId="0" borderId="46" xfId="0" applyNumberFormat="1" applyFont="1" applyBorder="1" applyAlignment="1">
      <alignment horizontal="center" shrinkToFit="1"/>
    </xf>
    <xf numFmtId="164" fontId="2" fillId="0" borderId="46" xfId="0" applyNumberFormat="1" applyFont="1" applyBorder="1" applyAlignment="1">
      <alignment shrinkToFit="1"/>
    </xf>
    <xf numFmtId="0" fontId="2" fillId="0" borderId="46" xfId="0" applyNumberFormat="1" applyFont="1" applyBorder="1" applyAlignment="1">
      <alignment shrinkToFit="1"/>
    </xf>
    <xf numFmtId="0" fontId="2" fillId="0" borderId="46" xfId="0" applyNumberFormat="1" applyFont="1" applyFill="1" applyBorder="1" applyAlignment="1">
      <alignment shrinkToFit="1"/>
    </xf>
    <xf numFmtId="3" fontId="2" fillId="0" borderId="46" xfId="0" applyNumberFormat="1" applyFont="1" applyBorder="1" applyAlignment="1">
      <alignment shrinkToFit="1"/>
    </xf>
    <xf numFmtId="4" fontId="2" fillId="0" borderId="46" xfId="0" applyNumberFormat="1" applyFont="1" applyBorder="1" applyAlignment="1">
      <alignment horizontal="center"/>
    </xf>
    <xf numFmtId="0" fontId="2" fillId="0" borderId="46" xfId="0" applyNumberFormat="1" applyFont="1" applyBorder="1" applyAlignment="1">
      <alignment horizontal="center"/>
    </xf>
    <xf numFmtId="0" fontId="2" fillId="0" borderId="0" xfId="0" applyFont="1" applyBorder="1" applyAlignment="1">
      <alignment shrinkToFit="1"/>
    </xf>
    <xf numFmtId="3" fontId="2" fillId="0" borderId="0" xfId="0" applyNumberFormat="1" applyFont="1" applyBorder="1" applyAlignment="1">
      <alignment horizontal="center"/>
    </xf>
    <xf numFmtId="4" fontId="2" fillId="0" borderId="0" xfId="0" applyNumberFormat="1" applyFont="1" applyBorder="1" applyAlignment="1">
      <alignment shrinkToFit="1"/>
    </xf>
    <xf numFmtId="10" fontId="2" fillId="0" borderId="0" xfId="0" applyNumberFormat="1" applyFont="1" applyBorder="1" applyAlignment="1">
      <alignment horizontal="center" shrinkToFit="1"/>
    </xf>
    <xf numFmtId="4" fontId="2" fillId="0" borderId="0" xfId="0" applyNumberFormat="1" applyFont="1" applyBorder="1" applyAlignment="1">
      <alignment horizontal="center" shrinkToFit="1"/>
    </xf>
    <xf numFmtId="164" fontId="2" fillId="0" borderId="0" xfId="0" applyNumberFormat="1" applyFont="1" applyBorder="1" applyAlignment="1">
      <alignment shrinkToFit="1"/>
    </xf>
    <xf numFmtId="0" fontId="2" fillId="0" borderId="0" xfId="0" applyNumberFormat="1" applyFont="1" applyBorder="1" applyAlignment="1">
      <alignment shrinkToFit="1"/>
    </xf>
    <xf numFmtId="0" fontId="2" fillId="0" borderId="0" xfId="0" applyNumberFormat="1" applyFont="1" applyFill="1" applyBorder="1" applyAlignment="1">
      <alignment shrinkToFit="1"/>
    </xf>
    <xf numFmtId="3" fontId="2" fillId="0" borderId="0" xfId="0" applyNumberFormat="1" applyFont="1" applyBorder="1" applyAlignment="1">
      <alignment shrinkToFit="1"/>
    </xf>
    <xf numFmtId="4" fontId="2" fillId="0" borderId="0" xfId="0" applyNumberFormat="1" applyFont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2" fillId="0" borderId="46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/>
    <xf numFmtId="164" fontId="2" fillId="0" borderId="0" xfId="0" applyNumberFormat="1" applyFont="1" applyFill="1" applyBorder="1" applyAlignment="1"/>
    <xf numFmtId="169" fontId="0" fillId="0" borderId="0" xfId="0" applyNumberFormat="1"/>
    <xf numFmtId="169" fontId="29" fillId="27" borderId="163" xfId="0" applyNumberFormat="1" applyFont="1" applyFill="1" applyBorder="1" applyAlignment="1">
      <alignment horizontal="right"/>
    </xf>
    <xf numFmtId="169" fontId="29" fillId="27" borderId="152" xfId="0" applyNumberFormat="1" applyFont="1" applyFill="1" applyBorder="1" applyAlignment="1">
      <alignment horizontal="right"/>
    </xf>
    <xf numFmtId="169" fontId="29" fillId="27" borderId="164" xfId="0" applyNumberFormat="1" applyFont="1" applyFill="1" applyBorder="1" applyAlignment="1">
      <alignment horizontal="right"/>
    </xf>
    <xf numFmtId="169" fontId="29" fillId="27" borderId="160" xfId="0" applyNumberFormat="1" applyFont="1" applyFill="1" applyBorder="1" applyAlignment="1">
      <alignment horizontal="right"/>
    </xf>
    <xf numFmtId="169" fontId="29" fillId="27" borderId="153" xfId="0" applyNumberFormat="1" applyFont="1" applyFill="1" applyBorder="1" applyAlignment="1">
      <alignment horizontal="right"/>
    </xf>
    <xf numFmtId="169" fontId="29" fillId="27" borderId="165" xfId="0" applyNumberFormat="1" applyFont="1" applyFill="1" applyBorder="1" applyAlignment="1">
      <alignment horizontal="right"/>
    </xf>
    <xf numFmtId="169" fontId="29" fillId="27" borderId="154" xfId="0" applyNumberFormat="1" applyFont="1" applyFill="1" applyBorder="1" applyAlignment="1">
      <alignment horizontal="right"/>
    </xf>
    <xf numFmtId="169" fontId="29" fillId="27" borderId="166" xfId="0" applyNumberFormat="1" applyFont="1" applyFill="1" applyBorder="1" applyAlignment="1">
      <alignment horizontal="right"/>
    </xf>
    <xf numFmtId="169" fontId="29" fillId="27" borderId="161" xfId="0" applyNumberFormat="1" applyFont="1" applyFill="1" applyBorder="1" applyAlignment="1">
      <alignment horizontal="right"/>
    </xf>
    <xf numFmtId="169" fontId="29" fillId="27" borderId="155" xfId="0" applyNumberFormat="1" applyFont="1" applyFill="1" applyBorder="1" applyAlignment="1">
      <alignment horizontal="right"/>
    </xf>
    <xf numFmtId="169" fontId="29" fillId="8" borderId="165" xfId="0" applyNumberFormat="1" applyFont="1" applyFill="1" applyBorder="1" applyAlignment="1">
      <alignment horizontal="right"/>
    </xf>
    <xf numFmtId="169" fontId="29" fillId="8" borderId="154" xfId="0" applyNumberFormat="1" applyFont="1" applyFill="1" applyBorder="1" applyAlignment="1">
      <alignment horizontal="right"/>
    </xf>
    <xf numFmtId="169" fontId="29" fillId="8" borderId="166" xfId="0" applyNumberFormat="1" applyFont="1" applyFill="1" applyBorder="1" applyAlignment="1">
      <alignment horizontal="right"/>
    </xf>
    <xf numFmtId="169" fontId="29" fillId="8" borderId="161" xfId="0" applyNumberFormat="1" applyFont="1" applyFill="1" applyBorder="1" applyAlignment="1">
      <alignment horizontal="right"/>
    </xf>
    <xf numFmtId="169" fontId="29" fillId="8" borderId="155" xfId="0" applyNumberFormat="1" applyFont="1" applyFill="1" applyBorder="1" applyAlignment="1">
      <alignment horizontal="right"/>
    </xf>
    <xf numFmtId="169" fontId="29" fillId="6" borderId="165" xfId="0" applyNumberFormat="1" applyFont="1" applyFill="1" applyBorder="1" applyAlignment="1">
      <alignment horizontal="right"/>
    </xf>
    <xf numFmtId="169" fontId="29" fillId="6" borderId="154" xfId="0" applyNumberFormat="1" applyFont="1" applyFill="1" applyBorder="1" applyAlignment="1">
      <alignment horizontal="right"/>
    </xf>
    <xf numFmtId="169" fontId="29" fillId="6" borderId="166" xfId="0" applyNumberFormat="1" applyFont="1" applyFill="1" applyBorder="1" applyAlignment="1">
      <alignment horizontal="right"/>
    </xf>
    <xf numFmtId="169" fontId="29" fillId="6" borderId="161" xfId="0" applyNumberFormat="1" applyFont="1" applyFill="1" applyBorder="1" applyAlignment="1">
      <alignment horizontal="right"/>
    </xf>
    <xf numFmtId="169" fontId="29" fillId="6" borderId="155" xfId="0" applyNumberFormat="1" applyFont="1" applyFill="1" applyBorder="1" applyAlignment="1">
      <alignment horizontal="right"/>
    </xf>
    <xf numFmtId="0" fontId="40" fillId="0" borderId="0" xfId="0" applyFont="1"/>
    <xf numFmtId="0" fontId="40" fillId="0" borderId="0" xfId="0" applyFont="1" applyFill="1" applyBorder="1" applyAlignment="1"/>
    <xf numFmtId="0" fontId="40" fillId="0" borderId="0" xfId="0" applyFont="1" applyFill="1"/>
    <xf numFmtId="0" fontId="37" fillId="0" borderId="0" xfId="0" applyFont="1" applyFill="1" applyBorder="1" applyAlignment="1">
      <alignment horizontal="center" shrinkToFit="1"/>
    </xf>
    <xf numFmtId="4" fontId="40" fillId="0" borderId="0" xfId="0" applyNumberFormat="1" applyFont="1" applyFill="1" applyBorder="1"/>
    <xf numFmtId="0" fontId="22" fillId="4" borderId="0" xfId="0" applyFont="1" applyFill="1" applyAlignment="1">
      <alignment horizontal="center"/>
    </xf>
    <xf numFmtId="0" fontId="22" fillId="8" borderId="0" xfId="0" applyFont="1" applyFill="1" applyAlignment="1">
      <alignment horizontal="center"/>
    </xf>
    <xf numFmtId="14" fontId="19" fillId="14" borderId="81" xfId="0" applyNumberFormat="1" applyFont="1" applyFill="1" applyBorder="1" applyAlignment="1">
      <alignment horizontal="center"/>
    </xf>
    <xf numFmtId="4" fontId="0" fillId="12" borderId="11" xfId="0" applyNumberFormat="1" applyFill="1" applyBorder="1" applyAlignment="1">
      <alignment horizontal="right" vertical="center"/>
    </xf>
    <xf numFmtId="4" fontId="0" fillId="12" borderId="13" xfId="0" applyNumberFormat="1" applyFill="1" applyBorder="1" applyAlignment="1">
      <alignment horizontal="right" vertical="center"/>
    </xf>
    <xf numFmtId="0" fontId="0" fillId="11" borderId="11" xfId="0" applyFill="1" applyBorder="1" applyAlignment="1" applyProtection="1">
      <alignment horizontal="left" vertical="center"/>
      <protection locked="0"/>
    </xf>
    <xf numFmtId="0" fontId="0" fillId="11" borderId="12" xfId="0" applyFill="1" applyBorder="1" applyAlignment="1" applyProtection="1">
      <alignment horizontal="left" vertical="center"/>
      <protection locked="0"/>
    </xf>
    <xf numFmtId="0" fontId="0" fillId="11" borderId="13" xfId="0" applyFill="1" applyBorder="1" applyAlignment="1" applyProtection="1">
      <alignment horizontal="left" vertical="center"/>
      <protection locked="0"/>
    </xf>
    <xf numFmtId="0" fontId="0" fillId="12" borderId="11" xfId="0" applyFill="1" applyBorder="1" applyAlignment="1" applyProtection="1">
      <alignment vertical="center"/>
      <protection locked="0"/>
    </xf>
    <xf numFmtId="0" fontId="0" fillId="12" borderId="12" xfId="0" applyFill="1" applyBorder="1" applyAlignment="1" applyProtection="1">
      <alignment vertical="center"/>
      <protection locked="0"/>
    </xf>
    <xf numFmtId="0" fontId="0" fillId="12" borderId="13" xfId="0" applyFill="1" applyBorder="1" applyAlignment="1" applyProtection="1">
      <alignment vertical="center"/>
      <protection locked="0"/>
    </xf>
    <xf numFmtId="164" fontId="0" fillId="11" borderId="3" xfId="0" applyNumberFormat="1" applyFill="1" applyBorder="1" applyAlignment="1" applyProtection="1">
      <alignment horizontal="center" vertical="center"/>
      <protection locked="0"/>
    </xf>
    <xf numFmtId="164" fontId="0" fillId="11" borderId="4" xfId="0" applyNumberFormat="1" applyFill="1" applyBorder="1" applyAlignment="1" applyProtection="1">
      <alignment horizontal="center" vertical="center"/>
      <protection locked="0"/>
    </xf>
    <xf numFmtId="164" fontId="0" fillId="11" borderId="5" xfId="0" applyNumberFormat="1" applyFill="1" applyBorder="1" applyAlignment="1" applyProtection="1">
      <alignment horizontal="center" vertical="center"/>
      <protection locked="0"/>
    </xf>
    <xf numFmtId="165" fontId="0" fillId="8" borderId="0" xfId="0" applyNumberFormat="1" applyFill="1" applyAlignment="1">
      <alignment horizontal="left"/>
    </xf>
    <xf numFmtId="0" fontId="4" fillId="8" borderId="0" xfId="0" applyFont="1" applyFill="1" applyAlignment="1">
      <alignment horizontal="left"/>
    </xf>
    <xf numFmtId="0" fontId="5" fillId="10" borderId="6" xfId="0" applyFont="1" applyFill="1" applyBorder="1" applyAlignment="1">
      <alignment horizontal="right" vertical="center"/>
    </xf>
    <xf numFmtId="0" fontId="5" fillId="10" borderId="7" xfId="0" applyFont="1" applyFill="1" applyBorder="1" applyAlignment="1">
      <alignment horizontal="right" vertical="center"/>
    </xf>
    <xf numFmtId="4" fontId="0" fillId="11" borderId="11" xfId="0" applyNumberFormat="1" applyFill="1" applyBorder="1" applyAlignment="1" applyProtection="1">
      <alignment horizontal="right" vertical="center"/>
      <protection locked="0"/>
    </xf>
    <xf numFmtId="4" fontId="0" fillId="11" borderId="13" xfId="0" applyNumberFormat="1" applyFill="1" applyBorder="1" applyAlignment="1" applyProtection="1">
      <alignment horizontal="right" vertical="center"/>
      <protection locked="0"/>
    </xf>
    <xf numFmtId="0" fontId="0" fillId="11" borderId="11" xfId="0" applyFill="1" applyBorder="1" applyAlignment="1" applyProtection="1">
      <alignment horizontal="center" vertical="center"/>
      <protection locked="0"/>
    </xf>
    <xf numFmtId="0" fontId="0" fillId="11" borderId="12" xfId="0" applyFill="1" applyBorder="1" applyAlignment="1" applyProtection="1">
      <alignment horizontal="center" vertical="center"/>
      <protection locked="0"/>
    </xf>
    <xf numFmtId="0" fontId="0" fillId="11" borderId="13" xfId="0" applyFill="1" applyBorder="1" applyAlignment="1" applyProtection="1">
      <alignment horizontal="center" vertical="center"/>
      <protection locked="0"/>
    </xf>
    <xf numFmtId="168" fontId="2" fillId="6" borderId="0" xfId="0" applyNumberFormat="1" applyFont="1" applyFill="1" applyBorder="1" applyAlignment="1">
      <alignment horizontal="center" vertical="top" shrinkToFit="1"/>
    </xf>
    <xf numFmtId="0" fontId="2" fillId="6" borderId="0" xfId="0" applyFont="1" applyFill="1" applyBorder="1" applyAlignment="1">
      <alignment horizontal="center" vertical="top" shrinkToFit="1"/>
    </xf>
    <xf numFmtId="0" fontId="44" fillId="6" borderId="0" xfId="0" applyFont="1" applyFill="1" applyBorder="1" applyAlignment="1">
      <alignment horizontal="center" vertical="top"/>
    </xf>
    <xf numFmtId="0" fontId="42" fillId="7" borderId="134" xfId="0" applyFont="1" applyFill="1" applyBorder="1" applyAlignment="1">
      <alignment horizontal="center" vertical="center" shrinkToFit="1"/>
    </xf>
    <xf numFmtId="0" fontId="42" fillId="7" borderId="135" xfId="0" applyFont="1" applyFill="1" applyBorder="1" applyAlignment="1">
      <alignment horizontal="center" vertical="center" shrinkToFit="1"/>
    </xf>
    <xf numFmtId="0" fontId="42" fillId="7" borderId="136" xfId="0" applyFont="1" applyFill="1" applyBorder="1" applyAlignment="1">
      <alignment horizontal="center" vertical="center" shrinkToFit="1"/>
    </xf>
    <xf numFmtId="0" fontId="0" fillId="6" borderId="0" xfId="0" applyFill="1" applyBorder="1" applyAlignment="1" applyProtection="1">
      <alignment horizontal="center" vertical="top" shrinkToFit="1"/>
      <protection locked="0"/>
    </xf>
    <xf numFmtId="0" fontId="0" fillId="6" borderId="0" xfId="0" applyFill="1" applyBorder="1" applyAlignment="1">
      <alignment horizontal="left" vertical="top" shrinkToFit="1"/>
    </xf>
    <xf numFmtId="0" fontId="0" fillId="6" borderId="0" xfId="0" applyFill="1" applyBorder="1" applyAlignment="1" applyProtection="1">
      <alignment horizontal="left" vertical="top" shrinkToFit="1"/>
      <protection locked="0"/>
    </xf>
    <xf numFmtId="0" fontId="41" fillId="7" borderId="134" xfId="0" applyFont="1" applyFill="1" applyBorder="1" applyAlignment="1">
      <alignment horizontal="center" vertical="center"/>
    </xf>
    <xf numFmtId="0" fontId="41" fillId="7" borderId="135" xfId="0" applyFont="1" applyFill="1" applyBorder="1" applyAlignment="1">
      <alignment horizontal="center" vertical="center"/>
    </xf>
    <xf numFmtId="0" fontId="41" fillId="7" borderId="136" xfId="0" applyFont="1" applyFill="1" applyBorder="1" applyAlignment="1">
      <alignment horizontal="center" vertical="center"/>
    </xf>
    <xf numFmtId="0" fontId="1" fillId="10" borderId="98" xfId="0" applyFont="1" applyFill="1" applyBorder="1" applyAlignment="1">
      <alignment horizontal="center" shrinkToFit="1"/>
    </xf>
    <xf numFmtId="0" fontId="1" fillId="10" borderId="97" xfId="0" applyFont="1" applyFill="1" applyBorder="1" applyAlignment="1">
      <alignment horizontal="center" shrinkToFit="1"/>
    </xf>
    <xf numFmtId="0" fontId="1" fillId="10" borderId="99" xfId="0" applyFont="1" applyFill="1" applyBorder="1" applyAlignment="1">
      <alignment horizontal="center" shrinkToFit="1"/>
    </xf>
    <xf numFmtId="0" fontId="1" fillId="5" borderId="132" xfId="0" applyFont="1" applyFill="1" applyBorder="1" applyAlignment="1">
      <alignment horizontal="center" vertical="center"/>
    </xf>
    <xf numFmtId="0" fontId="1" fillId="19" borderId="21" xfId="0" applyFont="1" applyFill="1" applyBorder="1" applyAlignment="1">
      <alignment horizontal="center"/>
    </xf>
    <xf numFmtId="0" fontId="1" fillId="19" borderId="22" xfId="0" applyFont="1" applyFill="1" applyBorder="1" applyAlignment="1">
      <alignment horizontal="center"/>
    </xf>
    <xf numFmtId="0" fontId="1" fillId="19" borderId="23" xfId="0" applyFont="1" applyFill="1" applyBorder="1" applyAlignment="1">
      <alignment horizontal="center"/>
    </xf>
    <xf numFmtId="0" fontId="1" fillId="18" borderId="75" xfId="0" applyFont="1" applyFill="1" applyBorder="1" applyAlignment="1" applyProtection="1">
      <alignment horizontal="center" vertical="center"/>
      <protection locked="0"/>
    </xf>
    <xf numFmtId="0" fontId="1" fillId="18" borderId="76" xfId="0" applyFont="1" applyFill="1" applyBorder="1" applyAlignment="1" applyProtection="1">
      <alignment horizontal="center" vertical="center"/>
      <protection locked="0"/>
    </xf>
    <xf numFmtId="0" fontId="25" fillId="5" borderId="54" xfId="0" applyFont="1" applyFill="1" applyBorder="1" applyAlignment="1">
      <alignment horizontal="center" vertical="center" wrapText="1"/>
    </xf>
    <xf numFmtId="0" fontId="25" fillId="5" borderId="77" xfId="0" applyFont="1" applyFill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center" vertical="center"/>
    </xf>
    <xf numFmtId="0" fontId="25" fillId="2" borderId="56" xfId="0" applyFont="1" applyFill="1" applyBorder="1" applyAlignment="1">
      <alignment horizontal="center" vertical="center"/>
    </xf>
    <xf numFmtId="0" fontId="25" fillId="19" borderId="25" xfId="0" applyFont="1" applyFill="1" applyBorder="1" applyAlignment="1">
      <alignment horizontal="center" vertical="center" wrapText="1"/>
    </xf>
    <xf numFmtId="0" fontId="25" fillId="19" borderId="56" xfId="0" applyFont="1" applyFill="1" applyBorder="1" applyAlignment="1">
      <alignment horizontal="center" vertical="center" wrapText="1"/>
    </xf>
    <xf numFmtId="0" fontId="25" fillId="15" borderId="7" xfId="0" applyFont="1" applyFill="1" applyBorder="1" applyAlignment="1">
      <alignment horizontal="center" vertical="center" shrinkToFit="1"/>
    </xf>
    <xf numFmtId="0" fontId="25" fillId="15" borderId="57" xfId="0" applyFont="1" applyFill="1" applyBorder="1" applyAlignment="1">
      <alignment horizontal="center" vertical="center" shrinkToFit="1"/>
    </xf>
    <xf numFmtId="0" fontId="25" fillId="15" borderId="7" xfId="0" applyFont="1" applyFill="1" applyBorder="1" applyAlignment="1">
      <alignment horizontal="center" vertical="center" wrapText="1"/>
    </xf>
    <xf numFmtId="0" fontId="25" fillId="15" borderId="57" xfId="0" applyFont="1" applyFill="1" applyBorder="1" applyAlignment="1">
      <alignment horizontal="center" vertical="center" wrapText="1"/>
    </xf>
    <xf numFmtId="0" fontId="25" fillId="2" borderId="24" xfId="0" applyFont="1" applyFill="1" applyBorder="1" applyAlignment="1">
      <alignment horizontal="center" vertical="center"/>
    </xf>
    <xf numFmtId="0" fontId="25" fillId="2" borderId="26" xfId="0" applyFont="1" applyFill="1" applyBorder="1" applyAlignment="1">
      <alignment horizontal="center" vertical="center"/>
    </xf>
    <xf numFmtId="0" fontId="1" fillId="20" borderId="21" xfId="0" applyFont="1" applyFill="1" applyBorder="1" applyAlignment="1">
      <alignment horizontal="center" vertical="center"/>
    </xf>
    <xf numFmtId="0" fontId="1" fillId="20" borderId="23" xfId="0" applyFont="1" applyFill="1" applyBorder="1" applyAlignment="1">
      <alignment horizontal="center" vertical="center"/>
    </xf>
    <xf numFmtId="0" fontId="25" fillId="4" borderId="7" xfId="0" applyFont="1" applyFill="1" applyBorder="1" applyAlignment="1">
      <alignment horizontal="center" vertical="center" wrapText="1"/>
    </xf>
    <xf numFmtId="0" fontId="25" fillId="4" borderId="57" xfId="0" applyFont="1" applyFill="1" applyBorder="1" applyAlignment="1">
      <alignment horizontal="center" vertical="center" wrapText="1"/>
    </xf>
    <xf numFmtId="0" fontId="25" fillId="13" borderId="25" xfId="0" applyFont="1" applyFill="1" applyBorder="1" applyAlignment="1">
      <alignment horizontal="center" vertical="center" wrapText="1"/>
    </xf>
    <xf numFmtId="0" fontId="25" fillId="13" borderId="56" xfId="0" applyFont="1" applyFill="1" applyBorder="1" applyAlignment="1">
      <alignment horizontal="center" vertical="center" wrapText="1"/>
    </xf>
    <xf numFmtId="0" fontId="1" fillId="13" borderId="21" xfId="0" applyFont="1" applyFill="1" applyBorder="1" applyAlignment="1">
      <alignment horizontal="center"/>
    </xf>
    <xf numFmtId="0" fontId="1" fillId="13" borderId="22" xfId="0" applyFont="1" applyFill="1" applyBorder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25" fillId="15" borderId="24" xfId="0" applyFont="1" applyFill="1" applyBorder="1" applyAlignment="1">
      <alignment horizontal="center" wrapText="1"/>
    </xf>
    <xf numFmtId="0" fontId="25" fillId="15" borderId="26" xfId="0" applyFont="1" applyFill="1" applyBorder="1" applyAlignment="1">
      <alignment horizontal="center" wrapText="1"/>
    </xf>
    <xf numFmtId="0" fontId="25" fillId="14" borderId="7" xfId="0" applyFont="1" applyFill="1" applyBorder="1" applyAlignment="1">
      <alignment horizontal="center" vertical="center" wrapText="1"/>
    </xf>
    <xf numFmtId="0" fontId="25" fillId="14" borderId="57" xfId="0" applyFont="1" applyFill="1" applyBorder="1" applyAlignment="1">
      <alignment horizontal="center" vertical="center" wrapText="1"/>
    </xf>
    <xf numFmtId="0" fontId="25" fillId="4" borderId="24" xfId="0" applyFont="1" applyFill="1" applyBorder="1" applyAlignment="1">
      <alignment horizontal="center" vertical="center" wrapText="1"/>
    </xf>
    <xf numFmtId="0" fontId="25" fillId="4" borderId="26" xfId="0" applyFont="1" applyFill="1" applyBorder="1" applyAlignment="1">
      <alignment horizontal="center" vertical="center" wrapText="1"/>
    </xf>
    <xf numFmtId="0" fontId="25" fillId="5" borderId="53" xfId="0" applyFont="1" applyFill="1" applyBorder="1" applyAlignment="1">
      <alignment horizontal="center" vertical="center" wrapText="1"/>
    </xf>
    <xf numFmtId="0" fontId="25" fillId="5" borderId="102" xfId="0" applyFont="1" applyFill="1" applyBorder="1" applyAlignment="1">
      <alignment horizontal="center" vertical="center" wrapText="1"/>
    </xf>
    <xf numFmtId="0" fontId="25" fillId="5" borderId="101" xfId="0" applyFont="1" applyFill="1" applyBorder="1" applyAlignment="1">
      <alignment horizontal="center" vertical="center" wrapText="1"/>
    </xf>
    <xf numFmtId="0" fontId="25" fillId="5" borderId="104" xfId="0" applyFont="1" applyFill="1" applyBorder="1" applyAlignment="1">
      <alignment horizontal="center" vertical="center" wrapText="1"/>
    </xf>
    <xf numFmtId="0" fontId="25" fillId="5" borderId="100" xfId="0" applyFont="1" applyFill="1" applyBorder="1" applyAlignment="1">
      <alignment horizontal="center" vertical="center" wrapText="1"/>
    </xf>
    <xf numFmtId="0" fontId="25" fillId="5" borderId="103" xfId="0" applyFont="1" applyFill="1" applyBorder="1" applyAlignment="1">
      <alignment horizontal="center" vertical="center" wrapText="1"/>
    </xf>
    <xf numFmtId="0" fontId="33" fillId="6" borderId="109" xfId="0" applyFont="1" applyFill="1" applyBorder="1" applyAlignment="1">
      <alignment horizontal="center"/>
    </xf>
    <xf numFmtId="0" fontId="33" fillId="6" borderId="110" xfId="0" applyFont="1" applyFill="1" applyBorder="1" applyAlignment="1">
      <alignment horizontal="center"/>
    </xf>
    <xf numFmtId="0" fontId="33" fillId="6" borderId="91" xfId="0" applyFont="1" applyFill="1" applyBorder="1" applyAlignment="1">
      <alignment horizontal="center"/>
    </xf>
    <xf numFmtId="0" fontId="33" fillId="6" borderId="105" xfId="0" applyFont="1" applyFill="1" applyBorder="1" applyAlignment="1">
      <alignment horizontal="center"/>
    </xf>
    <xf numFmtId="0" fontId="33" fillId="6" borderId="84" xfId="0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 shrinkToFit="1"/>
    </xf>
    <xf numFmtId="0" fontId="0" fillId="13" borderId="83" xfId="0" applyFill="1" applyBorder="1" applyAlignment="1">
      <alignment horizontal="center"/>
    </xf>
    <xf numFmtId="0" fontId="0" fillId="13" borderId="84" xfId="0" applyFill="1" applyBorder="1" applyAlignment="1">
      <alignment horizontal="center"/>
    </xf>
    <xf numFmtId="0" fontId="0" fillId="23" borderId="95" xfId="0" applyFill="1" applyBorder="1" applyAlignment="1">
      <alignment horizontal="center" shrinkToFit="1"/>
    </xf>
    <xf numFmtId="0" fontId="0" fillId="23" borderId="96" xfId="0" applyFill="1" applyBorder="1" applyAlignment="1">
      <alignment horizontal="center" shrinkToFit="1"/>
    </xf>
    <xf numFmtId="0" fontId="1" fillId="18" borderId="75" xfId="0" applyFont="1" applyFill="1" applyBorder="1" applyAlignment="1" applyProtection="1">
      <alignment horizontal="center" vertical="center" shrinkToFit="1"/>
      <protection locked="0"/>
    </xf>
    <xf numFmtId="0" fontId="1" fillId="18" borderId="76" xfId="0" applyFont="1" applyFill="1" applyBorder="1" applyAlignment="1" applyProtection="1">
      <alignment horizontal="center" vertical="center" shrinkToFit="1"/>
      <protection locked="0"/>
    </xf>
    <xf numFmtId="0" fontId="1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1" fillId="0" borderId="0" xfId="0" applyFont="1" applyBorder="1" applyAlignment="1">
      <alignment horizontal="right" vertical="center"/>
    </xf>
    <xf numFmtId="0" fontId="14" fillId="0" borderId="0" xfId="0" applyFont="1" applyBorder="1" applyAlignment="1">
      <alignment horizontal="right"/>
    </xf>
    <xf numFmtId="0" fontId="15" fillId="0" borderId="0" xfId="0" applyFont="1" applyAlignment="1">
      <alignment horizontal="center" vertical="center"/>
    </xf>
    <xf numFmtId="0" fontId="19" fillId="17" borderId="36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15" fillId="0" borderId="36" xfId="0" applyFont="1" applyBorder="1" applyAlignment="1">
      <alignment horizontal="center" vertical="center"/>
    </xf>
    <xf numFmtId="0" fontId="23" fillId="0" borderId="0" xfId="1" applyAlignment="1">
      <alignment horizontal="center"/>
    </xf>
    <xf numFmtId="0" fontId="23" fillId="0" borderId="0" xfId="1" applyAlignment="1">
      <alignment horizontal="center" shrinkToFit="1"/>
    </xf>
  </cellXfs>
  <cellStyles count="2">
    <cellStyle name="Hyperlink" xfId="1" builtinId="8"/>
    <cellStyle name="Normal" xfId="0" builtinId="0"/>
  </cellStyles>
  <dxfs count="1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numFmt numFmtId="166" formatCode="0###\-###\-####"/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numFmt numFmtId="166" formatCode="0###\-###\-####"/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1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alignment horizontal="general" vertical="bottom" textRotation="0" wrapText="0" indent="0" justifyLastLine="0" shrinkToFit="1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1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1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3409]mmmm\ dd\,\ yyyy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3409]mmmm\ dd\,\ yyyy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fill>
        <patternFill patternType="solid">
          <fgColor indexed="64"/>
          <bgColor theme="8" tint="0.59999389629810485"/>
        </patternFill>
      </fill>
      <alignment horizontal="general" vertical="bottom" textRotation="0" wrapText="0" indent="0" justifyLastLine="0" shrinkToFit="1" readingOrder="0"/>
    </dxf>
    <dxf>
      <numFmt numFmtId="0" formatCode="General"/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3409]mmmm\ dd\,\ yyyy;@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general" vertical="bottom" textRotation="0" wrapText="0" indent="0" justifyLastLine="0" shrinkToFit="1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1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3409]mmmm\ dd\,\ yyyy;@"/>
      <alignment horizontal="general" vertical="bottom" textRotation="0" wrapText="0" indent="0" justifyLastLine="0" shrinkToFit="1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alignment horizontal="general" vertical="bottom" textRotation="0" wrapText="0" indent="0" justifyLastLine="0" shrinkToFit="1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1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1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alignment horizontal="general" vertical="bottom" textRotation="0" wrapText="0" indent="0" justifyLastLine="0" shrinkToFit="1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1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alignment horizontal="general" vertical="bottom" textRotation="0" wrapText="0" indent="0" justifyLastLine="0" shrinkToFit="1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alignment horizontal="general" vertical="bottom" textRotation="0" wrapText="0" indent="0" justifyLastLine="0" shrinkToFit="1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bottom" textRotation="0" wrapText="0" indent="0" justifyLastLine="0" shrinkToFit="1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border>
        <top style="dotted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bottom" textRotation="0" wrapText="0" indent="0" justifyLastLine="0" shrinkToFit="1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dotted">
          <color auto="1"/>
        </horizontal>
      </border>
    </dxf>
    <dxf>
      <alignment horizontal="left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1" readingOrder="0"/>
    </dxf>
    <dxf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1" readingOrder="0"/>
    </dxf>
    <dxf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1" readingOrder="0"/>
    </dxf>
    <dxf>
      <fill>
        <patternFill patternType="solid">
          <fgColor indexed="64"/>
          <bgColor theme="9" tint="0.79998168889431442"/>
        </patternFill>
      </fill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numFmt numFmtId="164" formatCode="[$-3409]mmmm\ dd\,\ yyyy;@"/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border outline="0">
        <top style="thin">
          <color auto="1"/>
        </top>
      </border>
    </dxf>
    <dxf>
      <alignment horizontal="left" vertical="bottom" textRotation="0" wrapText="0" indent="0" justifyLastLine="0" shrinkToFit="1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left" vertical="bottom" textRotation="0" wrapText="0" indent="0" justifyLastLine="0" shrinkToFit="1" readingOrder="0"/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border outline="0">
        <top style="hair">
          <color auto="1"/>
        </top>
      </border>
    </dxf>
    <dxf>
      <border outline="0">
        <bottom style="hair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font>
        <color auto="1"/>
      </font>
      <fill>
        <patternFill>
          <bgColor theme="7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auto="1"/>
      </font>
      <fill>
        <patternFill>
          <bgColor theme="7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/>
        <color auto="1"/>
      </font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9" tint="-0.499984740745262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9" tint="-0.499984740745262"/>
      </font>
    </dxf>
    <dxf>
      <font>
        <b/>
        <i val="0"/>
        <color theme="9" tint="-0.499984740745262"/>
      </font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9" tint="-0.499984740745262"/>
      </font>
    </dxf>
    <dxf>
      <font>
        <b/>
        <i val="0"/>
        <color theme="9" tint="-0.499984740745262"/>
      </font>
    </dxf>
    <dxf>
      <font>
        <b/>
        <i val="0"/>
        <color theme="9" tint="-0.499984740745262"/>
      </font>
    </dxf>
    <dxf>
      <font>
        <b/>
        <i val="0"/>
        <color theme="9" tint="-0.499984740745262"/>
      </font>
    </dxf>
    <dxf>
      <font>
        <b/>
        <i val="0"/>
        <color theme="9" tint="-0.499984740745262"/>
      </font>
    </dxf>
    <dxf>
      <font>
        <b/>
        <i val="0"/>
        <color theme="9" tint="-0.499984740745262"/>
      </font>
    </dxf>
    <dxf>
      <font>
        <b/>
        <i val="0"/>
        <color theme="9" tint="-0.499984740745262"/>
      </font>
    </dxf>
    <dxf>
      <font>
        <b/>
        <i val="0"/>
        <color theme="9" tint="-0.499984740745262"/>
      </font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9" tint="-0.499984740745262"/>
      </font>
    </dxf>
    <dxf>
      <font>
        <b/>
        <i val="0"/>
        <color theme="0"/>
      </font>
      <fill>
        <gradientFill degree="90">
          <stop position="0">
            <color theme="8" tint="-0.49803155613879818"/>
          </stop>
          <stop position="1">
            <color theme="8" tint="-0.25098422193060094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gradientFill degree="90">
          <stop position="0">
            <color theme="8" tint="-0.49803155613879818"/>
          </stop>
          <stop position="1">
            <color theme="8" tint="-0.25098422193060094"/>
          </stop>
        </gradient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FF00"/>
      </font>
      <fill>
        <gradientFill degree="90">
          <stop position="0">
            <color theme="9" tint="-0.25098422193060094"/>
          </stop>
          <stop position="0.5">
            <color theme="9" tint="0.40000610370189521"/>
          </stop>
          <stop position="1">
            <color theme="9" tint="-0.25098422193060094"/>
          </stop>
        </gradient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6F5D7"/>
      <color rgb="FF273C18"/>
      <color rgb="FFEAF3FA"/>
      <color rgb="FFFFFA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chemeClr val="accent6">
                    <a:lumMod val="50000"/>
                  </a:schemeClr>
                </a:solidFill>
              </a:rPr>
              <a:t>Month</a:t>
            </a:r>
            <a:r>
              <a:rPr lang="en-US" sz="1400" baseline="0">
                <a:solidFill>
                  <a:schemeClr val="accent6">
                    <a:lumMod val="50000"/>
                  </a:schemeClr>
                </a:solidFill>
              </a:rPr>
              <a:t> To Date Status</a:t>
            </a:r>
            <a:endParaRPr lang="en-US" sz="1400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22-4E1F-B1AE-0F4B7891CD6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22-4E1F-B1AE-0F4B7891CD6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B22-4E1F-B1AE-0F4B7891CD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(MAIN_DASHBOARD!$F$5,MAIN_DASHBOARD!$F$6,MAIN_DASHBOARD!$F$7)</c:f>
              <c:strCache>
                <c:ptCount val="3"/>
                <c:pt idx="0">
                  <c:v>GROSS SALES</c:v>
                </c:pt>
                <c:pt idx="1">
                  <c:v>PURCHASES</c:v>
                </c:pt>
                <c:pt idx="2">
                  <c:v>EXPENSES</c:v>
                </c:pt>
              </c:strCache>
            </c:strRef>
          </c:cat>
          <c:val>
            <c:numRef>
              <c:f>(MAIN_DASHBOARD!$H$5,MAIN_DASHBOARD!$H$6,MAIN_DASHBOARD!$H$7)</c:f>
              <c:numCache>
                <c:formatCode>#,##0.00_ ;[Red]\-#,##0.00\ </c:formatCode>
                <c:ptCount val="3"/>
                <c:pt idx="0">
                  <c:v>4431</c:v>
                </c:pt>
                <c:pt idx="1">
                  <c:v>14020</c:v>
                </c:pt>
                <c:pt idx="2">
                  <c:v>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64-49F3-9B69-820FCD292C5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Year</a:t>
            </a:r>
            <a:r>
              <a:rPr lang="en-US" sz="1600" baseline="0"/>
              <a:t> To Date Status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83-4B1C-921C-6CBB5CF3DF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83-4B1C-921C-6CBB5CF3DFE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83-4B1C-921C-6CBB5CF3D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(MAIN_DASHBOARD!$F$5,MAIN_DASHBOARD!$F$6,MAIN_DASHBOARD!$F$7)</c:f>
              <c:strCache>
                <c:ptCount val="3"/>
                <c:pt idx="0">
                  <c:v>GROSS SALES</c:v>
                </c:pt>
                <c:pt idx="1">
                  <c:v>PURCHASES</c:v>
                </c:pt>
                <c:pt idx="2">
                  <c:v>EXPENSES</c:v>
                </c:pt>
              </c:strCache>
            </c:strRef>
          </c:cat>
          <c:val>
            <c:numRef>
              <c:f>(MAIN_DASHBOARD!$I$5,MAIN_DASHBOARD!$I$6,MAIN_DASHBOARD!$I$7)</c:f>
              <c:numCache>
                <c:formatCode>#,##0.00_ ;[Red]\-#,##0.00\ </c:formatCode>
                <c:ptCount val="3"/>
                <c:pt idx="0">
                  <c:v>4856</c:v>
                </c:pt>
                <c:pt idx="1">
                  <c:v>14180</c:v>
                </c:pt>
                <c:pt idx="2">
                  <c:v>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C-42E2-A580-9E012A982D2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Year 2024 Monthly</a:t>
            </a:r>
            <a:r>
              <a:rPr lang="en-US" sz="1200" b="1" baseline="0">
                <a:solidFill>
                  <a:schemeClr val="accent6">
                    <a:lumMod val="50000"/>
                  </a:schemeClr>
                </a:solidFill>
              </a:rPr>
              <a:t> - Gross Sales vs Purchase vs Expenses</a:t>
            </a:r>
            <a:endParaRPr lang="en-US" sz="1200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Gross Sales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AnalysisTable!$C$8:$C$19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AnalysisTable!$D$8:$D$19</c:f>
              <c:numCache>
                <c:formatCode>#,##0.00_ ;[Red]\-#,##0.00\ </c:formatCode>
                <c:ptCount val="12"/>
                <c:pt idx="0">
                  <c:v>4431</c:v>
                </c:pt>
                <c:pt idx="1">
                  <c:v>425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75-4377-8FE4-9E52DED42078}"/>
            </c:ext>
          </c:extLst>
        </c:ser>
        <c:ser>
          <c:idx val="1"/>
          <c:order val="1"/>
          <c:tx>
            <c:v>Purchases</c:v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AnalysisTable!$C$8:$C$19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AnalysisTable!$E$8:$E$19</c:f>
              <c:numCache>
                <c:formatCode>#,##0.00_ ;[Red]\-#,##0.00\ </c:formatCode>
                <c:ptCount val="12"/>
                <c:pt idx="0">
                  <c:v>14020</c:v>
                </c:pt>
                <c:pt idx="1">
                  <c:v>160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75-4377-8FE4-9E52DED42078}"/>
            </c:ext>
          </c:extLst>
        </c:ser>
        <c:ser>
          <c:idx val="2"/>
          <c:order val="2"/>
          <c:tx>
            <c:v>Expenses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AnalysisTable!$C$8:$C$19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AnalysisTable!$F$8:$F$19</c:f>
              <c:numCache>
                <c:formatCode>#,##0.00_ ;[Red]\-#,##0.00\ </c:formatCode>
                <c:ptCount val="12"/>
                <c:pt idx="0">
                  <c:v>254</c:v>
                </c:pt>
                <c:pt idx="1">
                  <c:v>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75-4377-8FE4-9E52DED42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96649023"/>
        <c:axId val="1096651519"/>
        <c:axId val="0"/>
      </c:bar3DChart>
      <c:catAx>
        <c:axId val="1096649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6651519"/>
        <c:crosses val="autoZero"/>
        <c:auto val="1"/>
        <c:lblAlgn val="ctr"/>
        <c:lblOffset val="100"/>
        <c:noMultiLvlLbl val="0"/>
      </c:catAx>
      <c:valAx>
        <c:axId val="109665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6649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yrollTemplate!A1"/><Relationship Id="rId2" Type="http://schemas.openxmlformats.org/officeDocument/2006/relationships/hyperlink" Target="#ExpensesMenu!A1"/><Relationship Id="rId1" Type="http://schemas.openxmlformats.org/officeDocument/2006/relationships/hyperlink" Target="#CashSalesMenu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AIN_DASHBOARD!A1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MAIN_DASHBOARD!A1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MAIN_DASHBOARD!A1"/><Relationship Id="rId1" Type="http://schemas.openxmlformats.org/officeDocument/2006/relationships/hyperlink" Target="#EmpProfil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_DASHBOARD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180974</xdr:colOff>
      <xdr:row>13</xdr:row>
      <xdr:rowOff>114300</xdr:rowOff>
    </xdr:from>
    <xdr:to>
      <xdr:col>4</xdr:col>
      <xdr:colOff>312419</xdr:colOff>
      <xdr:row>15</xdr:row>
      <xdr:rowOff>104775</xdr:rowOff>
    </xdr:to>
    <xdr:sp macro="[0]!gotoSalesMenu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90574" y="2447925"/>
          <a:ext cx="1645920" cy="371475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400" b="1">
              <a:solidFill>
                <a:srgbClr val="273C18"/>
              </a:solidFill>
            </a:rPr>
            <a:t>SALES</a:t>
          </a:r>
          <a:r>
            <a:rPr lang="en-US" sz="1400" b="1" baseline="0">
              <a:solidFill>
                <a:srgbClr val="273C18"/>
              </a:solidFill>
            </a:rPr>
            <a:t> MENU</a:t>
          </a:r>
          <a:endParaRPr lang="en-US" sz="1400" b="1">
            <a:solidFill>
              <a:srgbClr val="273C18"/>
            </a:solidFill>
          </a:endParaRPr>
        </a:p>
      </xdr:txBody>
    </xdr:sp>
    <xdr:clientData/>
  </xdr:twoCellAnchor>
  <xdr:twoCellAnchor editAs="oneCell">
    <xdr:from>
      <xdr:col>1</xdr:col>
      <xdr:colOff>180975</xdr:colOff>
      <xdr:row>16</xdr:row>
      <xdr:rowOff>66675</xdr:rowOff>
    </xdr:from>
    <xdr:to>
      <xdr:col>4</xdr:col>
      <xdr:colOff>312420</xdr:colOff>
      <xdr:row>18</xdr:row>
      <xdr:rowOff>57150</xdr:rowOff>
    </xdr:to>
    <xdr:sp macro="[0]!gotoPurchaseMenu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90575" y="2971800"/>
          <a:ext cx="1645920" cy="371475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400" b="1" baseline="0">
              <a:solidFill>
                <a:srgbClr val="273C18"/>
              </a:solidFill>
            </a:rPr>
            <a:t>PURCHASE MENU</a:t>
          </a:r>
          <a:endParaRPr lang="en-US" sz="1400" b="1">
            <a:solidFill>
              <a:srgbClr val="273C18"/>
            </a:solidFill>
          </a:endParaRPr>
        </a:p>
      </xdr:txBody>
    </xdr:sp>
    <xdr:clientData/>
  </xdr:twoCellAnchor>
  <xdr:twoCellAnchor editAs="oneCell">
    <xdr:from>
      <xdr:col>1</xdr:col>
      <xdr:colOff>180975</xdr:colOff>
      <xdr:row>19</xdr:row>
      <xdr:rowOff>47625</xdr:rowOff>
    </xdr:from>
    <xdr:to>
      <xdr:col>4</xdr:col>
      <xdr:colOff>312420</xdr:colOff>
      <xdr:row>21</xdr:row>
      <xdr:rowOff>38100</xdr:rowOff>
    </xdr:to>
    <xdr:sp macro="" textlink="">
      <xdr:nvSpPr>
        <xdr:cNvPr id="7" name="Rectangle: Rounded Corner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90575" y="3524250"/>
          <a:ext cx="1645920" cy="371475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400" b="1">
              <a:solidFill>
                <a:srgbClr val="273C18"/>
              </a:solidFill>
            </a:rPr>
            <a:t>CASH</a:t>
          </a:r>
          <a:r>
            <a:rPr lang="en-US" sz="1400" b="1" baseline="0">
              <a:solidFill>
                <a:srgbClr val="273C18"/>
              </a:solidFill>
            </a:rPr>
            <a:t> SALES MENU</a:t>
          </a:r>
          <a:endParaRPr lang="en-US" sz="1400" b="1">
            <a:solidFill>
              <a:srgbClr val="273C18"/>
            </a:solidFill>
          </a:endParaRPr>
        </a:p>
      </xdr:txBody>
    </xdr:sp>
    <xdr:clientData/>
  </xdr:twoCellAnchor>
  <xdr:twoCellAnchor editAs="oneCell">
    <xdr:from>
      <xdr:col>1</xdr:col>
      <xdr:colOff>180975</xdr:colOff>
      <xdr:row>22</xdr:row>
      <xdr:rowOff>28575</xdr:rowOff>
    </xdr:from>
    <xdr:to>
      <xdr:col>4</xdr:col>
      <xdr:colOff>312420</xdr:colOff>
      <xdr:row>24</xdr:row>
      <xdr:rowOff>19050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90575" y="4076700"/>
          <a:ext cx="1645920" cy="371475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400" b="1" baseline="0">
              <a:solidFill>
                <a:srgbClr val="273C18"/>
              </a:solidFill>
            </a:rPr>
            <a:t>EXPENSES MENU</a:t>
          </a:r>
          <a:endParaRPr lang="en-US" sz="1400" b="1">
            <a:solidFill>
              <a:srgbClr val="273C18"/>
            </a:solidFill>
          </a:endParaRPr>
        </a:p>
      </xdr:txBody>
    </xdr:sp>
    <xdr:clientData/>
  </xdr:twoCellAnchor>
  <xdr:twoCellAnchor editAs="oneCell">
    <xdr:from>
      <xdr:col>1</xdr:col>
      <xdr:colOff>180975</xdr:colOff>
      <xdr:row>24</xdr:row>
      <xdr:rowOff>171450</xdr:rowOff>
    </xdr:from>
    <xdr:to>
      <xdr:col>4</xdr:col>
      <xdr:colOff>312420</xdr:colOff>
      <xdr:row>26</xdr:row>
      <xdr:rowOff>161925</xdr:rowOff>
    </xdr:to>
    <xdr:sp macro="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90575" y="4600575"/>
          <a:ext cx="1645920" cy="371475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400" b="1" baseline="0">
              <a:solidFill>
                <a:srgbClr val="273C18"/>
              </a:solidFill>
            </a:rPr>
            <a:t>SALARY MENU</a:t>
          </a:r>
          <a:endParaRPr lang="en-US" sz="1400" b="1">
            <a:solidFill>
              <a:srgbClr val="273C18"/>
            </a:solidFill>
          </a:endParaRPr>
        </a:p>
      </xdr:txBody>
    </xdr:sp>
    <xdr:clientData/>
  </xdr:twoCellAnchor>
  <xdr:twoCellAnchor editAs="oneCell">
    <xdr:from>
      <xdr:col>21</xdr:col>
      <xdr:colOff>342900</xdr:colOff>
      <xdr:row>16</xdr:row>
      <xdr:rowOff>57150</xdr:rowOff>
    </xdr:from>
    <xdr:to>
      <xdr:col>24</xdr:col>
      <xdr:colOff>280035</xdr:colOff>
      <xdr:row>18</xdr:row>
      <xdr:rowOff>57149</xdr:rowOff>
    </xdr:to>
    <xdr:sp macro="[0]!btnAddCustom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992100" y="3114675"/>
          <a:ext cx="1508760" cy="38099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>
              <a:solidFill>
                <a:srgbClr val="273C18"/>
              </a:solidFill>
            </a:rPr>
            <a:t>ADD</a:t>
          </a:r>
          <a:r>
            <a:rPr lang="en-US" sz="1200" b="1" baseline="0">
              <a:solidFill>
                <a:srgbClr val="273C18"/>
              </a:solidFill>
            </a:rPr>
            <a:t> NEW CUSTOMER</a:t>
          </a:r>
          <a:endParaRPr lang="en-US" sz="1200" b="1">
            <a:solidFill>
              <a:srgbClr val="273C18"/>
            </a:solidFill>
          </a:endParaRPr>
        </a:p>
      </xdr:txBody>
    </xdr:sp>
    <xdr:clientData/>
  </xdr:twoCellAnchor>
  <xdr:twoCellAnchor editAs="oneCell">
    <xdr:from>
      <xdr:col>21</xdr:col>
      <xdr:colOff>342900</xdr:colOff>
      <xdr:row>19</xdr:row>
      <xdr:rowOff>38100</xdr:rowOff>
    </xdr:from>
    <xdr:to>
      <xdr:col>24</xdr:col>
      <xdr:colOff>280035</xdr:colOff>
      <xdr:row>21</xdr:row>
      <xdr:rowOff>38099</xdr:rowOff>
    </xdr:to>
    <xdr:sp macro="[0]!btnAddSupplier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2992100" y="3667125"/>
          <a:ext cx="1508760" cy="38099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>
              <a:solidFill>
                <a:srgbClr val="273C18"/>
              </a:solidFill>
            </a:rPr>
            <a:t>ADD</a:t>
          </a:r>
          <a:r>
            <a:rPr lang="en-US" sz="1200" b="1" baseline="0">
              <a:solidFill>
                <a:srgbClr val="273C18"/>
              </a:solidFill>
            </a:rPr>
            <a:t> NEW SUPPLIER</a:t>
          </a:r>
          <a:endParaRPr lang="en-US" sz="1200" b="1">
            <a:solidFill>
              <a:srgbClr val="273C18"/>
            </a:solidFill>
          </a:endParaRPr>
        </a:p>
      </xdr:txBody>
    </xdr:sp>
    <xdr:clientData/>
  </xdr:twoCellAnchor>
  <xdr:twoCellAnchor editAs="oneCell">
    <xdr:from>
      <xdr:col>21</xdr:col>
      <xdr:colOff>342900</xdr:colOff>
      <xdr:row>13</xdr:row>
      <xdr:rowOff>104775</xdr:rowOff>
    </xdr:from>
    <xdr:to>
      <xdr:col>24</xdr:col>
      <xdr:colOff>280035</xdr:colOff>
      <xdr:row>15</xdr:row>
      <xdr:rowOff>104774</xdr:rowOff>
    </xdr:to>
    <xdr:sp macro="[0]!btnAddItemNew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2992100" y="2590800"/>
          <a:ext cx="1508760" cy="38099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>
              <a:solidFill>
                <a:srgbClr val="273C18"/>
              </a:solidFill>
            </a:rPr>
            <a:t>ADD</a:t>
          </a:r>
          <a:r>
            <a:rPr lang="en-US" sz="1200" b="1" baseline="0">
              <a:solidFill>
                <a:srgbClr val="273C18"/>
              </a:solidFill>
            </a:rPr>
            <a:t> NEW ITEM</a:t>
          </a:r>
          <a:endParaRPr lang="en-US" sz="1200" b="1">
            <a:solidFill>
              <a:srgbClr val="273C18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</xdr:row>
          <xdr:rowOff>38100</xdr:rowOff>
        </xdr:from>
        <xdr:to>
          <xdr:col>25</xdr:col>
          <xdr:colOff>19050</xdr:colOff>
          <xdr:row>10</xdr:row>
          <xdr:rowOff>142875</xdr:rowOff>
        </xdr:to>
        <xdr:sp macro="" textlink="">
          <xdr:nvSpPr>
            <xdr:cNvPr id="1028" name="cbSearchM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352425</xdr:colOff>
      <xdr:row>23</xdr:row>
      <xdr:rowOff>152400</xdr:rowOff>
    </xdr:from>
    <xdr:to>
      <xdr:col>24</xdr:col>
      <xdr:colOff>289560</xdr:colOff>
      <xdr:row>25</xdr:row>
      <xdr:rowOff>133350</xdr:rowOff>
    </xdr:to>
    <xdr:sp macro="[0]!btnEmpPro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001625" y="4543425"/>
          <a:ext cx="1508760" cy="36195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rgbClr val="273C18"/>
              </a:solidFill>
            </a:rPr>
            <a:t>EMPLOYEE</a:t>
          </a:r>
          <a:r>
            <a:rPr lang="en-US" sz="1200" b="1" baseline="0">
              <a:solidFill>
                <a:srgbClr val="273C18"/>
              </a:solidFill>
            </a:rPr>
            <a:t> PROFILE</a:t>
          </a:r>
          <a:endParaRPr lang="en-US" sz="1200" b="1">
            <a:solidFill>
              <a:srgbClr val="273C18"/>
            </a:solidFill>
          </a:endParaRPr>
        </a:p>
      </xdr:txBody>
    </xdr:sp>
    <xdr:clientData/>
  </xdr:twoCellAnchor>
  <xdr:twoCellAnchor>
    <xdr:from>
      <xdr:col>5</xdr:col>
      <xdr:colOff>190501</xdr:colOff>
      <xdr:row>10</xdr:row>
      <xdr:rowOff>185737</xdr:rowOff>
    </xdr:from>
    <xdr:to>
      <xdr:col>8</xdr:col>
      <xdr:colOff>209551</xdr:colOff>
      <xdr:row>25</xdr:row>
      <xdr:rowOff>100012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104776</xdr:colOff>
      <xdr:row>10</xdr:row>
      <xdr:rowOff>185737</xdr:rowOff>
    </xdr:from>
    <xdr:to>
      <xdr:col>20</xdr:col>
      <xdr:colOff>514351</xdr:colOff>
      <xdr:row>25</xdr:row>
      <xdr:rowOff>100012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404813</xdr:colOff>
      <xdr:row>10</xdr:row>
      <xdr:rowOff>185737</xdr:rowOff>
    </xdr:from>
    <xdr:to>
      <xdr:col>16</xdr:col>
      <xdr:colOff>566738</xdr:colOff>
      <xdr:row>25</xdr:row>
      <xdr:rowOff>100012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84667</xdr:colOff>
      <xdr:row>1</xdr:row>
      <xdr:rowOff>10583</xdr:rowOff>
    </xdr:from>
    <xdr:to>
      <xdr:col>4</xdr:col>
      <xdr:colOff>137583</xdr:colOff>
      <xdr:row>9</xdr:row>
      <xdr:rowOff>21166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5750" y="201083"/>
          <a:ext cx="1576916" cy="1576916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INSERT</a:t>
          </a:r>
          <a:r>
            <a:rPr lang="en-US" sz="1600" b="1" baseline="0"/>
            <a:t> LOGO HERE</a:t>
          </a:r>
          <a:endParaRPr lang="en-US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78238</xdr:colOff>
      <xdr:row>2</xdr:row>
      <xdr:rowOff>38100</xdr:rowOff>
    </xdr:from>
    <xdr:ext cx="1086195" cy="18787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183763" y="1085850"/>
          <a:ext cx="108619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 baseline="0">
              <a:latin typeface="+mn-lt"/>
              <a:cs typeface="Arial" panose="020B0604020202020204" pitchFamily="34" charset="0"/>
            </a:rPr>
            <a:t>Transaction Date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22</xdr:col>
      <xdr:colOff>130880</xdr:colOff>
      <xdr:row>4</xdr:row>
      <xdr:rowOff>0</xdr:rowOff>
    </xdr:from>
    <xdr:ext cx="1033553" cy="18787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50705" y="1485900"/>
          <a:ext cx="103355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Customer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Name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28</xdr:col>
      <xdr:colOff>286787</xdr:colOff>
      <xdr:row>2</xdr:row>
      <xdr:rowOff>47625</xdr:rowOff>
    </xdr:from>
    <xdr:ext cx="450701" cy="18787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4640962" y="1095375"/>
          <a:ext cx="450701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OR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No.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28</xdr:col>
      <xdr:colOff>223629</xdr:colOff>
      <xdr:row>4</xdr:row>
      <xdr:rowOff>0</xdr:rowOff>
    </xdr:from>
    <xdr:ext cx="513859" cy="18787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281904" y="1485900"/>
          <a:ext cx="5138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Ref.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No.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22</xdr:col>
      <xdr:colOff>100937</xdr:colOff>
      <xdr:row>5</xdr:row>
      <xdr:rowOff>142875</xdr:rowOff>
    </xdr:from>
    <xdr:ext cx="1063496" cy="18787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6206462" y="1809750"/>
          <a:ext cx="1063496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Item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Description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25</xdr:col>
      <xdr:colOff>139700</xdr:colOff>
      <xdr:row>9</xdr:row>
      <xdr:rowOff>171450</xdr:rowOff>
    </xdr:from>
    <xdr:ext cx="316177" cy="18787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13541375" y="2733675"/>
          <a:ext cx="31617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Price</a:t>
          </a:r>
        </a:p>
      </xdr:txBody>
    </xdr:sp>
    <xdr:clientData/>
  </xdr:oneCellAnchor>
  <xdr:oneCellAnchor>
    <xdr:from>
      <xdr:col>23</xdr:col>
      <xdr:colOff>600075</xdr:colOff>
      <xdr:row>9</xdr:row>
      <xdr:rowOff>171450</xdr:rowOff>
    </xdr:from>
    <xdr:ext cx="231795" cy="18787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429500" y="2733675"/>
          <a:ext cx="23179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Qty</a:t>
          </a:r>
        </a:p>
      </xdr:txBody>
    </xdr:sp>
    <xdr:clientData/>
  </xdr:oneCellAnchor>
  <xdr:oneCellAnchor>
    <xdr:from>
      <xdr:col>28</xdr:col>
      <xdr:colOff>12700</xdr:colOff>
      <xdr:row>9</xdr:row>
      <xdr:rowOff>171450</xdr:rowOff>
    </xdr:from>
    <xdr:ext cx="561757" cy="187872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14366875" y="2733675"/>
          <a:ext cx="5617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Discount</a:t>
          </a:r>
        </a:p>
      </xdr:txBody>
    </xdr:sp>
    <xdr:clientData/>
  </xdr:oneCellAnchor>
  <xdr:oneCellAnchor>
    <xdr:from>
      <xdr:col>31</xdr:col>
      <xdr:colOff>139701</xdr:colOff>
      <xdr:row>7</xdr:row>
      <xdr:rowOff>38100</xdr:rowOff>
    </xdr:from>
    <xdr:ext cx="516680" cy="156518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5970251" y="2200275"/>
          <a:ext cx="51668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000" b="1" i="0" baseline="0">
              <a:latin typeface="+mn-lt"/>
              <a:cs typeface="Arial" panose="020B0604020202020204" pitchFamily="34" charset="0"/>
            </a:rPr>
            <a:t>Inventory</a:t>
          </a:r>
          <a:endParaRPr lang="en-US" sz="1000" b="1" i="0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29</xdr:col>
      <xdr:colOff>119064</xdr:colOff>
      <xdr:row>7</xdr:row>
      <xdr:rowOff>38100</xdr:rowOff>
    </xdr:from>
    <xdr:ext cx="571247" cy="156518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5139989" y="2200275"/>
          <a:ext cx="57124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000" b="1" i="0">
              <a:latin typeface="+mn-lt"/>
              <a:cs typeface="Arial" panose="020B0604020202020204" pitchFamily="34" charset="0"/>
            </a:rPr>
            <a:t>COST</a:t>
          </a:r>
          <a:r>
            <a:rPr lang="en-US" sz="1000" b="1" i="0" baseline="0">
              <a:latin typeface="+mn-lt"/>
              <a:cs typeface="Arial" panose="020B0604020202020204" pitchFamily="34" charset="0"/>
            </a:rPr>
            <a:t> Price</a:t>
          </a:r>
          <a:endParaRPr lang="en-US" sz="1000" b="1" i="0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27</xdr:col>
      <xdr:colOff>136526</xdr:colOff>
      <xdr:row>7</xdr:row>
      <xdr:rowOff>38100</xdr:rowOff>
    </xdr:from>
    <xdr:ext cx="493533" cy="156518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14347826" y="2200275"/>
          <a:ext cx="493533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000" b="1" i="0">
              <a:latin typeface="+mn-lt"/>
              <a:cs typeface="Arial" panose="020B0604020202020204" pitchFamily="34" charset="0"/>
            </a:rPr>
            <a:t>SRP</a:t>
          </a:r>
          <a:r>
            <a:rPr lang="en-US" sz="1000" b="1" i="0" baseline="0">
              <a:latin typeface="+mn-lt"/>
              <a:cs typeface="Arial" panose="020B0604020202020204" pitchFamily="34" charset="0"/>
            </a:rPr>
            <a:t> Price</a:t>
          </a:r>
          <a:endParaRPr lang="en-US" sz="1000" b="1" i="0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31</xdr:col>
      <xdr:colOff>9526</xdr:colOff>
      <xdr:row>9</xdr:row>
      <xdr:rowOff>171450</xdr:rowOff>
    </xdr:from>
    <xdr:ext cx="325987" cy="187872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5840076" y="2733675"/>
          <a:ext cx="32598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Total</a:t>
          </a:r>
        </a:p>
      </xdr:txBody>
    </xdr:sp>
    <xdr:clientData/>
  </xdr:oneCellAnchor>
  <xdr:oneCellAnchor>
    <xdr:from>
      <xdr:col>23</xdr:col>
      <xdr:colOff>600075</xdr:colOff>
      <xdr:row>7</xdr:row>
      <xdr:rowOff>38100</xdr:rowOff>
    </xdr:from>
    <xdr:ext cx="278346" cy="156518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12725400" y="2200275"/>
          <a:ext cx="278346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000" b="1" i="0">
              <a:latin typeface="+mn-lt"/>
              <a:cs typeface="Arial" panose="020B0604020202020204" pitchFamily="34" charset="0"/>
            </a:rPr>
            <a:t>SKU#</a:t>
          </a:r>
        </a:p>
      </xdr:txBody>
    </xdr:sp>
    <xdr:clientData/>
  </xdr:oneCellAnchor>
  <xdr:oneCellAnchor>
    <xdr:from>
      <xdr:col>25</xdr:col>
      <xdr:colOff>134938</xdr:colOff>
      <xdr:row>7</xdr:row>
      <xdr:rowOff>38100</xdr:rowOff>
    </xdr:from>
    <xdr:ext cx="257571" cy="156518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13536613" y="2200275"/>
          <a:ext cx="257571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000" b="1" i="0">
              <a:latin typeface="+mn-lt"/>
              <a:cs typeface="Arial" panose="020B0604020202020204" pitchFamily="34" charset="0"/>
            </a:rPr>
            <a:t>Type</a:t>
          </a:r>
        </a:p>
      </xdr:txBody>
    </xdr:sp>
    <xdr:clientData/>
  </xdr:oneCellAnchor>
  <xdr:oneCellAnchor>
    <xdr:from>
      <xdr:col>28</xdr:col>
      <xdr:colOff>503371</xdr:colOff>
      <xdr:row>16</xdr:row>
      <xdr:rowOff>13335</xdr:rowOff>
    </xdr:from>
    <xdr:ext cx="912750" cy="187872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 txBox="1"/>
      </xdr:nvSpPr>
      <xdr:spPr>
        <a:xfrm>
          <a:off x="14857546" y="4032885"/>
          <a:ext cx="912750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Cash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Received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30</xdr:col>
      <xdr:colOff>133481</xdr:colOff>
      <xdr:row>18</xdr:row>
      <xdr:rowOff>0</xdr:rowOff>
    </xdr:from>
    <xdr:ext cx="473015" cy="187872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15297281" y="4457700"/>
          <a:ext cx="47301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Change</a:t>
          </a:r>
        </a:p>
      </xdr:txBody>
    </xdr:sp>
    <xdr:clientData/>
  </xdr:oneCellAnchor>
  <xdr:twoCellAnchor editAs="oneCell">
    <xdr:from>
      <xdr:col>22</xdr:col>
      <xdr:colOff>114301</xdr:colOff>
      <xdr:row>6</xdr:row>
      <xdr:rowOff>228600</xdr:rowOff>
    </xdr:from>
    <xdr:to>
      <xdr:col>23</xdr:col>
      <xdr:colOff>304801</xdr:colOff>
      <xdr:row>8</xdr:row>
      <xdr:rowOff>142874</xdr:rowOff>
    </xdr:to>
    <xdr:sp macro="[0]!refNum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15020926" y="2152650"/>
          <a:ext cx="800100" cy="380999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050" b="1">
              <a:solidFill>
                <a:schemeClr val="tx1"/>
              </a:solidFill>
            </a:rPr>
            <a:t>CREATE</a:t>
          </a:r>
        </a:p>
        <a:p>
          <a:pPr algn="ctr"/>
          <a:r>
            <a:rPr lang="en-US" sz="1050" b="1">
              <a:solidFill>
                <a:schemeClr val="tx1"/>
              </a:solidFill>
            </a:rPr>
            <a:t>REF NO.</a:t>
          </a:r>
        </a:p>
      </xdr:txBody>
    </xdr:sp>
    <xdr:clientData/>
  </xdr:twoCellAnchor>
  <xdr:oneCellAnchor>
    <xdr:from>
      <xdr:col>28</xdr:col>
      <xdr:colOff>500870</xdr:colOff>
      <xdr:row>14</xdr:row>
      <xdr:rowOff>17145</xdr:rowOff>
    </xdr:from>
    <xdr:ext cx="915251" cy="187872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 txBox="1"/>
      </xdr:nvSpPr>
      <xdr:spPr>
        <a:xfrm>
          <a:off x="14855045" y="3598545"/>
          <a:ext cx="915251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Total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Amount 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22</xdr:col>
      <xdr:colOff>114301</xdr:colOff>
      <xdr:row>10</xdr:row>
      <xdr:rowOff>161925</xdr:rowOff>
    </xdr:from>
    <xdr:to>
      <xdr:col>23</xdr:col>
      <xdr:colOff>304801</xdr:colOff>
      <xdr:row>12</xdr:row>
      <xdr:rowOff>104774</xdr:rowOff>
    </xdr:to>
    <xdr:sp macro="[0]!addToCart" textlink="">
      <xdr:nvSpPr>
        <xdr:cNvPr id="58" name="Rectangle: Rounded Corners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15020926" y="2914650"/>
          <a:ext cx="800100" cy="380999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050" b="1">
              <a:solidFill>
                <a:schemeClr val="tx1"/>
              </a:solidFill>
            </a:rPr>
            <a:t>ADD</a:t>
          </a:r>
          <a:r>
            <a:rPr lang="en-US" sz="1050" b="1" baseline="0">
              <a:solidFill>
                <a:schemeClr val="tx1"/>
              </a:solidFill>
            </a:rPr>
            <a:t> TO </a:t>
          </a:r>
        </a:p>
        <a:p>
          <a:pPr algn="ctr"/>
          <a:r>
            <a:rPr lang="en-US" sz="1050" b="1" baseline="0">
              <a:solidFill>
                <a:schemeClr val="tx1"/>
              </a:solidFill>
            </a:rPr>
            <a:t>CART</a:t>
          </a:r>
          <a:endParaRPr lang="en-US" sz="105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22</xdr:col>
      <xdr:colOff>114301</xdr:colOff>
      <xdr:row>14</xdr:row>
      <xdr:rowOff>95250</xdr:rowOff>
    </xdr:from>
    <xdr:to>
      <xdr:col>24</xdr:col>
      <xdr:colOff>200025</xdr:colOff>
      <xdr:row>16</xdr:row>
      <xdr:rowOff>38099</xdr:rowOff>
    </xdr:to>
    <xdr:sp macro="[0]!SalesOrder.saveSalesToFile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15020926" y="3676650"/>
          <a:ext cx="1304924" cy="380999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050" b="1">
              <a:solidFill>
                <a:schemeClr val="tx1"/>
              </a:solidFill>
            </a:rPr>
            <a:t>SAVE</a:t>
          </a:r>
          <a:r>
            <a:rPr lang="en-US" sz="1050" b="1" baseline="0">
              <a:solidFill>
                <a:schemeClr val="tx1"/>
              </a:solidFill>
            </a:rPr>
            <a:t> SALES TO FILE</a:t>
          </a:r>
          <a:endParaRPr lang="en-US" sz="105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171450</xdr:colOff>
          <xdr:row>0</xdr:row>
          <xdr:rowOff>790575</xdr:rowOff>
        </xdr:from>
        <xdr:to>
          <xdr:col>33</xdr:col>
          <xdr:colOff>0</xdr:colOff>
          <xdr:row>1</xdr:row>
          <xdr:rowOff>180975</xdr:rowOff>
        </xdr:to>
        <xdr:sp macro="" textlink="">
          <xdr:nvSpPr>
            <xdr:cNvPr id="7196" name="txtDate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3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32</xdr:col>
      <xdr:colOff>410152</xdr:colOff>
      <xdr:row>5</xdr:row>
      <xdr:rowOff>190500</xdr:rowOff>
    </xdr:from>
    <xdr:to>
      <xdr:col>33</xdr:col>
      <xdr:colOff>84506</xdr:colOff>
      <xdr:row>7</xdr:row>
      <xdr:rowOff>76200</xdr:rowOff>
    </xdr:to>
    <xdr:pic macro="[0]!UserFormModule.Main"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74477" y="1914525"/>
          <a:ext cx="341104" cy="323850"/>
        </a:xfrm>
        <a:prstGeom prst="rect">
          <a:avLst/>
        </a:prstGeom>
      </xdr:spPr>
    </xdr:pic>
    <xdr:clientData/>
  </xdr:twoCellAnchor>
  <xdr:twoCellAnchor editAs="oneCell">
    <xdr:from>
      <xdr:col>30</xdr:col>
      <xdr:colOff>1</xdr:colOff>
      <xdr:row>10</xdr:row>
      <xdr:rowOff>180975</xdr:rowOff>
    </xdr:from>
    <xdr:to>
      <xdr:col>30</xdr:col>
      <xdr:colOff>523875</xdr:colOff>
      <xdr:row>12</xdr:row>
      <xdr:rowOff>0</xdr:rowOff>
    </xdr:to>
    <xdr:sp macro="[0]!salesUpdateBySelection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20193001" y="2933700"/>
          <a:ext cx="523874" cy="257175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050" b="1" baseline="0">
              <a:solidFill>
                <a:schemeClr val="tx1"/>
              </a:solidFill>
            </a:rPr>
            <a:t>UPDATE</a:t>
          </a:r>
        </a:p>
      </xdr:txBody>
    </xdr:sp>
    <xdr:clientData/>
  </xdr:twoCellAnchor>
  <xdr:twoCellAnchor editAs="oneCell">
    <xdr:from>
      <xdr:col>22</xdr:col>
      <xdr:colOff>104775</xdr:colOff>
      <xdr:row>17</xdr:row>
      <xdr:rowOff>9525</xdr:rowOff>
    </xdr:from>
    <xdr:to>
      <xdr:col>23</xdr:col>
      <xdr:colOff>295275</xdr:colOff>
      <xdr:row>18</xdr:row>
      <xdr:rowOff>190499</xdr:rowOff>
    </xdr:to>
    <xdr:sp macro="[0]!CreateSOA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6649700" y="4267200"/>
          <a:ext cx="800100" cy="380999"/>
        </a:xfrm>
        <a:prstGeom prst="roundRect">
          <a:avLst/>
        </a:prstGeom>
        <a:gradFill>
          <a:gsLst>
            <a:gs pos="38000">
              <a:schemeClr val="accent1">
                <a:satMod val="103000"/>
                <a:lumMod val="102000"/>
                <a:tint val="94000"/>
              </a:schemeClr>
            </a:gs>
            <a:gs pos="64000">
              <a:schemeClr val="accent1">
                <a:satMod val="110000"/>
                <a:lumMod val="100000"/>
                <a:shade val="100000"/>
              </a:schemeClr>
            </a:gs>
            <a:gs pos="94000">
              <a:schemeClr val="accent1">
                <a:lumMod val="99000"/>
                <a:satMod val="120000"/>
                <a:shade val="78000"/>
              </a:schemeClr>
            </a:gs>
          </a:gsLst>
        </a:gra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050" b="1" baseline="0">
              <a:solidFill>
                <a:schemeClr val="tx1"/>
              </a:solidFill>
            </a:rPr>
            <a:t>CREATE</a:t>
          </a:r>
        </a:p>
        <a:p>
          <a:pPr algn="ctr"/>
          <a:r>
            <a:rPr lang="en-US" sz="1050" b="1" baseline="0">
              <a:solidFill>
                <a:schemeClr val="tx1"/>
              </a:solidFill>
            </a:rPr>
            <a:t>SOA</a:t>
          </a:r>
        </a:p>
      </xdr:txBody>
    </xdr:sp>
    <xdr:clientData/>
  </xdr:twoCellAnchor>
  <xdr:twoCellAnchor editAs="oneCell">
    <xdr:from>
      <xdr:col>23</xdr:col>
      <xdr:colOff>571499</xdr:colOff>
      <xdr:row>17</xdr:row>
      <xdr:rowOff>9525</xdr:rowOff>
    </xdr:from>
    <xdr:to>
      <xdr:col>26</xdr:col>
      <xdr:colOff>361949</xdr:colOff>
      <xdr:row>18</xdr:row>
      <xdr:rowOff>190499</xdr:rowOff>
    </xdr:to>
    <xdr:sp macro="[0]!CreateIR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7726024" y="4267200"/>
          <a:ext cx="1209675" cy="380999"/>
        </a:xfrm>
        <a:prstGeom prst="roundRect">
          <a:avLst/>
        </a:prstGeom>
        <a:gradFill>
          <a:gsLst>
            <a:gs pos="38000">
              <a:schemeClr val="accent1">
                <a:satMod val="103000"/>
                <a:lumMod val="102000"/>
                <a:tint val="94000"/>
              </a:schemeClr>
            </a:gs>
            <a:gs pos="64000">
              <a:schemeClr val="accent1">
                <a:satMod val="110000"/>
                <a:lumMod val="100000"/>
                <a:shade val="100000"/>
              </a:schemeClr>
            </a:gs>
            <a:gs pos="94000">
              <a:schemeClr val="accent1">
                <a:lumMod val="99000"/>
                <a:satMod val="120000"/>
                <a:shade val="78000"/>
              </a:schemeClr>
            </a:gs>
          </a:gsLst>
        </a:gra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050" b="1" baseline="0">
              <a:solidFill>
                <a:schemeClr val="tx1"/>
              </a:solidFill>
            </a:rPr>
            <a:t>CREATE</a:t>
          </a:r>
        </a:p>
        <a:p>
          <a:pPr algn="ctr"/>
          <a:r>
            <a:rPr lang="en-US" sz="1050" b="1" baseline="0">
              <a:solidFill>
                <a:schemeClr val="tx1"/>
              </a:solidFill>
            </a:rPr>
            <a:t>INVOICE RECEIPT</a:t>
          </a:r>
        </a:p>
      </xdr:txBody>
    </xdr:sp>
    <xdr:clientData/>
  </xdr:twoCellAnchor>
  <xdr:twoCellAnchor editAs="oneCell">
    <xdr:from>
      <xdr:col>2</xdr:col>
      <xdr:colOff>47625</xdr:colOff>
      <xdr:row>0</xdr:row>
      <xdr:rowOff>104775</xdr:rowOff>
    </xdr:from>
    <xdr:to>
      <xdr:col>3</xdr:col>
      <xdr:colOff>561975</xdr:colOff>
      <xdr:row>0</xdr:row>
      <xdr:rowOff>838200</xdr:rowOff>
    </xdr:to>
    <xdr:sp macro="" textlink="">
      <xdr:nvSpPr>
        <xdr:cNvPr id="29" name="Arrow: Left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47625" y="104775"/>
          <a:ext cx="1123950" cy="733425"/>
        </a:xfrm>
        <a:prstGeom prst="lef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BACK</a:t>
          </a:r>
          <a:r>
            <a:rPr lang="en-US" sz="900" baseline="0">
              <a:solidFill>
                <a:schemeClr val="tx1"/>
              </a:solidFill>
            </a:rPr>
            <a:t> TO </a:t>
          </a:r>
        </a:p>
        <a:p>
          <a:pPr algn="ctr"/>
          <a:r>
            <a:rPr lang="en-US" sz="900" baseline="0">
              <a:solidFill>
                <a:schemeClr val="tx1"/>
              </a:solidFill>
            </a:rPr>
            <a:t>MAIN DASHBOARD</a:t>
          </a:r>
          <a:endParaRPr lang="en-US" sz="9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22</xdr:col>
      <xdr:colOff>66676</xdr:colOff>
      <xdr:row>0</xdr:row>
      <xdr:rowOff>19050</xdr:rowOff>
    </xdr:from>
    <xdr:to>
      <xdr:col>23</xdr:col>
      <xdr:colOff>381000</xdr:colOff>
      <xdr:row>1</xdr:row>
      <xdr:rowOff>76200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5087601" y="19050"/>
          <a:ext cx="923924" cy="904875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/>
            <a:t>INSERT</a:t>
          </a:r>
          <a:r>
            <a:rPr lang="en-US" sz="1200" b="1" baseline="0"/>
            <a:t> LOGO HERE</a:t>
          </a:r>
          <a:endParaRPr lang="en-US" sz="12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78238</xdr:colOff>
      <xdr:row>2</xdr:row>
      <xdr:rowOff>38100</xdr:rowOff>
    </xdr:from>
    <xdr:ext cx="1086195" cy="18787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4984863" y="1085850"/>
          <a:ext cx="108619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 baseline="0">
              <a:latin typeface="+mn-lt"/>
              <a:cs typeface="Arial" panose="020B0604020202020204" pitchFamily="34" charset="0"/>
            </a:rPr>
            <a:t>Transaction Date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29</xdr:col>
      <xdr:colOff>130880</xdr:colOff>
      <xdr:row>3</xdr:row>
      <xdr:rowOff>161925</xdr:rowOff>
    </xdr:from>
    <xdr:ext cx="942950" cy="18787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4085005" y="1400175"/>
          <a:ext cx="942950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Supplier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Name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35</xdr:col>
      <xdr:colOff>286787</xdr:colOff>
      <xdr:row>2</xdr:row>
      <xdr:rowOff>47625</xdr:rowOff>
    </xdr:from>
    <xdr:ext cx="450701" cy="18787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8031862" y="1095375"/>
          <a:ext cx="450701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OR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No.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35</xdr:col>
      <xdr:colOff>42654</xdr:colOff>
      <xdr:row>4</xdr:row>
      <xdr:rowOff>0</xdr:rowOff>
    </xdr:from>
    <xdr:ext cx="787908" cy="18787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6911429" y="1438275"/>
          <a:ext cx="787908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Delivery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No.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29</xdr:col>
      <xdr:colOff>100937</xdr:colOff>
      <xdr:row>5</xdr:row>
      <xdr:rowOff>142875</xdr:rowOff>
    </xdr:from>
    <xdr:ext cx="1063496" cy="18787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5007562" y="1866900"/>
          <a:ext cx="1063496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Item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Description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32</xdr:col>
      <xdr:colOff>292100</xdr:colOff>
      <xdr:row>13</xdr:row>
      <xdr:rowOff>0</xdr:rowOff>
    </xdr:from>
    <xdr:ext cx="569515" cy="18787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6084550" y="3209925"/>
          <a:ext cx="56951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New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SRP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31</xdr:col>
      <xdr:colOff>47625</xdr:colOff>
      <xdr:row>10</xdr:row>
      <xdr:rowOff>0</xdr:rowOff>
    </xdr:from>
    <xdr:ext cx="550535" cy="18787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15220950" y="2619375"/>
          <a:ext cx="55053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 baseline="0">
              <a:latin typeface="+mn-lt"/>
              <a:cs typeface="Arial" panose="020B0604020202020204" pitchFamily="34" charset="0"/>
            </a:rPr>
            <a:t># of Qty.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30</xdr:col>
      <xdr:colOff>603250</xdr:colOff>
      <xdr:row>13</xdr:row>
      <xdr:rowOff>0</xdr:rowOff>
    </xdr:from>
    <xdr:to>
      <xdr:col>31</xdr:col>
      <xdr:colOff>499751</xdr:colOff>
      <xdr:row>13</xdr:row>
      <xdr:rowOff>152400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15166975" y="3209925"/>
          <a:ext cx="506101" cy="1524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Profit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%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twoCellAnchor>
  <xdr:oneCellAnchor>
    <xdr:from>
      <xdr:col>38</xdr:col>
      <xdr:colOff>215901</xdr:colOff>
      <xdr:row>7</xdr:row>
      <xdr:rowOff>104775</xdr:rowOff>
    </xdr:from>
    <xdr:ext cx="632545" cy="156518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18980151" y="2124075"/>
          <a:ext cx="63254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000" b="1" i="0" baseline="0">
              <a:latin typeface="+mn-lt"/>
              <a:cs typeface="Arial" panose="020B0604020202020204" pitchFamily="34" charset="0"/>
            </a:rPr>
            <a:t>Current Inv.</a:t>
          </a:r>
          <a:endParaRPr lang="en-US" sz="1000" b="1" i="0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36</xdr:col>
      <xdr:colOff>223839</xdr:colOff>
      <xdr:row>7</xdr:row>
      <xdr:rowOff>104775</xdr:rowOff>
    </xdr:from>
    <xdr:ext cx="571247" cy="156518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11482389" y="2124075"/>
          <a:ext cx="57124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000" b="1" i="0">
              <a:latin typeface="+mn-lt"/>
              <a:cs typeface="Arial" panose="020B0604020202020204" pitchFamily="34" charset="0"/>
            </a:rPr>
            <a:t>COST</a:t>
          </a:r>
          <a:r>
            <a:rPr lang="en-US" sz="1000" b="1" i="0" baseline="0">
              <a:latin typeface="+mn-lt"/>
              <a:cs typeface="Arial" panose="020B0604020202020204" pitchFamily="34" charset="0"/>
            </a:rPr>
            <a:t> Price</a:t>
          </a:r>
          <a:endParaRPr lang="en-US" sz="1000" b="1" i="0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35</xdr:col>
      <xdr:colOff>60326</xdr:colOff>
      <xdr:row>7</xdr:row>
      <xdr:rowOff>104775</xdr:rowOff>
    </xdr:from>
    <xdr:ext cx="493533" cy="156518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0699751" y="2124075"/>
          <a:ext cx="493533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000" b="1" i="0">
              <a:latin typeface="+mn-lt"/>
              <a:cs typeface="Arial" panose="020B0604020202020204" pitchFamily="34" charset="0"/>
            </a:rPr>
            <a:t>SRP</a:t>
          </a:r>
          <a:r>
            <a:rPr lang="en-US" sz="1000" b="1" i="0" baseline="0">
              <a:latin typeface="+mn-lt"/>
              <a:cs typeface="Arial" panose="020B0604020202020204" pitchFamily="34" charset="0"/>
            </a:rPr>
            <a:t> Price</a:t>
          </a:r>
          <a:endParaRPr lang="en-US" sz="1000" b="1" i="0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30</xdr:col>
      <xdr:colOff>600075</xdr:colOff>
      <xdr:row>7</xdr:row>
      <xdr:rowOff>104775</xdr:rowOff>
    </xdr:from>
    <xdr:ext cx="278346" cy="156518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15163800" y="2124075"/>
          <a:ext cx="278346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000" b="1" i="0">
              <a:latin typeface="+mn-lt"/>
              <a:cs typeface="Arial" panose="020B0604020202020204" pitchFamily="34" charset="0"/>
            </a:rPr>
            <a:t>SKU#</a:t>
          </a:r>
        </a:p>
      </xdr:txBody>
    </xdr:sp>
    <xdr:clientData/>
  </xdr:oneCellAnchor>
  <xdr:oneCellAnchor>
    <xdr:from>
      <xdr:col>32</xdr:col>
      <xdr:colOff>268288</xdr:colOff>
      <xdr:row>7</xdr:row>
      <xdr:rowOff>104775</xdr:rowOff>
    </xdr:from>
    <xdr:ext cx="257571" cy="156518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16336963" y="2124075"/>
          <a:ext cx="257571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000" b="1" i="0">
              <a:latin typeface="+mn-lt"/>
              <a:cs typeface="Arial" panose="020B0604020202020204" pitchFamily="34" charset="0"/>
            </a:rPr>
            <a:t>Type</a:t>
          </a:r>
        </a:p>
      </xdr:txBody>
    </xdr:sp>
    <xdr:clientData/>
  </xdr:oneCellAnchor>
  <xdr:oneCellAnchor>
    <xdr:from>
      <xdr:col>38</xdr:col>
      <xdr:colOff>179521</xdr:colOff>
      <xdr:row>10</xdr:row>
      <xdr:rowOff>0</xdr:rowOff>
    </xdr:from>
    <xdr:ext cx="657809" cy="187872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18591346" y="2619375"/>
          <a:ext cx="65780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Total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Item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oneCellAnchor>
    <xdr:from>
      <xdr:col>38</xdr:col>
      <xdr:colOff>138920</xdr:colOff>
      <xdr:row>13</xdr:row>
      <xdr:rowOff>0</xdr:rowOff>
    </xdr:from>
    <xdr:ext cx="754694" cy="187872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18550745" y="3209925"/>
          <a:ext cx="754694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Total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Profit 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29</xdr:col>
      <xdr:colOff>104776</xdr:colOff>
      <xdr:row>7</xdr:row>
      <xdr:rowOff>190500</xdr:rowOff>
    </xdr:from>
    <xdr:to>
      <xdr:col>30</xdr:col>
      <xdr:colOff>295276</xdr:colOff>
      <xdr:row>9</xdr:row>
      <xdr:rowOff>171449</xdr:rowOff>
    </xdr:to>
    <xdr:sp macro="[0]!addToList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4058901" y="2209800"/>
          <a:ext cx="800100" cy="390524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050" b="1">
              <a:solidFill>
                <a:schemeClr val="tx1"/>
              </a:solidFill>
            </a:rPr>
            <a:t>ADD</a:t>
          </a:r>
          <a:r>
            <a:rPr lang="en-US" sz="1050" b="1" baseline="0">
              <a:solidFill>
                <a:schemeClr val="tx1"/>
              </a:solidFill>
            </a:rPr>
            <a:t> TO </a:t>
          </a:r>
        </a:p>
        <a:p>
          <a:pPr algn="ctr"/>
          <a:r>
            <a:rPr lang="en-US" sz="1050" b="1" baseline="0">
              <a:solidFill>
                <a:schemeClr val="tx1"/>
              </a:solidFill>
            </a:rPr>
            <a:t>LIST</a:t>
          </a:r>
          <a:endParaRPr lang="en-US" sz="105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29</xdr:col>
      <xdr:colOff>161926</xdr:colOff>
      <xdr:row>15</xdr:row>
      <xdr:rowOff>114300</xdr:rowOff>
    </xdr:from>
    <xdr:to>
      <xdr:col>30</xdr:col>
      <xdr:colOff>523875</xdr:colOff>
      <xdr:row>17</xdr:row>
      <xdr:rowOff>123824</xdr:rowOff>
    </xdr:to>
    <xdr:sp macro="[0]!savePurchasedToFile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4116051" y="3752850"/>
          <a:ext cx="971549" cy="390524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050" b="1">
              <a:solidFill>
                <a:schemeClr val="tx1"/>
              </a:solidFill>
            </a:rPr>
            <a:t>SAVE</a:t>
          </a:r>
          <a:r>
            <a:rPr lang="en-US" sz="1050" b="1" baseline="0">
              <a:solidFill>
                <a:schemeClr val="tx1"/>
              </a:solidFill>
            </a:rPr>
            <a:t> PURCHASE TO FILE</a:t>
          </a:r>
          <a:endParaRPr lang="en-US" sz="105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39</xdr:col>
      <xdr:colOff>390525</xdr:colOff>
      <xdr:row>5</xdr:row>
      <xdr:rowOff>180975</xdr:rowOff>
    </xdr:from>
    <xdr:to>
      <xdr:col>40</xdr:col>
      <xdr:colOff>112504</xdr:colOff>
      <xdr:row>7</xdr:row>
      <xdr:rowOff>123825</xdr:rowOff>
    </xdr:to>
    <xdr:pic macro="[0]!Main2">
      <xdr:nvPicPr>
        <xdr:cNvPr id="24" name="Picture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50" y="1809750"/>
          <a:ext cx="341104" cy="333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38100</xdr:colOff>
          <xdr:row>0</xdr:row>
          <xdr:rowOff>762000</xdr:rowOff>
        </xdr:from>
        <xdr:to>
          <xdr:col>39</xdr:col>
          <xdr:colOff>495300</xdr:colOff>
          <xdr:row>1</xdr:row>
          <xdr:rowOff>152400</xdr:rowOff>
        </xdr:to>
        <xdr:sp macro="" textlink="">
          <xdr:nvSpPr>
            <xdr:cNvPr id="8193" name="TextBox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165099</xdr:colOff>
      <xdr:row>12</xdr:row>
      <xdr:rowOff>190499</xdr:rowOff>
    </xdr:from>
    <xdr:to>
      <xdr:col>37</xdr:col>
      <xdr:colOff>19049</xdr:colOff>
      <xdr:row>13</xdr:row>
      <xdr:rowOff>180974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16843374" y="3209924"/>
          <a:ext cx="1006475" cy="1809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Profit per Piece</a:t>
          </a:r>
          <a:r>
            <a:rPr lang="en-US" sz="1200" b="1" baseline="0">
              <a:latin typeface="+mn-lt"/>
              <a:cs typeface="Arial" panose="020B0604020202020204" pitchFamily="34" charset="0"/>
            </a:rPr>
            <a:t> </a:t>
          </a:r>
          <a:endParaRPr lang="en-US" sz="1200" b="1">
            <a:latin typeface="+mn-lt"/>
            <a:cs typeface="Arial" panose="020B0604020202020204" pitchFamily="34" charset="0"/>
          </a:endParaRPr>
        </a:p>
      </xdr:txBody>
    </xdr:sp>
    <xdr:clientData/>
  </xdr:twoCellAnchor>
  <xdr:oneCellAnchor>
    <xdr:from>
      <xdr:col>32</xdr:col>
      <xdr:colOff>234950</xdr:colOff>
      <xdr:row>10</xdr:row>
      <xdr:rowOff>0</xdr:rowOff>
    </xdr:from>
    <xdr:ext cx="639662" cy="187872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16027400" y="2619375"/>
          <a:ext cx="639662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Total Cost</a:t>
          </a:r>
        </a:p>
      </xdr:txBody>
    </xdr:sp>
    <xdr:clientData/>
  </xdr:oneCellAnchor>
  <xdr:oneCellAnchor>
    <xdr:from>
      <xdr:col>34</xdr:col>
      <xdr:colOff>139700</xdr:colOff>
      <xdr:row>10</xdr:row>
      <xdr:rowOff>0</xdr:rowOff>
    </xdr:from>
    <xdr:ext cx="902170" cy="187872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16856075" y="2619375"/>
          <a:ext cx="902170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200" b="1">
              <a:latin typeface="+mn-lt"/>
              <a:cs typeface="Arial" panose="020B0604020202020204" pitchFamily="34" charset="0"/>
            </a:rPr>
            <a:t>Cost per Piece</a:t>
          </a:r>
        </a:p>
      </xdr:txBody>
    </xdr:sp>
    <xdr:clientData/>
  </xdr:oneCellAnchor>
  <xdr:twoCellAnchor editAs="oneCell">
    <xdr:from>
      <xdr:col>37</xdr:col>
      <xdr:colOff>85726</xdr:colOff>
      <xdr:row>10</xdr:row>
      <xdr:rowOff>180975</xdr:rowOff>
    </xdr:from>
    <xdr:to>
      <xdr:col>38</xdr:col>
      <xdr:colOff>38100</xdr:colOff>
      <xdr:row>12</xdr:row>
      <xdr:rowOff>38100</xdr:rowOff>
    </xdr:to>
    <xdr:sp macro="[0]!purchasedUpdateBySelection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23974426" y="2800350"/>
          <a:ext cx="571499" cy="257175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050" b="1" baseline="0">
              <a:solidFill>
                <a:schemeClr val="tx1"/>
              </a:solidFill>
            </a:rPr>
            <a:t>UPDATE</a:t>
          </a:r>
        </a:p>
      </xdr:txBody>
    </xdr:sp>
    <xdr:clientData/>
  </xdr:twoCellAnchor>
  <xdr:twoCellAnchor editAs="oneCell">
    <xdr:from>
      <xdr:col>10</xdr:col>
      <xdr:colOff>533400</xdr:colOff>
      <xdr:row>0</xdr:row>
      <xdr:rowOff>57149</xdr:rowOff>
    </xdr:from>
    <xdr:to>
      <xdr:col>12</xdr:col>
      <xdr:colOff>381000</xdr:colOff>
      <xdr:row>0</xdr:row>
      <xdr:rowOff>790574</xdr:rowOff>
    </xdr:to>
    <xdr:sp macro="" textlink="">
      <xdr:nvSpPr>
        <xdr:cNvPr id="18" name="Arrow: Left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5962650" y="57149"/>
          <a:ext cx="1123950" cy="733425"/>
        </a:xfrm>
        <a:prstGeom prst="lef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BACK</a:t>
          </a:r>
          <a:r>
            <a:rPr lang="en-US" sz="900" baseline="0">
              <a:solidFill>
                <a:schemeClr val="tx1"/>
              </a:solidFill>
            </a:rPr>
            <a:t> TO </a:t>
          </a:r>
        </a:p>
        <a:p>
          <a:pPr algn="ctr"/>
          <a:r>
            <a:rPr lang="en-US" sz="900" baseline="0">
              <a:solidFill>
                <a:schemeClr val="tx1"/>
              </a:solidFill>
            </a:rPr>
            <a:t>MAIN DASHBOARD</a:t>
          </a:r>
          <a:endParaRPr lang="en-US" sz="9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29</xdr:col>
      <xdr:colOff>38100</xdr:colOff>
      <xdr:row>0</xdr:row>
      <xdr:rowOff>76200</xdr:rowOff>
    </xdr:from>
    <xdr:to>
      <xdr:col>30</xdr:col>
      <xdr:colOff>352424</xdr:colOff>
      <xdr:row>1</xdr:row>
      <xdr:rowOff>133350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8143875" y="76200"/>
          <a:ext cx="923924" cy="904875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/>
            <a:t>INSERT</a:t>
          </a:r>
          <a:r>
            <a:rPr lang="en-US" sz="1200" b="1" baseline="0"/>
            <a:t> LOGO HERE</a:t>
          </a:r>
          <a:endParaRPr lang="en-US" sz="12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276225</xdr:colOff>
      <xdr:row>31</xdr:row>
      <xdr:rowOff>0</xdr:rowOff>
    </xdr:from>
    <xdr:to>
      <xdr:col>9</xdr:col>
      <xdr:colOff>314325</xdr:colOff>
      <xdr:row>32</xdr:row>
      <xdr:rowOff>142875</xdr:rowOff>
    </xdr:to>
    <xdr:sp macro="[0]!btnCashSales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115300" y="6153150"/>
          <a:ext cx="771525" cy="3333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SAVE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428625</xdr:colOff>
      <xdr:row>23</xdr:row>
      <xdr:rowOff>114300</xdr:rowOff>
    </xdr:from>
    <xdr:to>
      <xdr:col>7</xdr:col>
      <xdr:colOff>1200150</xdr:colOff>
      <xdr:row>25</xdr:row>
      <xdr:rowOff>142875</xdr:rowOff>
    </xdr:to>
    <xdr:sp macro="[0]!btnExpensesSav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457950" y="4886325"/>
          <a:ext cx="771525" cy="3333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SAVE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342900</xdr:colOff>
      <xdr:row>1</xdr:row>
      <xdr:rowOff>419100</xdr:rowOff>
    </xdr:from>
    <xdr:to>
      <xdr:col>7</xdr:col>
      <xdr:colOff>590550</xdr:colOff>
      <xdr:row>3</xdr:row>
      <xdr:rowOff>152400</xdr:rowOff>
    </xdr:to>
    <xdr:sp macro="[0]!btnPayroll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124325" y="609600"/>
          <a:ext cx="857250" cy="4191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accent6">
                  <a:lumMod val="50000"/>
                </a:schemeClr>
              </a:solidFill>
            </a:rPr>
            <a:t>SAVE</a:t>
          </a:r>
          <a:r>
            <a:rPr lang="en-US" sz="1100" b="1" baseline="0">
              <a:solidFill>
                <a:schemeClr val="accent6">
                  <a:lumMod val="50000"/>
                </a:schemeClr>
              </a:solidFill>
            </a:rPr>
            <a:t> TO </a:t>
          </a:r>
        </a:p>
        <a:p>
          <a:pPr algn="ctr"/>
          <a:r>
            <a:rPr lang="en-US" sz="1100" b="1" baseline="0">
              <a:solidFill>
                <a:schemeClr val="accent6">
                  <a:lumMod val="50000"/>
                </a:schemeClr>
              </a:solidFill>
            </a:rPr>
            <a:t>FILE</a:t>
          </a:r>
          <a:endParaRPr lang="en-US" sz="11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190499</xdr:colOff>
      <xdr:row>1</xdr:row>
      <xdr:rowOff>419100</xdr:rowOff>
    </xdr:from>
    <xdr:to>
      <xdr:col>10</xdr:col>
      <xdr:colOff>123824</xdr:colOff>
      <xdr:row>3</xdr:row>
      <xdr:rowOff>152400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5257799" y="609600"/>
          <a:ext cx="1285875" cy="4191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accent6">
                  <a:lumMod val="50000"/>
                </a:schemeClr>
              </a:solidFill>
            </a:rPr>
            <a:t>UPDATE EMPLOYEE PROFILE</a:t>
          </a:r>
        </a:p>
      </xdr:txBody>
    </xdr:sp>
    <xdr:clientData/>
  </xdr:twoCellAnchor>
  <xdr:twoCellAnchor editAs="oneCell">
    <xdr:from>
      <xdr:col>19</xdr:col>
      <xdr:colOff>0</xdr:colOff>
      <xdr:row>1</xdr:row>
      <xdr:rowOff>95250</xdr:rowOff>
    </xdr:from>
    <xdr:to>
      <xdr:col>21</xdr:col>
      <xdr:colOff>400050</xdr:colOff>
      <xdr:row>3</xdr:row>
      <xdr:rowOff>104775</xdr:rowOff>
    </xdr:to>
    <xdr:sp macro="" textlink="">
      <xdr:nvSpPr>
        <xdr:cNvPr id="4" name="Arrow: Left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0601325" y="285750"/>
          <a:ext cx="1619250" cy="4762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/>
            <a:t>BACK TO MAIN 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0</xdr:colOff>
      <xdr:row>3</xdr:row>
      <xdr:rowOff>0</xdr:rowOff>
    </xdr:from>
    <xdr:to>
      <xdr:col>23</xdr:col>
      <xdr:colOff>247650</xdr:colOff>
      <xdr:row>5</xdr:row>
      <xdr:rowOff>19050</xdr:rowOff>
    </xdr:to>
    <xdr:sp macro="[0]!btnAttendanceSav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8201025" y="733425"/>
          <a:ext cx="857250" cy="4191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accent6">
                  <a:lumMod val="50000"/>
                </a:schemeClr>
              </a:solidFill>
            </a:rPr>
            <a:t>SAVE</a:t>
          </a:r>
          <a:r>
            <a:rPr lang="en-US" sz="1100" b="1" baseline="0">
              <a:solidFill>
                <a:schemeClr val="accent6">
                  <a:lumMod val="50000"/>
                </a:schemeClr>
              </a:solidFill>
            </a:rPr>
            <a:t> TO </a:t>
          </a:r>
        </a:p>
        <a:p>
          <a:pPr algn="ctr"/>
          <a:r>
            <a:rPr lang="en-US" sz="1100" b="1" baseline="0">
              <a:solidFill>
                <a:schemeClr val="accent6">
                  <a:lumMod val="50000"/>
                </a:schemeClr>
              </a:solidFill>
            </a:rPr>
            <a:t>FILE</a:t>
          </a:r>
          <a:endParaRPr lang="en-US" sz="11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24</xdr:col>
      <xdr:colOff>133350</xdr:colOff>
      <xdr:row>0</xdr:row>
      <xdr:rowOff>133350</xdr:rowOff>
    </xdr:from>
    <xdr:to>
      <xdr:col>29</xdr:col>
      <xdr:colOff>228600</xdr:colOff>
      <xdr:row>2</xdr:row>
      <xdr:rowOff>76200</xdr:rowOff>
    </xdr:to>
    <xdr:sp macro="" textlink="">
      <xdr:nvSpPr>
        <xdr:cNvPr id="4" name="Arrow: Left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9067800" y="133350"/>
          <a:ext cx="1619250" cy="4762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/>
            <a:t>BACK TO MAIN 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76201</xdr:colOff>
      <xdr:row>1</xdr:row>
      <xdr:rowOff>66675</xdr:rowOff>
    </xdr:from>
    <xdr:to>
      <xdr:col>10</xdr:col>
      <xdr:colOff>120015</xdr:colOff>
      <xdr:row>3</xdr:row>
      <xdr:rowOff>114300</xdr:rowOff>
    </xdr:to>
    <xdr:pic macro="[0]!PrintSOABtn">
      <xdr:nvPicPr>
        <xdr:cNvPr id="4" name="PrintASOABt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48451" y="257175"/>
          <a:ext cx="1263014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247650</xdr:colOff>
      <xdr:row>0</xdr:row>
      <xdr:rowOff>19050</xdr:rowOff>
    </xdr:from>
    <xdr:to>
      <xdr:col>3</xdr:col>
      <xdr:colOff>1214966</xdr:colOff>
      <xdr:row>7</xdr:row>
      <xdr:rowOff>138641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1571625" y="19050"/>
          <a:ext cx="1576916" cy="1576916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INSERT</a:t>
          </a:r>
          <a:r>
            <a:rPr lang="en-US" sz="1600" b="1" baseline="0"/>
            <a:t> LOGO HERE</a:t>
          </a:r>
          <a:endParaRPr lang="en-US" sz="16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0</xdr:row>
      <xdr:rowOff>0</xdr:rowOff>
    </xdr:from>
    <xdr:to>
      <xdr:col>3</xdr:col>
      <xdr:colOff>1424516</xdr:colOff>
      <xdr:row>8</xdr:row>
      <xdr:rowOff>24341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1638300" y="0"/>
          <a:ext cx="1576916" cy="1576916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INSERT</a:t>
          </a:r>
          <a:r>
            <a:rPr lang="en-US" sz="1600" b="1" baseline="0"/>
            <a:t> LOGO HERE</a:t>
          </a:r>
          <a:endParaRPr lang="en-US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EB1696E-9861-4B23-BB66-4C0C025F8E2E}" name="ExpensesTable" displayName="ExpensesTable" ref="D4:AD6" totalsRowShown="0" headerRowDxfId="148" dataDxfId="147">
  <autoFilter ref="D4:AD6" xr:uid="{0A61A3A4-135C-4830-9694-1DAC5762A811}"/>
  <tableColumns count="27">
    <tableColumn id="1" xr3:uid="{E0517E86-C90B-4085-B965-64E1A966B192}" name="DATE " dataDxfId="146"/>
    <tableColumn id="2" xr3:uid="{E4B7C6BE-0947-451D-A137-479A0CC8D10A}" name="PURCHASES " dataDxfId="145"/>
    <tableColumn id="3" xr3:uid="{35FD5950-43F9-471D-8CAA-4C3D1BA918DE}" name="SALARY/CA " dataDxfId="144"/>
    <tableColumn id="4" xr3:uid="{1D389CFC-5F7A-4B61-A728-C05F5F314F07}" name="RENTAL " dataDxfId="143"/>
    <tableColumn id="5" xr3:uid="{A9693ABC-29CA-4663-A03B-48E0A9BEFEE8}" name="ELECTRICITY " dataDxfId="142"/>
    <tableColumn id="6" xr3:uid="{F904F33E-29BC-41AA-9A57-3E14FC3D6ACA}" name="WATER " dataDxfId="141"/>
    <tableColumn id="7" xr3:uid="{E5BEFD33-49D1-4B9B-848B-534093B00174}" name="INTERNET " dataDxfId="140"/>
    <tableColumn id="8" xr3:uid="{B3FFA908-ADA2-441D-985D-4A5CE3C27956}" name="GAS/DIESEL " dataDxfId="139"/>
    <tableColumn id="9" xr3:uid="{1127ECBE-0CEB-4B13-8F4A-BD190F7B1F81}" name="TRANSPORTATION " dataDxfId="138"/>
    <tableColumn id="10" xr3:uid="{F18D505F-3AC1-4B55-ABAD-EAD3D8A103D0}" name="TAX " dataDxfId="137"/>
    <tableColumn id="11" xr3:uid="{0FDB4DF4-FEB7-47EF-B40D-65F709157996}" name="FOOD/SNACK" dataDxfId="136"/>
    <tableColumn id="12" xr3:uid="{27158177-8C37-4EEF-B5B6-00EAEAFFC916}" name="OTHERS " dataDxfId="135"/>
    <tableColumn id="13" xr3:uid="{CBACDC26-584B-4437-9D1B-144D73D0A8F7}" name="ADVERTISING " dataDxfId="134"/>
    <tableColumn id="14" xr3:uid="{29891138-22C9-47FE-81FB-9738325AA77F}" name="VEHICLE REPAIRS " dataDxfId="133"/>
    <tableColumn id="15" xr3:uid="{828DA5CF-4F57-4673-A6F8-3BF571EC6CF9}" name="BLDG. MAINTENANCE " dataDxfId="132"/>
    <tableColumn id="16" xr3:uid="{F1D15E11-F314-4212-B142-A6472788742D}" name="OFFICE SUPPLIES " dataDxfId="131"/>
    <tableColumn id="17" xr3:uid="{7C48E4F2-859D-4FC5-80C7-3DF74DB256CC}" name="SEMINARS/MEETINGS " dataDxfId="130"/>
    <tableColumn id="18" xr3:uid="{3369AAAE-FBF7-4848-981A-4061F0504D7B}" name="SOLICITATION " dataDxfId="129"/>
    <tableColumn id="19" xr3:uid="{E4DAF163-2C8E-4487-A481-A816477AE1EF}" name="IN-KIND/INCENTIVES" dataDxfId="128"/>
    <tableColumn id="20" xr3:uid="{1904176C-917C-491F-8443-F59A1B5ED70C}" name="VEHICLE RENEWAL " dataDxfId="127"/>
    <tableColumn id="21" xr3:uid="{80A6E9FC-D2E3-4EA9-B548-8BD508E50A16}" name="PERMIT RENEWAL " dataDxfId="126"/>
    <tableColumn id="22" xr3:uid="{6B3A311F-2BF7-4512-813F-D1C6A34E706C}" name="YEAR " dataDxfId="125"/>
    <tableColumn id="23" xr3:uid="{8EED8DC2-8E37-4A33-81CD-928B823C397F}" name="MONTH" dataDxfId="124"/>
    <tableColumn id="24" xr3:uid="{B6C8838E-816A-4B26-B84D-55B04D1762EC}" name="DAY" dataDxfId="123"/>
    <tableColumn id="25" xr3:uid="{6E33BEAB-8F2D-4301-BE7C-060E768AE4F6}" name="DATEVALUE" dataDxfId="122"/>
    <tableColumn id="26" xr3:uid="{74AAD184-0B52-40F0-A9B0-25C65938CD0A}" name="TOTLPUR" dataDxfId="121"/>
    <tableColumn id="27" xr3:uid="{B48AAC00-A604-4529-8973-463C99DFF1B2}" name="GRANDTOT" dataDxfId="1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57AAD48-1ABA-445F-B3A3-9338B76CC613}" name="CashSalesTable" displayName="CashSalesTable" ref="D4:AF7" totalsRowShown="0">
  <autoFilter ref="D4:AF7" xr:uid="{4ABF8222-D48B-4377-A4D0-2B6500BEF45C}"/>
  <tableColumns count="29">
    <tableColumn id="1" xr3:uid="{0472884A-0A8B-4CC0-8530-34C9FD3F16D2}" name="DATE "/>
    <tableColumn id="2" xr3:uid="{A02ECD0A-6D39-48A6-A4B0-83AD6B6165A7}" name="CASHHAND"/>
    <tableColumn id="3" xr3:uid="{8DCE2FA0-6AE5-4CF7-9F59-5AC5A01D4306}" name="OCASHADDED"/>
    <tableColumn id="4" xr3:uid="{0D3773B0-556F-4856-BBF0-139ACBD7AD25}" name="CASHOUT "/>
    <tableColumn id="5" xr3:uid="{D4FE4331-1BCA-4671-A229-06475BC4649F}" name="REMARKS"/>
    <tableColumn id="6" xr3:uid="{45AACF2E-37BA-4EF1-B1A3-A9731EA22E2A}" name="CASH SALES"/>
    <tableColumn id="7" xr3:uid="{569D001A-927F-4884-A7D0-A4B839087D43}" name="CHK1-AMOUNT"/>
    <tableColumn id="8" xr3:uid="{C4902A09-AB4A-4150-8551-640E601B50C4}" name="CHK1DETAILS"/>
    <tableColumn id="9" xr3:uid="{03F1AE20-D331-4202-A350-5B2BDE31041F}" name="CHK2-AMOUNT"/>
    <tableColumn id="10" xr3:uid="{07927777-FC7A-42E8-9BCA-B403B7FF9568}" name="CHK2DETAILS"/>
    <tableColumn id="11" xr3:uid="{0401F160-750C-4E54-BBF2-2AE3C913C86E}" name="CHK3-AMOUNT"/>
    <tableColumn id="12" xr3:uid="{6C6C51D2-9E33-46DD-8AB6-A0D5A52F2343}" name="CHK3DETAILS"/>
    <tableColumn id="13" xr3:uid="{044873AA-79C7-4905-919B-4010A567CAC6}" name="CHK4-AMOUNT"/>
    <tableColumn id="14" xr3:uid="{86E90D82-EAE2-457F-B0A9-9C93F3F90F4A}" name="CHK4DETAILS"/>
    <tableColumn id="15" xr3:uid="{56C8C1F2-E4A5-462F-A019-9F1F2E8C9CDC}" name="CHK5-AMOUNT"/>
    <tableColumn id="16" xr3:uid="{811E5FDD-DE1C-4AC8-BFD9-D4B8EA4B32C5}" name="CHK5DETAILS"/>
    <tableColumn id="17" xr3:uid="{81A2662D-540C-466F-909A-53690D151478}" name="CHK6-AMOUNT"/>
    <tableColumn id="18" xr3:uid="{57CAC0B4-68FD-47CB-979D-7EC68BD914C1}" name="CHK6DETAILS"/>
    <tableColumn id="19" xr3:uid="{A8F0F561-74CB-499E-B33D-31DFE1D3BB37}" name="CHK7-AMOUNT"/>
    <tableColumn id="20" xr3:uid="{197FB596-1F28-4BF6-9B53-D14E0FB5CFCB}" name="CHK7DETAILS"/>
    <tableColumn id="21" xr3:uid="{1690DDE8-4688-4974-96F9-2DED4E3E273F}" name="ENDCASH"/>
    <tableColumn id="22" xr3:uid="{4DC7B7BA-B78F-454F-BD80-4A499FE8F393}" name="TOTCHKAMT"/>
    <tableColumn id="23" xr3:uid="{47376375-CAC0-429C-989D-04099B949C7A}" name="COHCHECKER"/>
    <tableColumn id="24" xr3:uid="{9650D84B-84A3-4504-B75B-3225FE0944B3}" name="DIFF"/>
    <tableColumn id="25" xr3:uid="{E147857C-5DDC-4542-8396-12158F255138}" name="REMARKS2"/>
    <tableColumn id="26" xr3:uid="{B2010097-E54E-4485-A907-96AE5AC29191}" name="YEAR"/>
    <tableColumn id="27" xr3:uid="{E843EAB4-E9F1-46CD-832F-EF72FC714C99}" name="MONTH"/>
    <tableColumn id="28" xr3:uid="{EB845B00-1B56-46B9-B730-192AD0339A4C}" name="DAY"/>
    <tableColumn id="29" xr3:uid="{AC283184-EDBC-4C98-A7C1-4E729738367E}" name="DATE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5CCCFE1-F2D9-418D-B9C3-8ED820CC5DE0}" name="EmpProfileTable" displayName="EmpProfileTable" ref="M4:AH8" totalsRowShown="0">
  <autoFilter ref="M4:AH8" xr:uid="{66F90F8A-A98D-47E1-8255-E4CAD4F09411}"/>
  <tableColumns count="22">
    <tableColumn id="1" xr3:uid="{FE2186D9-F5B8-4159-B8E0-674286B46636}" name="EmpIDNo"/>
    <tableColumn id="2" xr3:uid="{36951B27-6FCF-44E3-9BCC-32B671E8F448}" name="Position"/>
    <tableColumn id="3" xr3:uid="{5F8E838E-4F5C-4726-94F4-80598D2C94DA}" name="Date Hired"/>
    <tableColumn id="4" xr3:uid="{09623070-8493-4273-ADE6-1958C19E9B95}" name="Last Name"/>
    <tableColumn id="5" xr3:uid="{692C4AC0-0A16-4A37-B603-F41889F4519B}" name="First Name"/>
    <tableColumn id="6" xr3:uid="{D144CF6D-531A-43F9-A9A5-FA2D94F55A0D}" name="Middle Name"/>
    <tableColumn id="22" xr3:uid="{629061BF-CFC7-4158-9D5E-4EED113FE71E}" name="NICKNAME"/>
    <tableColumn id="7" xr3:uid="{8CC2F560-0097-4F2B-AB4B-FC6818175955}" name="Gender"/>
    <tableColumn id="8" xr3:uid="{428C403D-883F-4BD0-9C2B-4B5863D74243}" name="Birth Date"/>
    <tableColumn id="9" xr3:uid="{F427E934-F7EA-4FD8-9E4F-B06A4B7F9270}" name="Mobile Num"/>
    <tableColumn id="10" xr3:uid="{7D50BA5F-B8BA-425D-A455-0E83EE4D6E55}" name="Address"/>
    <tableColumn id="11" xr3:uid="{5CB32273-11B0-4BE3-BCA2-FADA3F117F89}" name="Email Add"/>
    <tableColumn id="14" xr3:uid="{256776F1-7792-48C9-8789-738FADD8E37F}" name="Picture"/>
    <tableColumn id="12" xr3:uid="{42B1DAD1-E147-4A45-BD03-183F38409ADF}" name="Contact Person"/>
    <tableColumn id="13" xr3:uid="{BFF6C527-A64F-42A5-8B52-170609913DEA}" name="ConPers CP No."/>
    <tableColumn id="15" xr3:uid="{D9F866C5-ADFE-4737-B7F5-AEF3575504F6}" name="TIN No."/>
    <tableColumn id="16" xr3:uid="{2E9E24EB-2300-4FFD-9257-7B8798354202}" name="SSS No."/>
    <tableColumn id="17" xr3:uid="{A127A898-AE6D-426E-8E00-24FEA97F12AF}" name="PhilHealth No."/>
    <tableColumn id="18" xr3:uid="{1AA81697-77DA-4932-A645-70F161F302E1}" name="National IDNo."/>
    <tableColumn id="19" xr3:uid="{4D6F09B6-FD5D-496B-A773-7FCE45F26D72}" name="Driver's License No."/>
    <tableColumn id="20" xr3:uid="{FECD4F2B-87DB-437C-9A67-EA3E2BD2F55E}" name="Education Status"/>
    <tableColumn id="21" xr3:uid="{AF90CFF1-6C69-470A-B8BE-C6C664352F3C}" name="Remar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A3FECC9-2BF3-4A44-A3C6-BFD1C94449D4}" name="EmpSalTable" displayName="EmpSalTable" ref="B4:J8" totalsRowShown="0" headerRowDxfId="119" dataDxfId="117" headerRowBorderDxfId="118" tableBorderDxfId="116">
  <autoFilter ref="B4:J8" xr:uid="{34756C49-E84D-4570-AD08-3C0734129120}"/>
  <tableColumns count="9">
    <tableColumn id="1" xr3:uid="{1DAD23BE-20F7-455F-811B-B23193BE2360}" name="EmpIDNo" dataDxfId="115">
      <calculatedColumnFormula>IF(ISBLANK(EmpProfileTable[[#This Row],[EmpIDNo]]),"",EmpProfileTable[[#This Row],[EmpIDNo]])</calculatedColumnFormula>
    </tableColumn>
    <tableColumn id="2" xr3:uid="{32858025-AA98-4B32-97BB-68A8B57AD8A3}" name="Name" dataDxfId="114"/>
    <tableColumn id="3" xr3:uid="{743AF2D7-272C-4C1F-BEF0-BC6F9E2FC093}" name="Gross Salary" dataDxfId="113">
      <calculatedColumnFormula>E5*30</calculatedColumnFormula>
    </tableColumn>
    <tableColumn id="4" xr3:uid="{2E80D969-E7AB-4651-AF42-D1C621E643AE}" name="Rate/Day " dataDxfId="112"/>
    <tableColumn id="5" xr3:uid="{8E564503-23CD-47E5-9A20-B45ED4634281}" name="Rate/Hour" dataDxfId="111">
      <calculatedColumnFormula>E5/8</calculatedColumnFormula>
    </tableColumn>
    <tableColumn id="9" xr3:uid="{DD359601-CA93-4C99-A35A-87C19AC2B450}" name="Rate/OT/Hr" dataDxfId="110"/>
    <tableColumn id="6" xr3:uid="{5FD13615-7E22-4438-805D-D0D679F3A306}" name="SSS" dataDxfId="109"/>
    <tableColumn id="7" xr3:uid="{8D5DA751-F693-4CD5-9DF4-5E72559C3FAF}" name="Philhealth" dataDxfId="108"/>
    <tableColumn id="8" xr3:uid="{B0AFA859-EFD6-4C77-9A5F-66AC6649B68D}" name="Insurance" dataDxfId="10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D22316E-9B29-446C-96D7-1EC90196384D}" name="PayrollTable" displayName="PayrollTable" ref="D7:W23" totalsRowShown="0" headerRowDxfId="106" headerRowBorderDxfId="105" tableBorderDxfId="104">
  <autoFilter ref="D7:W23" xr:uid="{E3E95FC1-FEBF-4FB6-AE00-BA75BD916995}"/>
  <tableColumns count="20">
    <tableColumn id="1" xr3:uid="{C11E98F0-6022-44C9-8CE8-96ABCA92FDD1}" name="CoverageDate"/>
    <tableColumn id="2" xr3:uid="{44D361FA-FED3-4F45-83CB-3BDB9C92B6DA}" name="EmpID"/>
    <tableColumn id="3" xr3:uid="{7EC9D4D1-B6D6-475A-8CB3-5FBE6A64B063}" name="EmpName"/>
    <tableColumn id="4" xr3:uid="{39DECCB0-D9EE-4305-B634-4F057A635466}" name="TotNetPay"/>
    <tableColumn id="5" xr3:uid="{D7B42F52-EAD0-4EA4-87D1-6FF93982A665}" name="Rate/Hr"/>
    <tableColumn id="6" xr3:uid="{04EACE2A-3B0A-4196-948A-9E068BB51FCA}" name="TotRegHr"/>
    <tableColumn id="7" xr3:uid="{5712252A-83F3-4E71-B8BF-A47DD35D8704}" name="TotRegPay"/>
    <tableColumn id="8" xr3:uid="{434BE3FE-61DD-45C9-B08C-2038A0C662B0}" name="Rate/OT/Hr"/>
    <tableColumn id="9" xr3:uid="{51E159C3-36BE-40F9-A317-7DCC4635F942}" name="Tot/OT"/>
    <tableColumn id="10" xr3:uid="{333DC929-86A8-497C-BFD9-ADC0C5C32097}" name="TotOTPay"/>
    <tableColumn id="11" xr3:uid="{7A395525-4755-408E-8E55-0295D354BC36}" name="TotGrossPay"/>
    <tableColumn id="18" xr3:uid="{5A578D0B-CC8C-431B-8722-9CC33EAA23DB}" name="VL"/>
    <tableColumn id="19" xr3:uid="{C0C0E865-DBD7-4B46-A124-C1D4A0B9CBF3}" name="SL"/>
    <tableColumn id="20" xr3:uid="{5B9E8A7D-F594-4F5F-A35C-52CA3325641F}" name="EL"/>
    <tableColumn id="12" xr3:uid="{EAF30A1E-4C16-4A1A-833C-32D0E6E400DB}" name="CA"/>
    <tableColumn id="13" xr3:uid="{C5E6C7D4-8E4D-47D4-BC23-96FFDE4BC06B}" name="SS"/>
    <tableColumn id="14" xr3:uid="{13322E87-5F3D-424A-A36E-B2740D028A48}" name="PHealth"/>
    <tableColumn id="15" xr3:uid="{B2B6ABAB-854D-4F08-B0A2-382FD2AB380A}" name="Insurance"/>
    <tableColumn id="16" xr3:uid="{F295C881-2198-47A8-897E-E9D17DEF3E13}" name="Others"/>
    <tableColumn id="17" xr3:uid="{C7BEEB5D-CF65-46E0-B291-DCB3CBDE8247}" name="TotDeduc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5E158A-C14F-4C9B-922A-4DA190B8C42B}" name="ItemTable" displayName="ItemTable" ref="A4:N1563" totalsRowShown="0" headerRowDxfId="103">
  <autoFilter ref="A4:N1563" xr:uid="{94F2A2DB-02A2-4775-8690-E2C8018CE847}"/>
  <tableColumns count="14">
    <tableColumn id="1" xr3:uid="{0DE26A5A-6984-4586-9BC1-89776F247A2B}" name="SEARCH ITEM"/>
    <tableColumn id="2" xr3:uid="{1815ABEF-85B8-48E6-89C0-B145592076F3}" name="SEQ"/>
    <tableColumn id="3" xr3:uid="{10E48FA5-F5A4-4770-84F2-17A5B9C06150}" name="SKU"/>
    <tableColumn id="4" xr3:uid="{501B5BF2-5C64-4B08-AA25-9BA9BDC35102}" name="ITEMS DESCRIPTION" dataDxfId="102"/>
    <tableColumn id="5" xr3:uid="{2FEC3A63-06D3-4F3D-80F3-9A6EA4C6D622}" name="BRAND"/>
    <tableColumn id="6" xr3:uid="{F24B4C22-F59F-4D78-A652-48A8F3D9C70B}" name="SUPPLIER"/>
    <tableColumn id="7" xr3:uid="{8A654DD5-E03E-472B-BB67-2C319E2E4D76}" name="QTY SOLD"/>
    <tableColumn id="8" xr3:uid="{76EB056C-9DC7-49C8-804D-B18B9EF08245}" name="INVENTORY"/>
    <tableColumn id="9" xr3:uid="{F57D5CB5-F65F-4E8F-B140-05AFEAFC9C0E}" name="COST PRICE"/>
    <tableColumn id="10" xr3:uid="{0965EB37-07E3-47AF-BB8A-596134793429}" name="SRP PRICE"/>
    <tableColumn id="11" xr3:uid="{AAE8AE2B-A727-45A4-9330-24C9ECBF3689}" name="Profit"/>
    <tableColumn id="12" xr3:uid="{AA3BE6A1-ED5E-45AB-AA2C-1CE06ED4584E}" name="Profit Percentage"/>
    <tableColumn id="13" xr3:uid="{24CBACAE-AD89-41D4-942E-D654BA54047D}" name="LOCATION"/>
    <tableColumn id="14" xr3:uid="{FADF8B7F-E484-4D89-94F1-29E831E267D7}" name="LOCX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E8FD8D9-A672-490C-B1C8-01D06A580203}" name="SalesTable" displayName="SalesTable" ref="C4:V83" totalsRowShown="0" headerRowDxfId="101" dataDxfId="99" headerRowBorderDxfId="100" tableBorderDxfId="98">
  <autoFilter ref="C4:V83" xr:uid="{3E2A6513-89A9-4FB3-B2D5-966A2973AFA7}"/>
  <tableColumns count="20">
    <tableColumn id="1" xr3:uid="{FCFF4993-BCE6-439F-955F-D69410C6933B}" name="SEQ" dataDxfId="97"/>
    <tableColumn id="2" xr3:uid="{51CC3A53-0C3B-4554-96BE-EF44A7513474}" name="SKU Code" dataDxfId="96"/>
    <tableColumn id="3" xr3:uid="{18D48C85-2F62-494A-86B7-24FA6A08CC91}" name="Item Description" dataDxfId="95"/>
    <tableColumn id="4" xr3:uid="{A1E48D0C-6DF6-47F1-91AB-0D56DF370D8C}" name="Type" dataDxfId="94"/>
    <tableColumn id="5" xr3:uid="{C98B6A15-97EB-4220-A8C1-834C76DB2CBE}" name="Qty" dataDxfId="93"/>
    <tableColumn id="6" xr3:uid="{D5C44720-9BBF-4CC6-8815-14A2B7E462AA}" name="Price" dataDxfId="92"/>
    <tableColumn id="7" xr3:uid="{DF3CA943-FAA8-4F23-8282-EBB7535D2D50}" name="Total" dataDxfId="91"/>
    <tableColumn id="8" xr3:uid="{ADF0B620-42E7-432B-8B16-3E06563C0508}" name="Trans. Date" dataDxfId="90"/>
    <tableColumn id="9" xr3:uid="{75C4ED1A-E3D3-44B0-AB55-1414D65A0201}" name="Cust. Name" dataDxfId="89"/>
    <tableColumn id="10" xr3:uid="{37B00AAF-361F-4CD4-9342-189ED3C2FCB5}" name="OR No." dataDxfId="88"/>
    <tableColumn id="11" xr3:uid="{381BECB7-E68F-40DE-8E0E-765BCFDC8844}" name="Ref. No." dataDxfId="87"/>
    <tableColumn id="12" xr3:uid="{98C1DB56-9F53-4C53-B919-120E64877719}" name="COST" dataDxfId="86"/>
    <tableColumn id="13" xr3:uid="{AC8BDF50-CC1E-4A11-806D-CB952575E3AA}" name="SRP" dataDxfId="85"/>
    <tableColumn id="14" xr3:uid="{6C37FA8D-3784-4470-863E-3921986BF853}" name="CurInv" dataDxfId="84"/>
    <tableColumn id="15" xr3:uid="{D880C67D-D96E-440D-8E4C-C3D2CACCC18C}" name="EndInv" dataDxfId="83"/>
    <tableColumn id="19" xr3:uid="{01D22E5A-098C-439C-8024-DAB17F59446C}" name="YEAR" dataDxfId="82"/>
    <tableColumn id="18" xr3:uid="{5F615BEC-4EE9-4204-ACD0-22A45AC71294}" name="MONTH" dataDxfId="81"/>
    <tableColumn id="17" xr3:uid="{34BCE370-6C8D-4A07-9239-FD2F11C00DDF}" name="DAY" dataDxfId="80"/>
    <tableColumn id="20" xr3:uid="{16C136EE-4244-4B8E-AA86-A52273DEAE93}" name="DATEVALUE" dataDxfId="79"/>
    <tableColumn id="16" xr3:uid="{4C084AA5-023F-4971-81A1-C7FB1A37D115}" name="Column2" dataDxfId="7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5AEE9C-EA6C-4BF6-9C38-C699C80B1D09}" name="PurchaseHistoryTable" displayName="PurchaseHistoryTable" ref="C4:AA12" totalsRowShown="0" headerRowDxfId="77" dataDxfId="75" headerRowBorderDxfId="76" tableBorderDxfId="74" totalsRowBorderDxfId="73">
  <autoFilter ref="C4:AA12" xr:uid="{EAAA7194-1CBF-4679-846B-6E55FC632A8B}"/>
  <tableColumns count="25">
    <tableColumn id="1" xr3:uid="{9BC3A03A-A01D-416D-A33C-A9C56D6CAB9F}" name="SEQ" dataDxfId="72"/>
    <tableColumn id="2" xr3:uid="{C044BB98-0BAB-44DF-9F23-8621FB88EE4E}" name="SKU Code" dataDxfId="71"/>
    <tableColumn id="3" xr3:uid="{7EF16777-97F8-4D7A-B8DB-C54F1DEDFE25}" name="Item Description" dataDxfId="70"/>
    <tableColumn id="4" xr3:uid="{54AE9FA4-E27A-4E95-8546-96FE31DFBE6B}" name="Type" dataDxfId="69"/>
    <tableColumn id="5" xr3:uid="{6115D98E-B634-4296-9DDC-1C1D8240FE2A}" name="Tot Qty" dataDxfId="68"/>
    <tableColumn id="6" xr3:uid="{34B22677-AD2A-4CCE-AE3D-305B1140C923}" name="Total Cost" dataDxfId="67"/>
    <tableColumn id="7" xr3:uid="{A71B33FD-EE31-4EC2-9D16-6283A2D9CF36}" name="COST Per Piece" dataDxfId="66"/>
    <tableColumn id="8" xr3:uid="{5AC7B8B4-174D-4388-AB19-53D317C00DB8}" name="Profit %" dataDxfId="65"/>
    <tableColumn id="9" xr3:uid="{CDAB1457-BB9D-4FDE-A8B8-E13E80671D3B}" name="New SRP" dataDxfId="64"/>
    <tableColumn id="10" xr3:uid="{E1EE679A-352D-4A0F-892F-C42F10279DAF}" name="ProfPerPiece" dataDxfId="63"/>
    <tableColumn id="11" xr3:uid="{D1028054-B914-410C-8FE7-AFE3E013ABDF}" name="TotProfit" dataDxfId="62"/>
    <tableColumn id="12" xr3:uid="{356DE589-0A2A-4223-B560-FFCCA218CCAB}" name="Supplier" dataDxfId="61"/>
    <tableColumn id="13" xr3:uid="{509C94A6-2740-422F-839F-C49ADD49ACEA}" name="TransDate" dataDxfId="60"/>
    <tableColumn id="14" xr3:uid="{CE646355-892C-4C06-9CEE-578A6322C73E}" name="Or#" dataDxfId="59"/>
    <tableColumn id="15" xr3:uid="{148B1687-E796-407C-8059-F946334F9E69}" name="Del#" dataDxfId="58"/>
    <tableColumn id="16" xr3:uid="{94D44B9F-6B64-47EC-A16D-D79038610183}" name="Current INV" dataDxfId="57"/>
    <tableColumn id="22" xr3:uid="{BD1C9388-1A9E-4532-A0C2-9044B9608D41}" name="PrevSupplier" dataDxfId="56"/>
    <tableColumn id="23" xr3:uid="{A6B9FA7C-2E72-49F7-9B8D-B779507D3A07}" name="PrevUpDate" dataDxfId="55"/>
    <tableColumn id="17" xr3:uid="{7B04BFCB-7D6A-44F3-93AF-8747B5951BF7}" name="PrevCOST" dataDxfId="54"/>
    <tableColumn id="18" xr3:uid="{20424AC2-BD22-4E24-B694-733595286995}" name="PrevSRP" dataDxfId="53"/>
    <tableColumn id="19" xr3:uid="{9DA7D33A-D32C-4242-88E6-00478F90F1B2}" name="Year" dataDxfId="52"/>
    <tableColumn id="20" xr3:uid="{07CD98A6-92FF-4CBA-88ED-2CB32BEDAB5B}" name="Month" dataDxfId="51"/>
    <tableColumn id="21" xr3:uid="{DC7C8316-642A-4AB5-9A12-F6795AD905C3}" name="Day" dataDxfId="50"/>
    <tableColumn id="24" xr3:uid="{FBCAA379-0F8C-485D-9D7A-76A68AE248A0}" name="NewINV" dataDxfId="49"/>
    <tableColumn id="25" xr3:uid="{212DD3C9-35FE-44A1-BBFD-743525681709}" name="DateValue" dataDxfId="4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C958952-9E30-4CC6-934E-BB4E309D8786}" name="TableCOSTSRPGuide" displayName="TableCOSTSRPGuide" ref="AD4:AE15" totalsRowShown="0" headerRowDxfId="47" dataDxfId="46">
  <autoFilter ref="AD4:AE15" xr:uid="{14EFEEF1-93B4-4DFA-9E4E-E09AEBFF3AA6}"/>
  <tableColumns count="2">
    <tableColumn id="1" xr3:uid="{E831E015-F2CB-416A-AE86-B4F63A4C4481}" name="ValueNewUpDAte" dataDxfId="45">
      <calculatedColumnFormula>VALUE(PurchaseHistoryTable[[#This Row],[TransDate]])</calculatedColumnFormula>
    </tableColumn>
    <tableColumn id="2" xr3:uid="{8127B874-D6AE-44BE-BCCD-5A6D3C127DA1}" name="ValuePrevUpDate" dataDxfId="44">
      <calculatedColumnFormula>VALUE(PurchaseHistoryTable[[#This Row],[PrevUpDate]])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9198BD1-D529-4F4D-826C-3F79292CE98E}" name="Table10" displayName="Table10" ref="C4:P11" totalsRowShown="0" headerRowDxfId="43">
  <autoFilter ref="C4:P11" xr:uid="{51A05072-2A63-49F1-80CA-F3CD233E2420}"/>
  <tableColumns count="14">
    <tableColumn id="1" xr3:uid="{0E1653EB-5043-4BD4-849E-86B84F11A5E6}" name="SEQ" dataDxfId="42"/>
    <tableColumn id="2" xr3:uid="{F5F31B5D-ED67-4172-8724-662F138F1E6A}" name="SKU Code" dataDxfId="41"/>
    <tableColumn id="3" xr3:uid="{7A74CF0E-FA97-48FE-8DD2-30924D8468B7}" name="ItemDescription" dataDxfId="40"/>
    <tableColumn id="4" xr3:uid="{F468DA4A-7F27-4609-8BD6-738BA278248D}" name="QTY_Sold" dataDxfId="39"/>
    <tableColumn id="5" xr3:uid="{868C9831-8D87-469D-AA79-07BCC7123D9B}" name="NewSupplier" dataDxfId="38"/>
    <tableColumn id="6" xr3:uid="{104ECF69-AA35-4AFA-B428-0283D81881AA}" name="NewUpDate" dataDxfId="37"/>
    <tableColumn id="7" xr3:uid="{F2176A62-C1BA-40D4-889F-71B45BE112E9}" name="NewCOST" dataDxfId="36"/>
    <tableColumn id="8" xr3:uid="{D7B36965-314C-4518-B636-CF57E43E60AE}" name="NewSRP" dataDxfId="35"/>
    <tableColumn id="9" xr3:uid="{A4D2A616-97A6-4D22-865F-2505423F4E4A}" name="PrevSupplier" dataDxfId="34"/>
    <tableColumn id="10" xr3:uid="{7C53BBA1-3C17-440F-A55F-2D2B028D6145}" name="PrevDate" dataDxfId="33"/>
    <tableColumn id="11" xr3:uid="{4E260E00-5FE8-4E9B-BDD3-A8C2CE62C281}" name="PrevCOST" dataDxfId="32"/>
    <tableColumn id="12" xr3:uid="{2D5FA363-BF98-4051-9CED-F0E08C68CE49}" name="PrevSRP" dataDxfId="31"/>
    <tableColumn id="14" xr3:uid="{632C7A70-F5E2-4F1E-8873-2AC7955DDE0C}" name="MaxNewUpDate" dataDxfId="30">
      <calculatedColumnFormula array="1">MAX(IF(PurchaseHistoryTable[SKU Code]=D5,PurchaseHistoryTable[TransDate]))</calculatedColumnFormula>
    </tableColumn>
    <tableColumn id="13" xr3:uid="{E8D8C801-E2D4-4EF9-B463-BF8558C62C5E}" name="MaxPrevUpDate" dataDxfId="2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BE30A5-EDB6-4877-9873-67CCEC5DF9DE}" name="RunningInv" displayName="RunningInv" ref="A4:G1560" totalsRowShown="0" tableBorderDxfId="28">
  <autoFilter ref="A4:G1560" xr:uid="{2B77CAEE-DB95-44AE-9B9C-71711043B084}"/>
  <tableColumns count="7">
    <tableColumn id="1" xr3:uid="{E6710600-4A57-4994-A7E8-84CE45BBD7D2}" name="SEARCH ITEM" dataDxfId="27"/>
    <tableColumn id="2" xr3:uid="{7C7062A2-83C4-427D-B176-CBC4924FCDF6}" name="SEQ" dataDxfId="26"/>
    <tableColumn id="3" xr3:uid="{9A3529D2-C614-4865-A9CF-5F9E322C95B2}" name="SKU" dataDxfId="25"/>
    <tableColumn id="4" xr3:uid="{B8FE77BB-CB9A-40B0-A2F9-74B9869ED9B1}" name="ItemDescription" dataDxfId="24"/>
    <tableColumn id="5" xr3:uid="{8900FA7B-84EB-409A-9EE1-37923B976F17}" name="QTYSold" dataDxfId="23"/>
    <tableColumn id="6" xr3:uid="{8034D631-28E3-42C3-8DD5-3D1B9E306071}" name="RunningInv" dataDxfId="22"/>
    <tableColumn id="7" xr3:uid="{AF5EE7C0-8FC8-4379-A177-170F8B1A4B36}" name="LOCXY" dataDxfId="2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750DA2-A8AC-415A-BC77-00FF286D71C6}" name="CustomerTable" displayName="CustomerTable" ref="B4:F6" totalsRowShown="0" headerRowDxfId="20" dataDxfId="19">
  <autoFilter ref="B4:F6" xr:uid="{5FA7761E-E7D7-46E7-A1F1-65F39517E516}"/>
  <tableColumns count="5">
    <tableColumn id="1" xr3:uid="{7FF29160-C62A-4022-ADD5-A5BBAE6468CC}" name="custID" dataDxfId="18"/>
    <tableColumn id="2" xr3:uid="{51E2822B-01EE-42FC-A77D-E168E90D7AAA}" name="CUSTOMER_NAME" dataDxfId="17"/>
    <tableColumn id="3" xr3:uid="{FFD1D262-080F-4E79-AFA5-62DED336F791}" name="CONTACT NO." dataDxfId="16"/>
    <tableColumn id="4" xr3:uid="{71AF71A4-B1DD-4873-9A09-2EA77C1946B5}" name="EMAIL_ADD" dataDxfId="15"/>
    <tableColumn id="5" xr3:uid="{B64BF15B-F907-45C6-B006-677F325D2EF6}" name="ADDRESS" dataDxfId="1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0EEDBF-C533-423F-B11F-520510AD1E4D}" name="SupplierTable" displayName="SupplierTable" ref="H4:L11" totalsRowShown="0" headerRowDxfId="13" dataDxfId="12">
  <autoFilter ref="H4:L11" xr:uid="{2350A337-FF0E-446D-BE55-7BD8897E6268}"/>
  <tableColumns count="5">
    <tableColumn id="1" xr3:uid="{926B672D-513A-4430-A2E4-3E627FF93C3D}" name="supID" dataDxfId="11"/>
    <tableColumn id="2" xr3:uid="{15C44327-C591-421E-9F6A-C0F70E524B8C}" name="SUPPLIER NAME" dataDxfId="10"/>
    <tableColumn id="3" xr3:uid="{494C37E4-C6CC-4327-9BAC-AFC2368A0036}" name="CONTACT NO." dataDxfId="9"/>
    <tableColumn id="4" xr3:uid="{6A723D45-1ED3-4153-BF16-F5156DCA42C3}" name="EMAIL_ADD" dataDxfId="8"/>
    <tableColumn id="5" xr3:uid="{E8C2A241-E487-4189-91A1-25551C6B66D4}" name="ADDRESS" dataDxfId="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A6D187-4137-49A6-913B-0C4F995E5526}" name="QTYTable" displayName="QTYTable" ref="N4:N14" totalsRowShown="0">
  <autoFilter ref="N4:N14" xr:uid="{C969CE8E-84C4-4D65-9EB9-A4A6CA06DE6E}"/>
  <tableColumns count="1">
    <tableColumn id="1" xr3:uid="{6568BE3E-20FF-4C02-B393-DD4C028C7216}" name="DESC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33628C2-E15A-4A44-8CDA-AE38D35E2289}" name="SKUCodeTable" displayName="SKUCodeTable" ref="Q4:U14" totalsRowShown="0">
  <autoFilter ref="Q4:U14" xr:uid="{1CB69B83-32B5-44E2-9060-F238E112C7A6}"/>
  <tableColumns count="5">
    <tableColumn id="1" xr3:uid="{34948BB1-E5F9-4B0F-AC3D-E209EC3A2BBC}" name="LOCATION" dataDxfId="6"/>
    <tableColumn id="2" xr3:uid="{A29BE805-40BC-4802-B914-4A51DCDFD291}" name="NO OF ITEMS"/>
    <tableColumn id="3" xr3:uid="{8120E5F7-9432-41D8-A308-09EBBC748650}" name="FIRST 2DIGIT"/>
    <tableColumn id="4" xr3:uid="{AB840757-6E5B-439A-BF81-616395455A33}" name="NEXT 4DIGIT"/>
    <tableColumn id="5" xr3:uid="{0CBEE86C-9191-445E-B929-1F529DECF0ED}" name="START NUM">
      <calculatedColumnFormula>CONCATENATE(S5,LEFT(T5,4))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CCEB76-F508-4DAE-A0D4-408A4E31DA62}" name="OperationMenu" displayName="OperationMenu" ref="X4:X9" totalsRowShown="0">
  <autoFilter ref="X4:X9" xr:uid="{6CD55DEE-F7AC-4451-8805-C2DF89575822}"/>
  <tableColumns count="1">
    <tableColumn id="1" xr3:uid="{31CECE48-ADCB-4AD7-9928-4B9C7F50C3F2}" name="MENU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244E952-ACC7-4A27-92C4-4DB7F3C694C1}" name="PayrollDateTable" displayName="PayrollDateTable" ref="AC4:AE30" totalsRowShown="0" headerRowDxfId="5" dataDxfId="4" tableBorderDxfId="3">
  <autoFilter ref="AC4:AE30" xr:uid="{545D9649-9A69-4121-9266-D2AD52AA6CCB}"/>
  <tableColumns count="3">
    <tableColumn id="1" xr3:uid="{D542FE26-32AB-44E4-9217-D3C799BC43B9}" name="PayrollDate" dataDxfId="2"/>
    <tableColumn id="2" xr3:uid="{C86AB79D-993D-4B0B-AD7A-9FAA337CB7D7}" name="PaySDay" dataDxfId="1"/>
    <tableColumn id="3" xr3:uid="{FA2E105F-FCFC-4273-A9DD-69E966C85DC3}" name="PayE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2DA68-29B2-4DA1-9ECB-7353133B407C}">
  <sheetPr codeName="Sheet6"/>
  <dimension ref="F4:AE27"/>
  <sheetViews>
    <sheetView topLeftCell="A4" workbookViewId="0">
      <pane xSplit="6" ySplit="3" topLeftCell="G7" activePane="bottomRight" state="frozen"/>
      <selection activeCell="A4" sqref="A4"/>
      <selection pane="topRight" activeCell="G4" sqref="G4"/>
      <selection pane="bottomLeft" activeCell="A7" sqref="A7"/>
      <selection pane="bottomRight" activeCell="AC20" sqref="AC20"/>
    </sheetView>
  </sheetViews>
  <sheetFormatPr defaultRowHeight="15" x14ac:dyDescent="0.25"/>
  <cols>
    <col min="2" max="5" width="0" hidden="1" customWidth="1"/>
    <col min="6" max="6" width="23.5703125" bestFit="1" customWidth="1"/>
    <col min="7" max="7" width="8.5703125" customWidth="1"/>
    <col min="8" max="8" width="8.140625" bestFit="1" customWidth="1"/>
    <col min="9" max="9" width="8.140625" customWidth="1"/>
    <col min="10" max="12" width="8.140625" hidden="1" customWidth="1"/>
    <col min="13" max="13" width="8.140625" customWidth="1"/>
    <col min="14" max="14" width="8.140625" hidden="1" customWidth="1"/>
    <col min="15" max="29" width="8.140625" customWidth="1"/>
    <col min="30" max="30" width="10.7109375" customWidth="1"/>
    <col min="31" max="31" width="32.140625" customWidth="1"/>
  </cols>
  <sheetData>
    <row r="4" spans="6:31" ht="15.75" thickBot="1" x14ac:dyDescent="0.3"/>
    <row r="5" spans="6:31" ht="30.75" thickBot="1" x14ac:dyDescent="0.3">
      <c r="F5" s="46" t="s">
        <v>3340</v>
      </c>
      <c r="G5" s="47">
        <v>38687</v>
      </c>
      <c r="H5" s="47">
        <v>39052</v>
      </c>
      <c r="I5" s="47">
        <v>39417</v>
      </c>
      <c r="J5" s="47">
        <v>39783</v>
      </c>
      <c r="K5" s="47">
        <v>40148</v>
      </c>
      <c r="L5" s="47">
        <v>40513</v>
      </c>
      <c r="M5" s="47">
        <v>40878</v>
      </c>
      <c r="N5" s="47">
        <v>41244</v>
      </c>
      <c r="O5" s="47">
        <v>41609</v>
      </c>
      <c r="P5" s="47">
        <v>41974</v>
      </c>
      <c r="Q5" s="47">
        <v>42339</v>
      </c>
      <c r="R5" s="47">
        <v>43831</v>
      </c>
      <c r="S5" s="47">
        <v>44197</v>
      </c>
      <c r="T5" s="47">
        <v>44562</v>
      </c>
      <c r="U5" s="47">
        <v>44927</v>
      </c>
      <c r="V5" s="47">
        <v>45292</v>
      </c>
      <c r="W5" s="47">
        <v>10959</v>
      </c>
      <c r="X5" s="47">
        <v>11324</v>
      </c>
      <c r="Y5" s="47">
        <v>36923</v>
      </c>
      <c r="Z5" s="47">
        <v>37288</v>
      </c>
      <c r="AA5" s="47">
        <v>37653</v>
      </c>
      <c r="AB5" s="47">
        <v>38018</v>
      </c>
      <c r="AC5" s="47">
        <v>38384</v>
      </c>
      <c r="AD5" s="48" t="s">
        <v>3339</v>
      </c>
      <c r="AE5" s="99" t="s">
        <v>3407</v>
      </c>
    </row>
    <row r="6" spans="6:31" x14ac:dyDescent="0.25">
      <c r="F6" s="49" t="s">
        <v>3337</v>
      </c>
      <c r="G6" s="52">
        <v>0</v>
      </c>
      <c r="H6" s="52">
        <v>0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0</v>
      </c>
      <c r="P6" s="52">
        <v>0</v>
      </c>
      <c r="Q6" s="52">
        <v>0</v>
      </c>
      <c r="R6" s="52">
        <v>0</v>
      </c>
      <c r="S6" s="52">
        <v>0</v>
      </c>
      <c r="T6" s="52">
        <v>0.5</v>
      </c>
      <c r="U6" s="52">
        <v>0.5</v>
      </c>
      <c r="V6" s="52">
        <v>0.5</v>
      </c>
      <c r="W6" s="52">
        <v>0</v>
      </c>
      <c r="X6" s="52">
        <v>0</v>
      </c>
      <c r="Y6" s="52">
        <v>0</v>
      </c>
      <c r="Z6" s="52">
        <v>0</v>
      </c>
      <c r="AA6" s="52">
        <v>0</v>
      </c>
      <c r="AB6" s="52">
        <v>0</v>
      </c>
      <c r="AC6" s="52">
        <v>0</v>
      </c>
      <c r="AD6" s="51">
        <f>IFERROR(LARGE($G6:$AC6,1),0)</f>
        <v>0.5</v>
      </c>
      <c r="AE6" s="100"/>
    </row>
    <row r="7" spans="6:31" x14ac:dyDescent="0.25">
      <c r="F7" s="49" t="s">
        <v>3334</v>
      </c>
      <c r="G7" s="52">
        <v>0.91</v>
      </c>
      <c r="H7" s="52">
        <v>0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P7" s="52">
        <v>0</v>
      </c>
      <c r="Q7" s="52">
        <v>0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v>0</v>
      </c>
      <c r="AB7" s="52">
        <v>0</v>
      </c>
      <c r="AC7" s="52">
        <v>0</v>
      </c>
      <c r="AD7" s="51">
        <f t="shared" ref="AD7:AD27" si="0">IFERROR(LARGE($G7:$AC7,1),0)</f>
        <v>1</v>
      </c>
      <c r="AE7" s="101" t="s">
        <v>3408</v>
      </c>
    </row>
    <row r="8" spans="6:31" x14ac:dyDescent="0.25">
      <c r="F8" s="49" t="s">
        <v>3335</v>
      </c>
      <c r="G8" s="52">
        <v>0.95</v>
      </c>
      <c r="H8" s="52">
        <v>0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0</v>
      </c>
      <c r="P8" s="52">
        <v>0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0</v>
      </c>
      <c r="AA8" s="52">
        <v>0</v>
      </c>
      <c r="AB8" s="52">
        <v>0</v>
      </c>
      <c r="AC8" s="52">
        <v>0</v>
      </c>
      <c r="AD8" s="51">
        <f t="shared" si="0"/>
        <v>0.95</v>
      </c>
      <c r="AE8" s="101" t="s">
        <v>3427</v>
      </c>
    </row>
    <row r="9" spans="6:31" x14ac:dyDescent="0.25">
      <c r="F9" s="49" t="s">
        <v>3336</v>
      </c>
      <c r="G9" s="52">
        <v>1</v>
      </c>
      <c r="H9" s="52">
        <v>0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0</v>
      </c>
      <c r="P9" s="52">
        <v>0</v>
      </c>
      <c r="Q9" s="52">
        <v>0</v>
      </c>
      <c r="R9" s="52">
        <v>0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0</v>
      </c>
      <c r="AA9" s="52">
        <v>0</v>
      </c>
      <c r="AB9" s="52">
        <v>0</v>
      </c>
      <c r="AC9" s="52">
        <v>0</v>
      </c>
      <c r="AD9" s="51">
        <f t="shared" si="0"/>
        <v>1</v>
      </c>
      <c r="AE9" s="101" t="s">
        <v>3408</v>
      </c>
    </row>
    <row r="10" spans="6:31" x14ac:dyDescent="0.25">
      <c r="F10" s="49" t="s">
        <v>3387</v>
      </c>
      <c r="G10" s="52">
        <v>0</v>
      </c>
      <c r="H10" s="52">
        <v>0</v>
      </c>
      <c r="I10" s="52">
        <v>0</v>
      </c>
      <c r="J10" s="52">
        <v>0</v>
      </c>
      <c r="K10" s="52">
        <v>0</v>
      </c>
      <c r="L10" s="52">
        <v>0</v>
      </c>
      <c r="M10" s="52">
        <v>1</v>
      </c>
      <c r="N10" s="52">
        <v>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v>0</v>
      </c>
      <c r="AA10" s="52">
        <v>0</v>
      </c>
      <c r="AB10" s="52">
        <v>0</v>
      </c>
      <c r="AC10" s="52">
        <v>0</v>
      </c>
      <c r="AD10" s="51">
        <f t="shared" si="0"/>
        <v>1</v>
      </c>
      <c r="AE10" s="101" t="s">
        <v>3408</v>
      </c>
    </row>
    <row r="11" spans="6:31" x14ac:dyDescent="0.25">
      <c r="F11" s="49" t="s">
        <v>3343</v>
      </c>
      <c r="G11" s="52">
        <v>0</v>
      </c>
      <c r="H11" s="52">
        <v>0.5</v>
      </c>
      <c r="I11" s="52">
        <v>1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0</v>
      </c>
      <c r="P11" s="52">
        <v>0</v>
      </c>
      <c r="Q11" s="52">
        <v>0</v>
      </c>
      <c r="R11" s="52">
        <v>0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0</v>
      </c>
      <c r="AA11" s="52">
        <v>0</v>
      </c>
      <c r="AB11" s="52">
        <v>0</v>
      </c>
      <c r="AC11" s="52">
        <v>0</v>
      </c>
      <c r="AD11" s="51">
        <f t="shared" si="0"/>
        <v>1</v>
      </c>
      <c r="AE11" s="101" t="s">
        <v>3408</v>
      </c>
    </row>
    <row r="12" spans="6:31" x14ac:dyDescent="0.25">
      <c r="F12" s="49" t="s">
        <v>3338</v>
      </c>
      <c r="G12" s="52">
        <v>0</v>
      </c>
      <c r="H12" s="52">
        <v>0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0</v>
      </c>
      <c r="P12" s="52">
        <v>0</v>
      </c>
      <c r="Q12" s="52">
        <v>0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0</v>
      </c>
      <c r="AA12" s="52">
        <v>0</v>
      </c>
      <c r="AB12" s="52">
        <v>0</v>
      </c>
      <c r="AC12" s="52">
        <v>0</v>
      </c>
      <c r="AD12" s="51">
        <f t="shared" si="0"/>
        <v>0</v>
      </c>
      <c r="AE12" s="101"/>
    </row>
    <row r="13" spans="6:31" x14ac:dyDescent="0.25">
      <c r="F13" s="49" t="s">
        <v>3355</v>
      </c>
      <c r="G13" s="52">
        <v>0</v>
      </c>
      <c r="H13" s="52">
        <v>1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0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v>0</v>
      </c>
      <c r="AA13" s="52">
        <v>0</v>
      </c>
      <c r="AB13" s="52">
        <v>0</v>
      </c>
      <c r="AC13" s="52">
        <v>0</v>
      </c>
      <c r="AD13" s="51">
        <f t="shared" si="0"/>
        <v>1</v>
      </c>
      <c r="AE13" s="101" t="s">
        <v>3408</v>
      </c>
    </row>
    <row r="14" spans="6:31" x14ac:dyDescent="0.25">
      <c r="F14" s="49" t="s">
        <v>3356</v>
      </c>
      <c r="G14" s="52">
        <v>0</v>
      </c>
      <c r="H14" s="52">
        <v>1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v>0</v>
      </c>
      <c r="AA14" s="52">
        <v>0</v>
      </c>
      <c r="AB14" s="52">
        <v>0</v>
      </c>
      <c r="AC14" s="52">
        <v>0</v>
      </c>
      <c r="AD14" s="51">
        <f t="shared" si="0"/>
        <v>1</v>
      </c>
      <c r="AE14" s="101" t="s">
        <v>3408</v>
      </c>
    </row>
    <row r="15" spans="6:31" x14ac:dyDescent="0.25">
      <c r="F15" s="49" t="s">
        <v>3429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0</v>
      </c>
      <c r="P15" s="52">
        <v>0</v>
      </c>
      <c r="Q15" s="52">
        <v>0</v>
      </c>
      <c r="R15" s="52">
        <v>1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0</v>
      </c>
      <c r="AA15" s="52">
        <v>0</v>
      </c>
      <c r="AB15" s="52">
        <v>0</v>
      </c>
      <c r="AC15" s="52">
        <v>0</v>
      </c>
      <c r="AD15" s="51">
        <f t="shared" si="0"/>
        <v>1</v>
      </c>
      <c r="AE15" s="101" t="s">
        <v>3408</v>
      </c>
    </row>
    <row r="16" spans="6:31" x14ac:dyDescent="0.25">
      <c r="F16" s="49" t="s">
        <v>3428</v>
      </c>
      <c r="G16" s="52">
        <v>0</v>
      </c>
      <c r="H16" s="52">
        <v>0</v>
      </c>
      <c r="I16" s="52">
        <v>0</v>
      </c>
      <c r="J16" s="52">
        <v>0</v>
      </c>
      <c r="K16" s="52">
        <v>0</v>
      </c>
      <c r="L16" s="52">
        <v>0</v>
      </c>
      <c r="M16" s="52">
        <v>0</v>
      </c>
      <c r="N16" s="52">
        <v>0</v>
      </c>
      <c r="O16" s="52">
        <v>0</v>
      </c>
      <c r="P16" s="52">
        <v>0</v>
      </c>
      <c r="Q16" s="52">
        <v>1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0</v>
      </c>
      <c r="AA16" s="52">
        <v>0</v>
      </c>
      <c r="AB16" s="52">
        <v>0</v>
      </c>
      <c r="AC16" s="52">
        <v>0</v>
      </c>
      <c r="AD16" s="51">
        <f t="shared" si="0"/>
        <v>1</v>
      </c>
      <c r="AE16" s="101" t="s">
        <v>3408</v>
      </c>
    </row>
    <row r="17" spans="6:31" x14ac:dyDescent="0.25">
      <c r="F17" s="49" t="s">
        <v>3405</v>
      </c>
      <c r="G17" s="52">
        <v>0</v>
      </c>
      <c r="H17" s="52">
        <v>0</v>
      </c>
      <c r="I17" s="52">
        <v>0</v>
      </c>
      <c r="J17" s="52">
        <v>0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  <c r="P17" s="52">
        <v>0.8</v>
      </c>
      <c r="Q17" s="52">
        <v>1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v>0</v>
      </c>
      <c r="AA17" s="52">
        <v>0</v>
      </c>
      <c r="AB17" s="52">
        <v>0</v>
      </c>
      <c r="AC17" s="52">
        <v>0</v>
      </c>
      <c r="AD17" s="51">
        <f t="shared" si="0"/>
        <v>1</v>
      </c>
      <c r="AE17" s="101" t="s">
        <v>3408</v>
      </c>
    </row>
    <row r="18" spans="6:31" s="153" customFormat="1" ht="18" customHeight="1" x14ac:dyDescent="0.25">
      <c r="F18" s="149" t="s">
        <v>3389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0.6</v>
      </c>
      <c r="N18" s="150">
        <v>0</v>
      </c>
      <c r="O18" s="150">
        <v>0</v>
      </c>
      <c r="P18" s="150">
        <v>0.7</v>
      </c>
      <c r="Q18" s="150">
        <v>1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  <c r="W18" s="150">
        <v>0</v>
      </c>
      <c r="X18" s="150">
        <v>0</v>
      </c>
      <c r="Y18" s="150">
        <v>0</v>
      </c>
      <c r="Z18" s="150">
        <v>0</v>
      </c>
      <c r="AA18" s="150">
        <v>0</v>
      </c>
      <c r="AB18" s="150">
        <v>0</v>
      </c>
      <c r="AC18" s="150">
        <v>0</v>
      </c>
      <c r="AD18" s="151">
        <f t="shared" si="0"/>
        <v>1</v>
      </c>
      <c r="AE18" s="152" t="s">
        <v>3408</v>
      </c>
    </row>
    <row r="19" spans="6:31" x14ac:dyDescent="0.25">
      <c r="F19" s="49" t="s">
        <v>3388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0</v>
      </c>
      <c r="M19" s="52">
        <v>0</v>
      </c>
      <c r="N19" s="52">
        <v>0</v>
      </c>
      <c r="O19" s="52">
        <v>0</v>
      </c>
      <c r="P19" s="52">
        <v>0</v>
      </c>
      <c r="Q19" s="52">
        <v>0</v>
      </c>
      <c r="R19" s="52">
        <v>0</v>
      </c>
      <c r="S19" s="52">
        <v>1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v>0</v>
      </c>
      <c r="AA19" s="52">
        <v>0</v>
      </c>
      <c r="AB19" s="52">
        <v>0</v>
      </c>
      <c r="AC19" s="52">
        <v>0</v>
      </c>
      <c r="AD19" s="51">
        <f t="shared" si="0"/>
        <v>1</v>
      </c>
      <c r="AE19" s="101" t="s">
        <v>3408</v>
      </c>
    </row>
    <row r="20" spans="6:31" x14ac:dyDescent="0.25">
      <c r="F20" s="49" t="s">
        <v>3458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0</v>
      </c>
      <c r="M20" s="52">
        <v>0</v>
      </c>
      <c r="N20" s="52">
        <v>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v>0</v>
      </c>
      <c r="AA20" s="52">
        <v>0</v>
      </c>
      <c r="AB20" s="52">
        <v>0</v>
      </c>
      <c r="AC20" s="52">
        <v>0</v>
      </c>
      <c r="AD20" s="51">
        <f t="shared" si="0"/>
        <v>0</v>
      </c>
      <c r="AE20" s="101" t="s">
        <v>3716</v>
      </c>
    </row>
    <row r="21" spans="6:31" x14ac:dyDescent="0.25">
      <c r="F21" s="238" t="s">
        <v>3774</v>
      </c>
      <c r="G21" s="52">
        <v>0</v>
      </c>
      <c r="H21" s="52">
        <v>0</v>
      </c>
      <c r="I21" s="52">
        <v>0</v>
      </c>
      <c r="J21" s="52">
        <v>0</v>
      </c>
      <c r="K21" s="52">
        <v>0</v>
      </c>
      <c r="L21" s="52">
        <v>0</v>
      </c>
      <c r="M21" s="52">
        <v>0</v>
      </c>
      <c r="N21" s="52">
        <v>0</v>
      </c>
      <c r="O21" s="52">
        <v>0</v>
      </c>
      <c r="P21" s="52">
        <v>0</v>
      </c>
      <c r="Q21" s="52">
        <v>0</v>
      </c>
      <c r="R21" s="52">
        <v>0</v>
      </c>
      <c r="S21" s="52">
        <v>0</v>
      </c>
      <c r="T21" s="52">
        <v>0</v>
      </c>
      <c r="U21" s="52">
        <v>0</v>
      </c>
      <c r="V21" s="52">
        <v>0</v>
      </c>
      <c r="W21" s="52">
        <v>1</v>
      </c>
      <c r="X21" s="52">
        <v>0</v>
      </c>
      <c r="Y21" s="52">
        <v>0</v>
      </c>
      <c r="Z21" s="52">
        <v>0</v>
      </c>
      <c r="AA21" s="52">
        <v>0</v>
      </c>
      <c r="AB21" s="52">
        <v>0</v>
      </c>
      <c r="AC21" s="52">
        <v>0</v>
      </c>
      <c r="AD21" s="51">
        <f t="shared" si="0"/>
        <v>1</v>
      </c>
      <c r="AE21" s="239"/>
    </row>
    <row r="22" spans="6:31" x14ac:dyDescent="0.25">
      <c r="F22" s="238" t="s">
        <v>3715</v>
      </c>
      <c r="G22" s="52">
        <v>0</v>
      </c>
      <c r="H22" s="52">
        <v>0</v>
      </c>
      <c r="I22" s="52">
        <v>0</v>
      </c>
      <c r="J22" s="52">
        <v>0</v>
      </c>
      <c r="K22" s="52">
        <v>0</v>
      </c>
      <c r="L22" s="52">
        <v>0</v>
      </c>
      <c r="M22" s="52">
        <v>0</v>
      </c>
      <c r="N22" s="52">
        <v>0</v>
      </c>
      <c r="O22" s="52">
        <v>0</v>
      </c>
      <c r="P22" s="52">
        <v>0</v>
      </c>
      <c r="Q22" s="52">
        <v>0</v>
      </c>
      <c r="R22" s="52">
        <v>0</v>
      </c>
      <c r="S22" s="52">
        <v>0</v>
      </c>
      <c r="T22" s="52">
        <v>0</v>
      </c>
      <c r="U22" s="52">
        <v>0</v>
      </c>
      <c r="V22" s="52">
        <v>0</v>
      </c>
      <c r="W22" s="52">
        <v>1</v>
      </c>
      <c r="X22" s="52">
        <v>0</v>
      </c>
      <c r="Y22" s="52">
        <v>0</v>
      </c>
      <c r="Z22" s="52">
        <v>0</v>
      </c>
      <c r="AA22" s="52">
        <v>0</v>
      </c>
      <c r="AB22" s="52">
        <v>0</v>
      </c>
      <c r="AC22" s="52">
        <v>0</v>
      </c>
      <c r="AD22" s="51">
        <f t="shared" si="0"/>
        <v>1</v>
      </c>
      <c r="AE22" s="239"/>
    </row>
    <row r="23" spans="6:31" x14ac:dyDescent="0.25">
      <c r="F23" s="238" t="s">
        <v>3488</v>
      </c>
      <c r="G23" s="52">
        <v>0</v>
      </c>
      <c r="H23" s="52">
        <v>0</v>
      </c>
      <c r="I23" s="52">
        <v>0</v>
      </c>
      <c r="J23" s="52">
        <v>0</v>
      </c>
      <c r="K23" s="52">
        <v>0</v>
      </c>
      <c r="L23" s="52">
        <v>0</v>
      </c>
      <c r="M23" s="52">
        <v>0</v>
      </c>
      <c r="N23" s="52">
        <v>0</v>
      </c>
      <c r="O23" s="52">
        <v>0</v>
      </c>
      <c r="P23" s="52">
        <v>0</v>
      </c>
      <c r="Q23" s="52">
        <v>0</v>
      </c>
      <c r="R23" s="52">
        <v>0</v>
      </c>
      <c r="S23" s="52">
        <v>0</v>
      </c>
      <c r="T23" s="52">
        <v>0.95</v>
      </c>
      <c r="U23" s="52">
        <v>0</v>
      </c>
      <c r="V23" s="52">
        <v>0</v>
      </c>
      <c r="W23" s="52">
        <v>0</v>
      </c>
      <c r="X23" s="52">
        <v>0</v>
      </c>
      <c r="Y23" s="52">
        <v>0</v>
      </c>
      <c r="Z23" s="52">
        <v>0</v>
      </c>
      <c r="AA23" s="52">
        <v>0</v>
      </c>
      <c r="AB23" s="52">
        <v>0</v>
      </c>
      <c r="AC23" s="52">
        <v>0</v>
      </c>
      <c r="AD23" s="51">
        <f t="shared" si="0"/>
        <v>0.95</v>
      </c>
      <c r="AE23" s="239" t="s">
        <v>3649</v>
      </c>
    </row>
    <row r="24" spans="6:31" x14ac:dyDescent="0.25">
      <c r="F24" s="238" t="s">
        <v>3618</v>
      </c>
      <c r="G24" s="52">
        <v>0</v>
      </c>
      <c r="H24" s="52">
        <v>0</v>
      </c>
      <c r="I24" s="52">
        <v>0</v>
      </c>
      <c r="J24" s="52">
        <v>0</v>
      </c>
      <c r="K24" s="52">
        <v>0</v>
      </c>
      <c r="L24" s="52">
        <v>0</v>
      </c>
      <c r="M24" s="52">
        <v>0</v>
      </c>
      <c r="N24" s="52">
        <v>0</v>
      </c>
      <c r="O24" s="52">
        <v>0</v>
      </c>
      <c r="P24" s="52">
        <v>0</v>
      </c>
      <c r="Q24" s="52">
        <v>0</v>
      </c>
      <c r="R24" s="52">
        <v>0</v>
      </c>
      <c r="S24" s="52">
        <v>0</v>
      </c>
      <c r="T24" s="52">
        <v>1</v>
      </c>
      <c r="U24" s="52">
        <v>0</v>
      </c>
      <c r="V24" s="52">
        <v>0</v>
      </c>
      <c r="W24" s="52">
        <v>0</v>
      </c>
      <c r="X24" s="52">
        <v>0</v>
      </c>
      <c r="Y24" s="52">
        <v>0</v>
      </c>
      <c r="Z24" s="52">
        <v>0</v>
      </c>
      <c r="AA24" s="52">
        <v>0</v>
      </c>
      <c r="AB24" s="52">
        <v>0</v>
      </c>
      <c r="AC24" s="52">
        <v>0</v>
      </c>
      <c r="AD24" s="51">
        <f t="shared" si="0"/>
        <v>1</v>
      </c>
      <c r="AE24" s="239"/>
    </row>
    <row r="25" spans="6:31" x14ac:dyDescent="0.25">
      <c r="F25" s="238" t="s">
        <v>3619</v>
      </c>
      <c r="G25" s="52">
        <v>0</v>
      </c>
      <c r="H25" s="52">
        <v>0</v>
      </c>
      <c r="I25" s="52">
        <v>0</v>
      </c>
      <c r="J25" s="52">
        <v>0</v>
      </c>
      <c r="K25" s="52">
        <v>0</v>
      </c>
      <c r="L25" s="52">
        <v>0</v>
      </c>
      <c r="M25" s="52">
        <v>0</v>
      </c>
      <c r="N25" s="52">
        <v>0</v>
      </c>
      <c r="O25" s="52">
        <v>0</v>
      </c>
      <c r="P25" s="52">
        <v>0</v>
      </c>
      <c r="Q25" s="52">
        <v>0</v>
      </c>
      <c r="R25" s="52">
        <v>0</v>
      </c>
      <c r="S25" s="52">
        <v>0</v>
      </c>
      <c r="T25" s="52">
        <v>1</v>
      </c>
      <c r="U25" s="52">
        <v>0</v>
      </c>
      <c r="V25" s="52">
        <v>0</v>
      </c>
      <c r="W25" s="52">
        <v>0</v>
      </c>
      <c r="X25" s="52">
        <v>0</v>
      </c>
      <c r="Y25" s="52">
        <v>0</v>
      </c>
      <c r="Z25" s="52">
        <v>0</v>
      </c>
      <c r="AA25" s="52">
        <v>0</v>
      </c>
      <c r="AB25" s="52">
        <v>0</v>
      </c>
      <c r="AC25" s="52">
        <v>0</v>
      </c>
      <c r="AD25" s="51">
        <f t="shared" si="0"/>
        <v>1</v>
      </c>
      <c r="AE25" s="239"/>
    </row>
    <row r="26" spans="6:31" x14ac:dyDescent="0.25">
      <c r="F26" s="238" t="s">
        <v>3648</v>
      </c>
      <c r="G26" s="52">
        <v>0</v>
      </c>
      <c r="H26" s="52">
        <v>0</v>
      </c>
      <c r="I26" s="52">
        <v>0</v>
      </c>
      <c r="J26" s="52">
        <v>0</v>
      </c>
      <c r="K26" s="52">
        <v>0</v>
      </c>
      <c r="L26" s="52">
        <v>0</v>
      </c>
      <c r="M26" s="52">
        <v>0</v>
      </c>
      <c r="N26" s="52">
        <v>0</v>
      </c>
      <c r="O26" s="52">
        <v>0</v>
      </c>
      <c r="P26" s="52">
        <v>0</v>
      </c>
      <c r="Q26" s="52">
        <v>0</v>
      </c>
      <c r="R26" s="52">
        <v>0</v>
      </c>
      <c r="S26" s="52">
        <v>0</v>
      </c>
      <c r="T26" s="52">
        <v>0</v>
      </c>
      <c r="U26" s="52">
        <v>0</v>
      </c>
      <c r="V26" s="52">
        <v>1</v>
      </c>
      <c r="W26" s="52">
        <v>0</v>
      </c>
      <c r="X26" s="52">
        <v>0</v>
      </c>
      <c r="Y26" s="52">
        <v>0</v>
      </c>
      <c r="Z26" s="52">
        <v>0</v>
      </c>
      <c r="AA26" s="52">
        <v>0</v>
      </c>
      <c r="AB26" s="52">
        <v>0</v>
      </c>
      <c r="AC26" s="52">
        <v>0</v>
      </c>
      <c r="AD26" s="51">
        <f t="shared" si="0"/>
        <v>1</v>
      </c>
      <c r="AE26" s="239"/>
    </row>
    <row r="27" spans="6:31" ht="15.75" thickBot="1" x14ac:dyDescent="0.3">
      <c r="F27" s="50" t="s">
        <v>3459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0</v>
      </c>
      <c r="M27" s="52">
        <v>0</v>
      </c>
      <c r="N27" s="52">
        <v>0</v>
      </c>
      <c r="O27" s="52">
        <v>0</v>
      </c>
      <c r="P27" s="52">
        <v>0</v>
      </c>
      <c r="Q27" s="52">
        <v>0</v>
      </c>
      <c r="R27" s="52">
        <v>0</v>
      </c>
      <c r="S27" s="52">
        <v>0</v>
      </c>
      <c r="T27" s="52">
        <v>0</v>
      </c>
      <c r="U27" s="52">
        <v>0</v>
      </c>
      <c r="V27" s="52">
        <v>0</v>
      </c>
      <c r="W27" s="52">
        <v>0</v>
      </c>
      <c r="X27" s="52">
        <v>0</v>
      </c>
      <c r="Y27" s="52">
        <v>0</v>
      </c>
      <c r="Z27" s="52">
        <v>0</v>
      </c>
      <c r="AA27" s="52">
        <v>0</v>
      </c>
      <c r="AB27" s="52">
        <v>0</v>
      </c>
      <c r="AC27" s="52">
        <v>0</v>
      </c>
      <c r="AD27" s="51">
        <f t="shared" si="0"/>
        <v>0</v>
      </c>
      <c r="AE27" s="102"/>
    </row>
  </sheetData>
  <conditionalFormatting sqref="G6:AD27">
    <cfRule type="cellIs" dxfId="187" priority="4" operator="equal">
      <formula>1</formula>
    </cfRule>
    <cfRule type="cellIs" dxfId="186" priority="5" operator="lessThanOrEqual">
      <formula>0.5</formula>
    </cfRule>
    <cfRule type="cellIs" dxfId="185" priority="6" operator="greaterThanOrEqual">
      <formula>0.51</formula>
    </cfRule>
  </conditionalFormatting>
  <conditionalFormatting sqref="AE6:AE27">
    <cfRule type="cellIs" dxfId="184" priority="1" operator="equal">
      <formula>"COMPLETED"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AEDF-8790-439B-89C2-5CD436210EBA}">
  <sheetPr codeName="Sheet11">
    <tabColor rgb="FF92D050"/>
  </sheetPr>
  <dimension ref="B1:Y29"/>
  <sheetViews>
    <sheetView showGridLines="0" tabSelected="1" zoomScale="90" zoomScaleNormal="90" workbookViewId="0">
      <selection activeCell="F31" sqref="F31"/>
    </sheetView>
  </sheetViews>
  <sheetFormatPr defaultRowHeight="15" x14ac:dyDescent="0.25"/>
  <cols>
    <col min="1" max="1" width="3" customWidth="1"/>
    <col min="2" max="5" width="7.5703125" customWidth="1"/>
    <col min="6" max="6" width="14.85546875" bestFit="1" customWidth="1"/>
    <col min="7" max="7" width="10" customWidth="1"/>
    <col min="14" max="14" width="9.85546875" bestFit="1" customWidth="1"/>
    <col min="15" max="18" width="9.85546875" customWidth="1"/>
    <col min="22" max="25" width="7.85546875" customWidth="1"/>
  </cols>
  <sheetData>
    <row r="1" spans="2:25" x14ac:dyDescent="0.25">
      <c r="U1" s="244"/>
      <c r="V1" s="244"/>
      <c r="W1" s="244"/>
      <c r="X1" s="244"/>
      <c r="Y1" s="244"/>
    </row>
    <row r="2" spans="2:25" x14ac:dyDescent="0.25">
      <c r="G2" s="423">
        <f ca="1">TODAY()</f>
        <v>45322</v>
      </c>
      <c r="H2" s="538">
        <f ca="1">VALUE(G2)</f>
        <v>45322</v>
      </c>
      <c r="I2" s="538"/>
      <c r="J2" s="538">
        <v>1</v>
      </c>
      <c r="K2" s="538">
        <v>2</v>
      </c>
      <c r="L2" s="538">
        <v>3</v>
      </c>
      <c r="M2" s="538">
        <v>4</v>
      </c>
      <c r="N2" s="538">
        <v>5</v>
      </c>
      <c r="O2" s="538">
        <v>6</v>
      </c>
      <c r="P2" s="538">
        <v>7</v>
      </c>
      <c r="Q2" s="538">
        <v>8</v>
      </c>
      <c r="R2" s="538">
        <v>9</v>
      </c>
      <c r="S2" s="538">
        <v>10</v>
      </c>
      <c r="T2" s="538">
        <v>11</v>
      </c>
      <c r="U2" s="539">
        <v>12</v>
      </c>
      <c r="V2" s="515"/>
      <c r="W2" s="516"/>
      <c r="X2" s="516"/>
      <c r="Y2" s="516"/>
    </row>
    <row r="3" spans="2:25" ht="16.5" thickBot="1" x14ac:dyDescent="0.3">
      <c r="F3" s="447" t="s">
        <v>3790</v>
      </c>
      <c r="G3" s="545" t="str">
        <f ca="1">VLOOKUP(MONTH($G$2),NJCALENDAR,2,FALSE) &amp; " " &amp; DAY($G$2) &amp; "," &amp; " " &amp; YEAR($G$2)</f>
        <v>January 31, 2024</v>
      </c>
      <c r="H3" s="545"/>
      <c r="V3" s="244"/>
      <c r="W3" s="244"/>
      <c r="X3" s="244"/>
      <c r="Y3" s="244"/>
    </row>
    <row r="4" spans="2:25" ht="15.75" thickBot="1" x14ac:dyDescent="0.3">
      <c r="F4" s="439" t="str">
        <f ca="1">YEAR($G$2) &amp; " " &amp; "-" &amp; " " &amp; "STATUS"</f>
        <v>2024 - STATUS</v>
      </c>
      <c r="G4" s="440" t="s">
        <v>3775</v>
      </c>
      <c r="H4" s="441" t="s">
        <v>3776</v>
      </c>
      <c r="I4" s="442" t="s">
        <v>3777</v>
      </c>
      <c r="J4" s="443" t="s">
        <v>3778</v>
      </c>
      <c r="K4" s="441" t="s">
        <v>3779</v>
      </c>
      <c r="L4" s="441" t="s">
        <v>3780</v>
      </c>
      <c r="M4" s="441" t="s">
        <v>3781</v>
      </c>
      <c r="N4" s="441" t="s">
        <v>3782</v>
      </c>
      <c r="O4" s="441" t="s">
        <v>3783</v>
      </c>
      <c r="P4" s="441" t="s">
        <v>3784</v>
      </c>
      <c r="Q4" s="441" t="s">
        <v>3785</v>
      </c>
      <c r="R4" s="441" t="s">
        <v>3786</v>
      </c>
      <c r="S4" s="441" t="s">
        <v>3787</v>
      </c>
      <c r="T4" s="441" t="s">
        <v>3788</v>
      </c>
      <c r="U4" s="444" t="s">
        <v>3789</v>
      </c>
      <c r="V4" s="244"/>
      <c r="W4" s="244"/>
      <c r="X4" s="244"/>
      <c r="Y4" s="244"/>
    </row>
    <row r="5" spans="2:25" x14ac:dyDescent="0.25">
      <c r="F5" s="445" t="s">
        <v>3812</v>
      </c>
      <c r="G5" s="518">
        <f ca="1">SUMIF(SalesTable[DATEVALUE],$H$2,SalesTable[Total])</f>
        <v>0</v>
      </c>
      <c r="H5" s="519">
        <f ca="1">SUMIFS(SalesTable[Total],SalesTable[YEAR],YEAR($H$2),SalesTable[MONTH],MONTH($H$2))</f>
        <v>4431</v>
      </c>
      <c r="I5" s="520">
        <f ca="1">SUMIF(SalesTable[YEAR],YEAR($H$2),SalesTable[Total])</f>
        <v>4856</v>
      </c>
      <c r="J5" s="521">
        <f ca="1">SUMIFS(SalesTable[Total],SalesTable[YEAR],YEAR($H$2),SalesTable[MONTH],J$2)</f>
        <v>4431</v>
      </c>
      <c r="K5" s="519">
        <f ca="1">SUMIFS(SalesTable[Total],SalesTable[YEAR],YEAR($H$2),SalesTable[MONTH],K$2)</f>
        <v>425</v>
      </c>
      <c r="L5" s="519">
        <f ca="1">SUMIFS(SalesTable[Total],SalesTable[YEAR],YEAR($H$2),SalesTable[MONTH],L$2)</f>
        <v>0</v>
      </c>
      <c r="M5" s="519">
        <f ca="1">SUMIFS(SalesTable[Total],SalesTable[YEAR],YEAR($H$2),SalesTable[MONTH],M$2)</f>
        <v>0</v>
      </c>
      <c r="N5" s="519">
        <f ca="1">SUMIFS(SalesTable[Total],SalesTable[YEAR],YEAR($H$2),SalesTable[MONTH],N$2)</f>
        <v>0</v>
      </c>
      <c r="O5" s="519">
        <f ca="1">SUMIFS(SalesTable[Total],SalesTable[YEAR],YEAR($H$2),SalesTable[MONTH],O$2)</f>
        <v>0</v>
      </c>
      <c r="P5" s="519">
        <f ca="1">SUMIFS(SalesTable[Total],SalesTable[YEAR],YEAR($H$2),SalesTable[MONTH],P$2)</f>
        <v>0</v>
      </c>
      <c r="Q5" s="519">
        <f ca="1">SUMIFS(SalesTable[Total],SalesTable[YEAR],YEAR($H$2),SalesTable[MONTH],Q$2)</f>
        <v>0</v>
      </c>
      <c r="R5" s="519">
        <f ca="1">SUMIFS(SalesTable[Total],SalesTable[YEAR],YEAR($H$2),SalesTable[MONTH],R$2)</f>
        <v>0</v>
      </c>
      <c r="S5" s="519">
        <f ca="1">SUMIFS(SalesTable[Total],SalesTable[YEAR],YEAR($H$2),SalesTable[MONTH],S$2)</f>
        <v>0</v>
      </c>
      <c r="T5" s="519">
        <f ca="1">SUMIFS(SalesTable[Total],SalesTable[YEAR],YEAR($H$2),SalesTable[MONTH],T$2)</f>
        <v>0</v>
      </c>
      <c r="U5" s="522">
        <f ca="1">SUMIFS(SalesTable[Total],SalesTable[YEAR],YEAR($H$2),SalesTable[MONTH],U$2)</f>
        <v>0</v>
      </c>
    </row>
    <row r="6" spans="2:25" x14ac:dyDescent="0.25">
      <c r="F6" s="446" t="s">
        <v>3813</v>
      </c>
      <c r="G6" s="523">
        <f ca="1">SUMIF(PurchaseHistoryTable[DateValue],$H$2,PurchaseHistoryTable[Total Cost])</f>
        <v>0</v>
      </c>
      <c r="H6" s="524">
        <f ca="1">SUMIFS(PurchaseHistoryTable[Total Cost],PurchaseHistoryTable[Year],YEAR($H$2),PurchaseHistoryTable[Month],MONTH($H$2))</f>
        <v>14020</v>
      </c>
      <c r="I6" s="525">
        <f ca="1">SUMIF(PurchaseHistoryTable[Year],YEAR($H$2),PurchaseHistoryTable[Total Cost])</f>
        <v>14180</v>
      </c>
      <c r="J6" s="526">
        <f ca="1">SUMIFS(PurchaseHistoryTable[Total Cost],PurchaseHistoryTable[Year],YEAR($H$2),PurchaseHistoryTable[Month],J$2)</f>
        <v>14020</v>
      </c>
      <c r="K6" s="524">
        <f ca="1">SUMIFS(PurchaseHistoryTable[Total Cost],PurchaseHistoryTable[Year],YEAR($H$2),PurchaseHistoryTable[Month],K$2)</f>
        <v>160</v>
      </c>
      <c r="L6" s="524">
        <f ca="1">SUMIFS(PurchaseHistoryTable[Total Cost],PurchaseHistoryTable[Year],YEAR($H$2),PurchaseHistoryTable[Month],L$2)</f>
        <v>0</v>
      </c>
      <c r="M6" s="524">
        <f ca="1">SUMIFS(PurchaseHistoryTable[Total Cost],PurchaseHistoryTable[Year],YEAR($H$2),PurchaseHistoryTable[Month],M$2)</f>
        <v>0</v>
      </c>
      <c r="N6" s="524">
        <f ca="1">SUMIFS(PurchaseHistoryTable[Total Cost],PurchaseHistoryTable[Year],YEAR($H$2),PurchaseHistoryTable[Month],N$2)</f>
        <v>0</v>
      </c>
      <c r="O6" s="524">
        <f ca="1">SUMIFS(PurchaseHistoryTable[Total Cost],PurchaseHistoryTable[Year],YEAR($H$2),PurchaseHistoryTable[Month],O$2)</f>
        <v>0</v>
      </c>
      <c r="P6" s="524">
        <f ca="1">SUMIFS(PurchaseHistoryTable[Total Cost],PurchaseHistoryTable[Year],YEAR($H$2),PurchaseHistoryTable[Month],P$2)</f>
        <v>0</v>
      </c>
      <c r="Q6" s="524">
        <f ca="1">SUMIFS(PurchaseHistoryTable[Total Cost],PurchaseHistoryTable[Year],YEAR($H$2),PurchaseHistoryTable[Month],Q$2)</f>
        <v>0</v>
      </c>
      <c r="R6" s="524">
        <f ca="1">SUMIFS(PurchaseHistoryTable[Total Cost],PurchaseHistoryTable[Year],YEAR($H$2),PurchaseHistoryTable[Month],R$2)</f>
        <v>0</v>
      </c>
      <c r="S6" s="524">
        <f ca="1">SUMIFS(PurchaseHistoryTable[Total Cost],PurchaseHistoryTable[Year],YEAR($H$2),PurchaseHistoryTable[Month],S$2)</f>
        <v>0</v>
      </c>
      <c r="T6" s="524">
        <f ca="1">SUMIFS(PurchaseHistoryTable[Total Cost],PurchaseHistoryTable[Year],YEAR($H$2),PurchaseHistoryTable[Month],T$2)</f>
        <v>0</v>
      </c>
      <c r="U6" s="527">
        <f ca="1">SUMIFS(PurchaseHistoryTable[Total Cost],PurchaseHistoryTable[Year],YEAR($H$2),PurchaseHistoryTable[Month],U$2)</f>
        <v>0</v>
      </c>
    </row>
    <row r="7" spans="2:25" x14ac:dyDescent="0.25">
      <c r="F7" s="438" t="s">
        <v>3791</v>
      </c>
      <c r="G7" s="528">
        <f ca="1">SUMIF(ExpensesTable[DATEVALUE],$H$2,ExpensesTable[TOTLPUR])</f>
        <v>0</v>
      </c>
      <c r="H7" s="529">
        <f ca="1">SUMIFS(ExpensesTable[TOTLPUR],ExpensesTable[[YEAR ]],YEAR($H$2),ExpensesTable[MONTH],MONTH($H$2))</f>
        <v>254</v>
      </c>
      <c r="I7" s="530">
        <f ca="1">SUMIF(ExpensesTable[[YEAR ]],YEAR($H$2),ExpensesTable[TOTLPUR])</f>
        <v>329</v>
      </c>
      <c r="J7" s="531">
        <f ca="1">SUMIFS(ExpensesTable[TOTLPUR],ExpensesTable[[YEAR ]],YEAR($H$2),ExpensesTable[MONTH],J$2)</f>
        <v>254</v>
      </c>
      <c r="K7" s="529">
        <f ca="1">SUMIFS(ExpensesTable[TOTLPUR],ExpensesTable[[YEAR ]],YEAR($H$2),ExpensesTable[MONTH],K$2)</f>
        <v>75</v>
      </c>
      <c r="L7" s="529">
        <f ca="1">SUMIFS(ExpensesTable[TOTLPUR],ExpensesTable[[YEAR ]],YEAR($H$2),ExpensesTable[MONTH],L$2)</f>
        <v>0</v>
      </c>
      <c r="M7" s="529">
        <f ca="1">SUMIFS(ExpensesTable[TOTLPUR],ExpensesTable[[YEAR ]],YEAR($H$2),ExpensesTable[MONTH],M$2)</f>
        <v>0</v>
      </c>
      <c r="N7" s="529">
        <f ca="1">SUMIFS(ExpensesTable[TOTLPUR],ExpensesTable[[YEAR ]],YEAR($H$2),ExpensesTable[MONTH],N$2)</f>
        <v>0</v>
      </c>
      <c r="O7" s="529">
        <f ca="1">SUMIFS(ExpensesTable[TOTLPUR],ExpensesTable[[YEAR ]],YEAR($H$2),ExpensesTable[MONTH],O$2)</f>
        <v>0</v>
      </c>
      <c r="P7" s="529">
        <f ca="1">SUMIFS(ExpensesTable[TOTLPUR],ExpensesTable[[YEAR ]],YEAR($H$2),ExpensesTable[MONTH],P$2)</f>
        <v>0</v>
      </c>
      <c r="Q7" s="529">
        <f ca="1">SUMIFS(ExpensesTable[TOTLPUR],ExpensesTable[[YEAR ]],YEAR($H$2),ExpensesTable[MONTH],Q$2)</f>
        <v>0</v>
      </c>
      <c r="R7" s="529">
        <f ca="1">SUMIFS(ExpensesTable[TOTLPUR],ExpensesTable[[YEAR ]],YEAR($H$2),ExpensesTable[MONTH],R$2)</f>
        <v>0</v>
      </c>
      <c r="S7" s="529">
        <f ca="1">SUMIFS(ExpensesTable[TOTLPUR],ExpensesTable[[YEAR ]],YEAR($H$2),ExpensesTable[MONTH],S$2)</f>
        <v>0</v>
      </c>
      <c r="T7" s="529">
        <f ca="1">SUMIFS(ExpensesTable[TOTLPUR],ExpensesTable[[YEAR ]],YEAR($H$2),ExpensesTable[MONTH],T$2)</f>
        <v>0</v>
      </c>
      <c r="U7" s="532">
        <f ca="1">SUMIFS(ExpensesTable[TOTLPUR],ExpensesTable[[YEAR ]],YEAR($H$2),ExpensesTable[MONTH],U$2)</f>
        <v>0</v>
      </c>
      <c r="V7" s="241"/>
      <c r="W7" s="106"/>
      <c r="X7" s="106"/>
      <c r="Y7" s="106"/>
    </row>
    <row r="8" spans="2:25" x14ac:dyDescent="0.25">
      <c r="E8" s="241"/>
      <c r="F8" s="437" t="s">
        <v>3792</v>
      </c>
      <c r="G8" s="533">
        <f ca="1">G5-SUM(G6,G7)</f>
        <v>0</v>
      </c>
      <c r="H8" s="534">
        <f t="shared" ref="H8:U8" ca="1" si="0">H5-SUM(H6,H7)</f>
        <v>-9843</v>
      </c>
      <c r="I8" s="535">
        <f t="shared" ca="1" si="0"/>
        <v>-9653</v>
      </c>
      <c r="J8" s="536">
        <f t="shared" ca="1" si="0"/>
        <v>-9843</v>
      </c>
      <c r="K8" s="534">
        <f t="shared" ca="1" si="0"/>
        <v>190</v>
      </c>
      <c r="L8" s="534">
        <f t="shared" ca="1" si="0"/>
        <v>0</v>
      </c>
      <c r="M8" s="534">
        <f t="shared" ca="1" si="0"/>
        <v>0</v>
      </c>
      <c r="N8" s="534">
        <f t="shared" ca="1" si="0"/>
        <v>0</v>
      </c>
      <c r="O8" s="534">
        <f t="shared" ca="1" si="0"/>
        <v>0</v>
      </c>
      <c r="P8" s="534">
        <f t="shared" ca="1" si="0"/>
        <v>0</v>
      </c>
      <c r="Q8" s="534">
        <f t="shared" ca="1" si="0"/>
        <v>0</v>
      </c>
      <c r="R8" s="534">
        <f t="shared" ca="1" si="0"/>
        <v>0</v>
      </c>
      <c r="S8" s="534">
        <f t="shared" ca="1" si="0"/>
        <v>0</v>
      </c>
      <c r="T8" s="534">
        <f t="shared" ca="1" si="0"/>
        <v>0</v>
      </c>
      <c r="U8" s="537">
        <f t="shared" ca="1" si="0"/>
        <v>0</v>
      </c>
      <c r="V8" s="241"/>
      <c r="W8" s="242"/>
      <c r="X8" s="242"/>
      <c r="Y8" s="242"/>
    </row>
    <row r="9" spans="2:25" ht="15.75" thickBot="1" x14ac:dyDescent="0.3">
      <c r="C9" s="106"/>
      <c r="D9" s="106"/>
      <c r="E9" s="241"/>
      <c r="F9" s="435"/>
      <c r="G9" s="436"/>
      <c r="H9" s="431"/>
      <c r="I9" s="434"/>
      <c r="J9" s="433"/>
      <c r="K9" s="431"/>
      <c r="L9" s="431"/>
      <c r="M9" s="431"/>
      <c r="N9" s="431"/>
      <c r="O9" s="431"/>
      <c r="P9" s="431"/>
      <c r="Q9" s="431"/>
      <c r="R9" s="431"/>
      <c r="S9" s="431"/>
      <c r="T9" s="431"/>
      <c r="U9" s="432"/>
    </row>
    <row r="12" spans="2:25" ht="9" customHeight="1" x14ac:dyDescent="0.25">
      <c r="B12" s="2"/>
      <c r="C12" s="2"/>
      <c r="D12" s="2"/>
      <c r="E12" s="2"/>
      <c r="V12" s="240"/>
      <c r="W12" s="240"/>
      <c r="X12" s="240"/>
      <c r="Y12" s="240"/>
    </row>
    <row r="13" spans="2:25" ht="18.75" x14ac:dyDescent="0.3">
      <c r="B13" s="543" t="s">
        <v>3460</v>
      </c>
      <c r="C13" s="543"/>
      <c r="D13" s="543"/>
      <c r="E13" s="543"/>
      <c r="V13" s="544" t="s">
        <v>3461</v>
      </c>
      <c r="W13" s="544"/>
      <c r="X13" s="544"/>
      <c r="Y13" s="544"/>
    </row>
    <row r="14" spans="2:25" x14ac:dyDescent="0.25">
      <c r="B14" s="2"/>
      <c r="C14" s="2"/>
      <c r="D14" s="2"/>
      <c r="E14" s="2"/>
      <c r="V14" s="240"/>
      <c r="W14" s="240"/>
      <c r="X14" s="240"/>
      <c r="Y14" s="240"/>
    </row>
    <row r="15" spans="2:25" x14ac:dyDescent="0.25">
      <c r="B15" s="2"/>
      <c r="C15" s="2"/>
      <c r="D15" s="2"/>
      <c r="E15" s="2"/>
      <c r="V15" s="240"/>
      <c r="W15" s="240"/>
      <c r="X15" s="240"/>
      <c r="Y15" s="240"/>
    </row>
    <row r="16" spans="2:25" x14ac:dyDescent="0.25">
      <c r="B16" s="2"/>
      <c r="C16" s="2"/>
      <c r="D16" s="2"/>
      <c r="E16" s="2"/>
      <c r="V16" s="240"/>
      <c r="W16" s="240"/>
      <c r="X16" s="240"/>
      <c r="Y16" s="240"/>
    </row>
    <row r="17" spans="2:25" x14ac:dyDescent="0.25">
      <c r="B17" s="2"/>
      <c r="C17" s="2"/>
      <c r="D17" s="2"/>
      <c r="E17" s="2"/>
      <c r="V17" s="240"/>
      <c r="W17" s="240"/>
      <c r="X17" s="240"/>
      <c r="Y17" s="240"/>
    </row>
    <row r="18" spans="2:25" x14ac:dyDescent="0.25">
      <c r="B18" s="2"/>
      <c r="C18" s="2"/>
      <c r="D18" s="2"/>
      <c r="E18" s="2"/>
      <c r="V18" s="240"/>
      <c r="W18" s="240"/>
      <c r="X18" s="240"/>
      <c r="Y18" s="240"/>
    </row>
    <row r="19" spans="2:25" x14ac:dyDescent="0.25">
      <c r="B19" s="2"/>
      <c r="C19" s="2"/>
      <c r="D19" s="2"/>
      <c r="E19" s="2"/>
      <c r="V19" s="240"/>
      <c r="W19" s="240"/>
      <c r="X19" s="240"/>
      <c r="Y19" s="240"/>
    </row>
    <row r="20" spans="2:25" x14ac:dyDescent="0.25">
      <c r="B20" s="2"/>
      <c r="C20" s="2"/>
      <c r="D20" s="2"/>
      <c r="E20" s="2"/>
      <c r="V20" s="240"/>
      <c r="W20" s="240"/>
      <c r="X20" s="240"/>
      <c r="Y20" s="240"/>
    </row>
    <row r="21" spans="2:25" x14ac:dyDescent="0.25">
      <c r="B21" s="2"/>
      <c r="C21" s="2"/>
      <c r="D21" s="2"/>
      <c r="E21" s="2"/>
      <c r="V21" s="240"/>
      <c r="W21" s="240"/>
      <c r="X21" s="240"/>
      <c r="Y21" s="240"/>
    </row>
    <row r="22" spans="2:25" x14ac:dyDescent="0.25">
      <c r="B22" s="2"/>
      <c r="C22" s="2"/>
      <c r="D22" s="2"/>
      <c r="E22" s="2"/>
      <c r="V22" s="240"/>
      <c r="W22" s="240"/>
      <c r="X22" s="240"/>
      <c r="Y22" s="240"/>
    </row>
    <row r="23" spans="2:25" x14ac:dyDescent="0.25">
      <c r="B23" s="2"/>
      <c r="C23" s="2"/>
      <c r="D23" s="2"/>
      <c r="E23" s="2"/>
      <c r="V23" s="240"/>
      <c r="W23" s="240"/>
      <c r="X23" s="240"/>
      <c r="Y23" s="240"/>
    </row>
    <row r="24" spans="2:25" x14ac:dyDescent="0.25">
      <c r="B24" s="2"/>
      <c r="C24" s="2"/>
      <c r="D24" s="2"/>
      <c r="E24" s="2"/>
      <c r="V24" s="240"/>
      <c r="W24" s="240"/>
      <c r="X24" s="240"/>
      <c r="Y24" s="240"/>
    </row>
    <row r="25" spans="2:25" x14ac:dyDescent="0.25">
      <c r="B25" s="2"/>
      <c r="C25" s="2"/>
      <c r="D25" s="2"/>
      <c r="E25" s="2"/>
      <c r="V25" s="240"/>
      <c r="W25" s="240"/>
      <c r="X25" s="240"/>
      <c r="Y25" s="240"/>
    </row>
    <row r="26" spans="2:25" x14ac:dyDescent="0.25">
      <c r="B26" s="2"/>
      <c r="C26" s="2"/>
      <c r="D26" s="2"/>
      <c r="E26" s="2"/>
      <c r="V26" s="240"/>
      <c r="W26" s="240"/>
      <c r="X26" s="240"/>
      <c r="Y26" s="240"/>
    </row>
    <row r="27" spans="2:25" x14ac:dyDescent="0.25">
      <c r="B27" s="2"/>
      <c r="C27" s="2"/>
      <c r="D27" s="2"/>
      <c r="E27" s="2"/>
      <c r="V27" s="240"/>
      <c r="W27" s="240"/>
      <c r="X27" s="240"/>
      <c r="Y27" s="240"/>
    </row>
    <row r="28" spans="2:25" x14ac:dyDescent="0.25">
      <c r="B28" s="2"/>
      <c r="C28" s="2"/>
      <c r="D28" s="2"/>
      <c r="E28" s="2"/>
      <c r="V28" s="240"/>
      <c r="W28" s="240"/>
      <c r="X28" s="240"/>
      <c r="Y28" s="240"/>
    </row>
    <row r="29" spans="2:25" x14ac:dyDescent="0.25">
      <c r="B29" s="2"/>
      <c r="C29" s="2"/>
      <c r="D29" s="2"/>
      <c r="E29" s="2"/>
      <c r="V29" s="240"/>
      <c r="W29" s="240"/>
      <c r="X29" s="240"/>
      <c r="Y29" s="240"/>
    </row>
  </sheetData>
  <mergeCells count="3">
    <mergeCell ref="B13:E13"/>
    <mergeCell ref="V13:Y13"/>
    <mergeCell ref="G3:H3"/>
  </mergeCells>
  <phoneticPr fontId="8" type="noConversion"/>
  <conditionalFormatting sqref="G8:U8">
    <cfRule type="cellIs" dxfId="183" priority="1" operator="greaterThan">
      <formula>0</formula>
    </cfRule>
    <cfRule type="cellIs" dxfId="182" priority="2" operator="equal">
      <formula>0</formula>
    </cfRule>
    <cfRule type="cellIs" dxfId="181" priority="3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cbSearchMD">
          <controlPr defaultSize="0" autoLine="0" autoPict="0" r:id="rId5">
            <anchor moveWithCells="1">
              <from>
                <xdr:col>21</xdr:col>
                <xdr:colOff>19050</xdr:colOff>
                <xdr:row>9</xdr:row>
                <xdr:rowOff>38100</xdr:rowOff>
              </from>
              <to>
                <xdr:col>25</xdr:col>
                <xdr:colOff>19050</xdr:colOff>
                <xdr:row>10</xdr:row>
                <xdr:rowOff>142875</xdr:rowOff>
              </to>
            </anchor>
          </controlPr>
        </control>
      </mc:Choice>
      <mc:Fallback>
        <control shapeId="1028" r:id="rId4" name="cbSearchM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45C90-A2F3-46E2-B26F-E2E1F182707E}">
  <sheetPr codeName="Sheet21"/>
  <dimension ref="C7:G20"/>
  <sheetViews>
    <sheetView workbookViewId="0">
      <selection activeCell="K24" sqref="K24"/>
    </sheetView>
  </sheetViews>
  <sheetFormatPr defaultRowHeight="15" x14ac:dyDescent="0.25"/>
  <cols>
    <col min="3" max="6" width="13.28515625" customWidth="1"/>
    <col min="7" max="7" width="14.5703125" customWidth="1"/>
    <col min="10" max="10" width="19.42578125" bestFit="1" customWidth="1"/>
    <col min="11" max="11" width="18.28515625" bestFit="1" customWidth="1"/>
    <col min="12" max="12" width="16.42578125" bestFit="1" customWidth="1"/>
    <col min="13" max="13" width="19.42578125" bestFit="1" customWidth="1"/>
    <col min="14" max="14" width="18.28515625" bestFit="1" customWidth="1"/>
    <col min="15" max="15" width="16.42578125" bestFit="1" customWidth="1"/>
    <col min="16" max="16" width="19.42578125" bestFit="1" customWidth="1"/>
    <col min="17" max="17" width="18.28515625" bestFit="1" customWidth="1"/>
    <col min="18" max="18" width="16.42578125" bestFit="1" customWidth="1"/>
    <col min="19" max="19" width="24.42578125" bestFit="1" customWidth="1"/>
    <col min="20" max="20" width="23.28515625" bestFit="1" customWidth="1"/>
    <col min="21" max="21" width="21.5703125" bestFit="1" customWidth="1"/>
    <col min="22" max="22" width="28.7109375" bestFit="1" customWidth="1"/>
    <col min="23" max="23" width="27.5703125" bestFit="1" customWidth="1"/>
    <col min="24" max="24" width="25.85546875" bestFit="1" customWidth="1"/>
    <col min="25" max="25" width="19.42578125" bestFit="1" customWidth="1"/>
    <col min="26" max="26" width="18.28515625" bestFit="1" customWidth="1"/>
    <col min="27" max="27" width="16.42578125" bestFit="1" customWidth="1"/>
    <col min="28" max="28" width="28.7109375" bestFit="1" customWidth="1"/>
    <col min="29" max="29" width="27.5703125" bestFit="1" customWidth="1"/>
    <col min="30" max="30" width="25.85546875" bestFit="1" customWidth="1"/>
    <col min="31" max="31" width="24.42578125" bestFit="1" customWidth="1"/>
    <col min="32" max="32" width="23.28515625" bestFit="1" customWidth="1"/>
    <col min="33" max="33" width="21.5703125" bestFit="1" customWidth="1"/>
    <col min="34" max="34" width="19.42578125" bestFit="1" customWidth="1"/>
    <col min="35" max="35" width="18.28515625" bestFit="1" customWidth="1"/>
    <col min="36" max="36" width="16.42578125" bestFit="1" customWidth="1"/>
    <col min="37" max="37" width="28.7109375" bestFit="1" customWidth="1"/>
    <col min="38" max="38" width="27.5703125" bestFit="1" customWidth="1"/>
    <col min="39" max="39" width="25.85546875" bestFit="1" customWidth="1"/>
    <col min="40" max="40" width="27.7109375" bestFit="1" customWidth="1"/>
    <col min="41" max="41" width="26.5703125" bestFit="1" customWidth="1"/>
    <col min="42" max="42" width="24.7109375" bestFit="1" customWidth="1"/>
    <col min="43" max="43" width="24.42578125" bestFit="1" customWidth="1"/>
    <col min="44" max="44" width="23.28515625" bestFit="1" customWidth="1"/>
    <col min="45" max="45" width="21.5703125" bestFit="1" customWidth="1"/>
  </cols>
  <sheetData>
    <row r="7" spans="3:7" x14ac:dyDescent="0.25">
      <c r="C7" t="s">
        <v>3410</v>
      </c>
      <c r="D7" t="s">
        <v>3812</v>
      </c>
      <c r="E7" t="s">
        <v>3813</v>
      </c>
      <c r="F7" t="s">
        <v>3791</v>
      </c>
      <c r="G7" t="s">
        <v>3792</v>
      </c>
    </row>
    <row r="8" spans="3:7" x14ac:dyDescent="0.25">
      <c r="C8" t="s">
        <v>3778</v>
      </c>
      <c r="D8" s="517">
        <f ca="1">INDEX(MAIN_DASHBOARD!$J$5:$U$7,MATCH(AnalysisTable!$D$7,MAIN_DASHBOARD!$F$5:$F$7,0),MATCH(AnalysisTable!$C8,MAIN_DASHBOARD!$J$4:$U$4,0))</f>
        <v>4431</v>
      </c>
      <c r="E8" s="517">
        <f ca="1">INDEX(MAIN_DASHBOARD!$J$5:$U$7,MATCH(AnalysisTable!$E$7,MAIN_DASHBOARD!$F$5:$F$7,0),MATCH(AnalysisTable!$C8,MAIN_DASHBOARD!$J$4:$U$4,0))</f>
        <v>14020</v>
      </c>
      <c r="F8" s="517">
        <f ca="1">INDEX(MAIN_DASHBOARD!$J$5:$U$7,MATCH(AnalysisTable!$F$7,MAIN_DASHBOARD!$F$5:$F$7,0),MATCH(AnalysisTable!$C8,MAIN_DASHBOARD!$J$4:$U$4,0))</f>
        <v>254</v>
      </c>
      <c r="G8" s="517">
        <f ca="1">D8-E8-F8</f>
        <v>-9843</v>
      </c>
    </row>
    <row r="9" spans="3:7" x14ac:dyDescent="0.25">
      <c r="C9" t="s">
        <v>3779</v>
      </c>
      <c r="D9" s="517">
        <f ca="1">INDEX(MAIN_DASHBOARD!$J$5:$U$7,MATCH(AnalysisTable!$D$7,MAIN_DASHBOARD!$F$5:$F$7,0),MATCH(AnalysisTable!$C9,MAIN_DASHBOARD!$J$4:$U$4,0))</f>
        <v>425</v>
      </c>
      <c r="E9" s="517">
        <f ca="1">INDEX(MAIN_DASHBOARD!$J$5:$U$7,MATCH(AnalysisTable!$E$7,MAIN_DASHBOARD!$F$5:$F$7,0),MATCH(AnalysisTable!$C9,MAIN_DASHBOARD!$J$4:$U$4,0))</f>
        <v>160</v>
      </c>
      <c r="F9" s="517">
        <f ca="1">INDEX(MAIN_DASHBOARD!$J$5:$U$7,MATCH(AnalysisTable!$F$7,MAIN_DASHBOARD!$F$5:$F$7,0),MATCH(AnalysisTable!$C9,MAIN_DASHBOARD!$J$4:$U$4,0))</f>
        <v>75</v>
      </c>
      <c r="G9" s="517">
        <f t="shared" ref="G9:G20" ca="1" si="0">D9-E9-F9</f>
        <v>190</v>
      </c>
    </row>
    <row r="10" spans="3:7" x14ac:dyDescent="0.25">
      <c r="C10" t="s">
        <v>3780</v>
      </c>
      <c r="D10" s="517">
        <f ca="1">INDEX(MAIN_DASHBOARD!$J$5:$U$7,MATCH(AnalysisTable!$D$7,MAIN_DASHBOARD!$F$5:$F$7,0),MATCH(AnalysisTable!$C10,MAIN_DASHBOARD!$J$4:$U$4,0))</f>
        <v>0</v>
      </c>
      <c r="E10" s="517">
        <f ca="1">INDEX(MAIN_DASHBOARD!$J$5:$U$7,MATCH(AnalysisTable!$E$7,MAIN_DASHBOARD!$F$5:$F$7,0),MATCH(AnalysisTable!$C10,MAIN_DASHBOARD!$J$4:$U$4,0))</f>
        <v>0</v>
      </c>
      <c r="F10" s="517">
        <f ca="1">INDEX(MAIN_DASHBOARD!$J$5:$U$7,MATCH(AnalysisTable!$F$7,MAIN_DASHBOARD!$F$5:$F$7,0),MATCH(AnalysisTable!$C10,MAIN_DASHBOARD!$J$4:$U$4,0))</f>
        <v>0</v>
      </c>
      <c r="G10" s="517">
        <f t="shared" ca="1" si="0"/>
        <v>0</v>
      </c>
    </row>
    <row r="11" spans="3:7" x14ac:dyDescent="0.25">
      <c r="C11" t="s">
        <v>3781</v>
      </c>
      <c r="D11" s="517">
        <f ca="1">INDEX(MAIN_DASHBOARD!$J$5:$U$7,MATCH(AnalysisTable!$D$7,MAIN_DASHBOARD!$F$5:$F$7,0),MATCH(AnalysisTable!$C11,MAIN_DASHBOARD!$J$4:$U$4,0))</f>
        <v>0</v>
      </c>
      <c r="E11" s="517">
        <f ca="1">INDEX(MAIN_DASHBOARD!$J$5:$U$7,MATCH(AnalysisTable!$E$7,MAIN_DASHBOARD!$F$5:$F$7,0),MATCH(AnalysisTable!$C11,MAIN_DASHBOARD!$J$4:$U$4,0))</f>
        <v>0</v>
      </c>
      <c r="F11" s="517">
        <f ca="1">INDEX(MAIN_DASHBOARD!$J$5:$U$7,MATCH(AnalysisTable!$F$7,MAIN_DASHBOARD!$F$5:$F$7,0),MATCH(AnalysisTable!$C11,MAIN_DASHBOARD!$J$4:$U$4,0))</f>
        <v>0</v>
      </c>
      <c r="G11" s="517">
        <f t="shared" ca="1" si="0"/>
        <v>0</v>
      </c>
    </row>
    <row r="12" spans="3:7" x14ac:dyDescent="0.25">
      <c r="C12" t="s">
        <v>3782</v>
      </c>
      <c r="D12" s="517">
        <f ca="1">INDEX(MAIN_DASHBOARD!$J$5:$U$7,MATCH(AnalysisTable!$D$7,MAIN_DASHBOARD!$F$5:$F$7,0),MATCH(AnalysisTable!$C12,MAIN_DASHBOARD!$J$4:$U$4,0))</f>
        <v>0</v>
      </c>
      <c r="E12" s="517">
        <f ca="1">INDEX(MAIN_DASHBOARD!$J$5:$U$7,MATCH(AnalysisTable!$E$7,MAIN_DASHBOARD!$F$5:$F$7,0),MATCH(AnalysisTable!$C12,MAIN_DASHBOARD!$J$4:$U$4,0))</f>
        <v>0</v>
      </c>
      <c r="F12" s="517">
        <f ca="1">INDEX(MAIN_DASHBOARD!$J$5:$U$7,MATCH(AnalysisTable!$F$7,MAIN_DASHBOARD!$F$5:$F$7,0),MATCH(AnalysisTable!$C12,MAIN_DASHBOARD!$J$4:$U$4,0))</f>
        <v>0</v>
      </c>
      <c r="G12" s="517">
        <f t="shared" ca="1" si="0"/>
        <v>0</v>
      </c>
    </row>
    <row r="13" spans="3:7" x14ac:dyDescent="0.25">
      <c r="C13" t="s">
        <v>3783</v>
      </c>
      <c r="D13" s="517">
        <f ca="1">INDEX(MAIN_DASHBOARD!$J$5:$U$7,MATCH(AnalysisTable!$D$7,MAIN_DASHBOARD!$F$5:$F$7,0),MATCH(AnalysisTable!$C13,MAIN_DASHBOARD!$J$4:$U$4,0))</f>
        <v>0</v>
      </c>
      <c r="E13" s="517">
        <f ca="1">INDEX(MAIN_DASHBOARD!$J$5:$U$7,MATCH(AnalysisTable!$E$7,MAIN_DASHBOARD!$F$5:$F$7,0),MATCH(AnalysisTable!$C13,MAIN_DASHBOARD!$J$4:$U$4,0))</f>
        <v>0</v>
      </c>
      <c r="F13" s="517">
        <f ca="1">INDEX(MAIN_DASHBOARD!$J$5:$U$7,MATCH(AnalysisTable!$F$7,MAIN_DASHBOARD!$F$5:$F$7,0),MATCH(AnalysisTable!$C13,MAIN_DASHBOARD!$J$4:$U$4,0))</f>
        <v>0</v>
      </c>
      <c r="G13" s="517">
        <f t="shared" ca="1" si="0"/>
        <v>0</v>
      </c>
    </row>
    <row r="14" spans="3:7" x14ac:dyDescent="0.25">
      <c r="C14" t="s">
        <v>3784</v>
      </c>
      <c r="D14" s="517">
        <f ca="1">INDEX(MAIN_DASHBOARD!$J$5:$U$7,MATCH(AnalysisTable!$D$7,MAIN_DASHBOARD!$F$5:$F$7,0),MATCH(AnalysisTable!$C14,MAIN_DASHBOARD!$J$4:$U$4,0))</f>
        <v>0</v>
      </c>
      <c r="E14" s="517">
        <f ca="1">INDEX(MAIN_DASHBOARD!$J$5:$U$7,MATCH(AnalysisTable!$E$7,MAIN_DASHBOARD!$F$5:$F$7,0),MATCH(AnalysisTable!$C14,MAIN_DASHBOARD!$J$4:$U$4,0))</f>
        <v>0</v>
      </c>
      <c r="F14" s="517">
        <f ca="1">INDEX(MAIN_DASHBOARD!$J$5:$U$7,MATCH(AnalysisTable!$F$7,MAIN_DASHBOARD!$F$5:$F$7,0),MATCH(AnalysisTable!$C14,MAIN_DASHBOARD!$J$4:$U$4,0))</f>
        <v>0</v>
      </c>
      <c r="G14" s="517">
        <f t="shared" ca="1" si="0"/>
        <v>0</v>
      </c>
    </row>
    <row r="15" spans="3:7" x14ac:dyDescent="0.25">
      <c r="C15" t="s">
        <v>3785</v>
      </c>
      <c r="D15" s="517">
        <f ca="1">INDEX(MAIN_DASHBOARD!$J$5:$U$7,MATCH(AnalysisTable!$D$7,MAIN_DASHBOARD!$F$5:$F$7,0),MATCH(AnalysisTable!$C15,MAIN_DASHBOARD!$J$4:$U$4,0))</f>
        <v>0</v>
      </c>
      <c r="E15" s="517">
        <f ca="1">INDEX(MAIN_DASHBOARD!$J$5:$U$7,MATCH(AnalysisTable!$E$7,MAIN_DASHBOARD!$F$5:$F$7,0),MATCH(AnalysisTable!$C15,MAIN_DASHBOARD!$J$4:$U$4,0))</f>
        <v>0</v>
      </c>
      <c r="F15" s="517">
        <f ca="1">INDEX(MAIN_DASHBOARD!$J$5:$U$7,MATCH(AnalysisTable!$F$7,MAIN_DASHBOARD!$F$5:$F$7,0),MATCH(AnalysisTable!$C15,MAIN_DASHBOARD!$J$4:$U$4,0))</f>
        <v>0</v>
      </c>
      <c r="G15" s="517">
        <f t="shared" ca="1" si="0"/>
        <v>0</v>
      </c>
    </row>
    <row r="16" spans="3:7" x14ac:dyDescent="0.25">
      <c r="C16" t="s">
        <v>3786</v>
      </c>
      <c r="D16" s="517">
        <f ca="1">INDEX(MAIN_DASHBOARD!$J$5:$U$7,MATCH(AnalysisTable!$D$7,MAIN_DASHBOARD!$F$5:$F$7,0),MATCH(AnalysisTable!$C16,MAIN_DASHBOARD!$J$4:$U$4,0))</f>
        <v>0</v>
      </c>
      <c r="E16" s="517">
        <f ca="1">INDEX(MAIN_DASHBOARD!$J$5:$U$7,MATCH(AnalysisTable!$E$7,MAIN_DASHBOARD!$F$5:$F$7,0),MATCH(AnalysisTable!$C16,MAIN_DASHBOARD!$J$4:$U$4,0))</f>
        <v>0</v>
      </c>
      <c r="F16" s="517">
        <f ca="1">INDEX(MAIN_DASHBOARD!$J$5:$U$7,MATCH(AnalysisTable!$F$7,MAIN_DASHBOARD!$F$5:$F$7,0),MATCH(AnalysisTable!$C16,MAIN_DASHBOARD!$J$4:$U$4,0))</f>
        <v>0</v>
      </c>
      <c r="G16" s="517">
        <f t="shared" ca="1" si="0"/>
        <v>0</v>
      </c>
    </row>
    <row r="17" spans="3:7" x14ac:dyDescent="0.25">
      <c r="C17" t="s">
        <v>3787</v>
      </c>
      <c r="D17" s="517">
        <f ca="1">INDEX(MAIN_DASHBOARD!$J$5:$U$7,MATCH(AnalysisTable!$D$7,MAIN_DASHBOARD!$F$5:$F$7,0),MATCH(AnalysisTable!$C17,MAIN_DASHBOARD!$J$4:$U$4,0))</f>
        <v>0</v>
      </c>
      <c r="E17" s="517">
        <f ca="1">INDEX(MAIN_DASHBOARD!$J$5:$U$7,MATCH(AnalysisTable!$E$7,MAIN_DASHBOARD!$F$5:$F$7,0),MATCH(AnalysisTable!$C17,MAIN_DASHBOARD!$J$4:$U$4,0))</f>
        <v>0</v>
      </c>
      <c r="F17" s="517">
        <f ca="1">INDEX(MAIN_DASHBOARD!$J$5:$U$7,MATCH(AnalysisTable!$F$7,MAIN_DASHBOARD!$F$5:$F$7,0),MATCH(AnalysisTable!$C17,MAIN_DASHBOARD!$J$4:$U$4,0))</f>
        <v>0</v>
      </c>
      <c r="G17" s="517">
        <f t="shared" ca="1" si="0"/>
        <v>0</v>
      </c>
    </row>
    <row r="18" spans="3:7" x14ac:dyDescent="0.25">
      <c r="C18" t="s">
        <v>3788</v>
      </c>
      <c r="D18" s="517">
        <f ca="1">INDEX(MAIN_DASHBOARD!$J$5:$U$7,MATCH(AnalysisTable!$D$7,MAIN_DASHBOARD!$F$5:$F$7,0),MATCH(AnalysisTable!$C18,MAIN_DASHBOARD!$J$4:$U$4,0))</f>
        <v>0</v>
      </c>
      <c r="E18" s="517">
        <f ca="1">INDEX(MAIN_DASHBOARD!$J$5:$U$7,MATCH(AnalysisTable!$E$7,MAIN_DASHBOARD!$F$5:$F$7,0),MATCH(AnalysisTable!$C18,MAIN_DASHBOARD!$J$4:$U$4,0))</f>
        <v>0</v>
      </c>
      <c r="F18" s="517">
        <f ca="1">INDEX(MAIN_DASHBOARD!$J$5:$U$7,MATCH(AnalysisTable!$F$7,MAIN_DASHBOARD!$F$5:$F$7,0),MATCH(AnalysisTable!$C18,MAIN_DASHBOARD!$J$4:$U$4,0))</f>
        <v>0</v>
      </c>
      <c r="G18" s="517">
        <f t="shared" ca="1" si="0"/>
        <v>0</v>
      </c>
    </row>
    <row r="19" spans="3:7" x14ac:dyDescent="0.25">
      <c r="C19" t="s">
        <v>3789</v>
      </c>
      <c r="D19" s="517">
        <f ca="1">INDEX(MAIN_DASHBOARD!$J$5:$U$7,MATCH(AnalysisTable!$D$7,MAIN_DASHBOARD!$F$5:$F$7,0),MATCH(AnalysisTable!$C19,MAIN_DASHBOARD!$J$4:$U$4,0))</f>
        <v>0</v>
      </c>
      <c r="E19" s="517">
        <f ca="1">INDEX(MAIN_DASHBOARD!$J$5:$U$7,MATCH(AnalysisTable!$E$7,MAIN_DASHBOARD!$F$5:$F$7,0),MATCH(AnalysisTable!$C19,MAIN_DASHBOARD!$J$4:$U$4,0))</f>
        <v>0</v>
      </c>
      <c r="F19" s="517">
        <f ca="1">INDEX(MAIN_DASHBOARD!$J$5:$U$7,MATCH(AnalysisTable!$F$7,MAIN_DASHBOARD!$F$5:$F$7,0),MATCH(AnalysisTable!$C19,MAIN_DASHBOARD!$J$4:$U$4,0))</f>
        <v>0</v>
      </c>
      <c r="G19" s="517">
        <f t="shared" ca="1" si="0"/>
        <v>0</v>
      </c>
    </row>
    <row r="20" spans="3:7" x14ac:dyDescent="0.25">
      <c r="C20" t="s">
        <v>3450</v>
      </c>
      <c r="D20" s="517">
        <f ca="1">SUM(D8:D19)</f>
        <v>4856</v>
      </c>
      <c r="E20" s="517">
        <f t="shared" ref="E20:F20" ca="1" si="1">SUM(E8:E19)</f>
        <v>14180</v>
      </c>
      <c r="F20" s="517">
        <f t="shared" ca="1" si="1"/>
        <v>329</v>
      </c>
      <c r="G20" s="517">
        <f t="shared" ca="1" si="0"/>
        <v>-9653</v>
      </c>
    </row>
  </sheetData>
  <phoneticPr fontId="8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B7976-E06B-4D27-AA5B-36081B7FF056}">
  <sheetPr codeName="Sheet1">
    <tabColor rgb="FF00B050"/>
  </sheetPr>
  <dimension ref="A1:BH45"/>
  <sheetViews>
    <sheetView showGridLines="0" topLeftCell="C1" zoomScale="90" zoomScaleNormal="90" workbookViewId="0">
      <pane xSplit="32" ySplit="26" topLeftCell="AI27" activePane="bottomRight" state="frozen"/>
      <selection activeCell="C1" sqref="C1"/>
      <selection pane="topRight" activeCell="AI1" sqref="AI1"/>
      <selection pane="bottomLeft" activeCell="C27" sqref="C27"/>
      <selection pane="bottomRight" activeCell="AI11" sqref="AI11"/>
    </sheetView>
  </sheetViews>
  <sheetFormatPr defaultRowHeight="15" x14ac:dyDescent="0.25"/>
  <cols>
    <col min="1" max="1" width="11.7109375" style="1" hidden="1" customWidth="1"/>
    <col min="2" max="2" width="11.140625" style="43" hidden="1" customWidth="1"/>
    <col min="3" max="3" width="9.140625" style="11"/>
    <col min="5" max="5" width="32.85546875" customWidth="1"/>
    <col min="7" max="7" width="7.7109375" customWidth="1"/>
    <col min="9" max="9" width="10.85546875" customWidth="1"/>
    <col min="10" max="20" width="12" hidden="1" customWidth="1"/>
    <col min="21" max="21" width="2.5703125" style="540" customWidth="1"/>
    <col min="22" max="22" width="2.7109375" customWidth="1"/>
    <col min="25" max="25" width="10" customWidth="1"/>
    <col min="26" max="26" width="2.140625" customWidth="1"/>
    <col min="27" max="27" width="10" customWidth="1"/>
    <col min="28" max="28" width="2.140625" customWidth="1"/>
    <col min="29" max="29" width="10" customWidth="1"/>
    <col min="30" max="30" width="2.140625" customWidth="1"/>
    <col min="31" max="31" width="10" customWidth="1"/>
    <col min="32" max="32" width="2.140625" customWidth="1"/>
    <col min="33" max="33" width="10" customWidth="1"/>
    <col min="34" max="34" width="2.7109375" customWidth="1"/>
    <col min="35" max="35" width="60.140625" style="10" customWidth="1"/>
    <col min="36" max="36" width="8.85546875" customWidth="1"/>
    <col min="37" max="37" width="21.5703125" customWidth="1"/>
    <col min="38" max="41" width="9.140625" customWidth="1"/>
    <col min="42" max="42" width="17.85546875" customWidth="1"/>
    <col min="43" max="43" width="22.7109375" customWidth="1"/>
    <col min="44" max="44" width="9.140625" customWidth="1"/>
    <col min="45" max="45" width="13.28515625" customWidth="1"/>
    <col min="46" max="47" width="9.140625" customWidth="1"/>
    <col min="48" max="52" width="9.140625" style="68" customWidth="1"/>
    <col min="53" max="53" width="9.140625" customWidth="1"/>
  </cols>
  <sheetData>
    <row r="1" spans="1:54" ht="66.75" customHeight="1" x14ac:dyDescent="0.25">
      <c r="A1" s="122"/>
      <c r="V1" s="9"/>
      <c r="W1" s="9"/>
      <c r="X1" s="9"/>
      <c r="Y1" s="9" t="s">
        <v>3330</v>
      </c>
      <c r="Z1" s="9"/>
      <c r="AA1" s="9"/>
      <c r="AB1" s="9"/>
      <c r="AC1" s="9"/>
      <c r="AD1" s="9"/>
      <c r="AE1" s="9"/>
      <c r="AF1" s="9"/>
      <c r="AG1" s="9"/>
      <c r="AH1" s="9"/>
      <c r="AI1" s="16"/>
      <c r="AJ1" s="10"/>
      <c r="AN1" s="14"/>
    </row>
    <row r="2" spans="1:54" ht="15.75" thickBot="1" x14ac:dyDescent="0.3">
      <c r="G2" s="559" t="s">
        <v>3332</v>
      </c>
      <c r="H2" s="560"/>
      <c r="I2" s="34">
        <f>COUNTA($I$5:$I$36)</f>
        <v>0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J2" s="557">
        <f ca="1">NOW()</f>
        <v>45322.998855902777</v>
      </c>
      <c r="AK2" s="557"/>
    </row>
    <row r="3" spans="1:54" ht="18.75" customHeight="1" x14ac:dyDescent="0.25">
      <c r="C3" s="168">
        <f>IFERROR(ROW($C$4)+LARGE($C$5:$C$36,1)+1,5)</f>
        <v>5</v>
      </c>
      <c r="D3" s="169">
        <f>COUNTIF($D$5:$D$36,$AJ$5)</f>
        <v>0</v>
      </c>
      <c r="E3" s="174">
        <f>COUNTA($E$5:$E$36)</f>
        <v>0</v>
      </c>
      <c r="G3" s="559" t="s">
        <v>3331</v>
      </c>
      <c r="H3" s="560"/>
      <c r="I3" s="173">
        <f>SUM($I$5:$I$36)</f>
        <v>0</v>
      </c>
      <c r="J3" s="12"/>
      <c r="K3" s="13"/>
      <c r="V3" s="8"/>
      <c r="W3" s="8"/>
      <c r="X3" s="8"/>
      <c r="Y3" s="554">
        <v>45299</v>
      </c>
      <c r="Z3" s="555"/>
      <c r="AA3" s="556"/>
      <c r="AB3" s="8"/>
      <c r="AC3" s="8"/>
      <c r="AD3" s="8"/>
      <c r="AE3" s="548"/>
      <c r="AF3" s="549"/>
      <c r="AG3" s="550"/>
      <c r="AH3" s="8"/>
      <c r="AJ3" s="558" t="str">
        <f ca="1">fmt($AJ$2,"DDD - MMM DD, YYYY")</f>
        <v>Wed - Jan 31, 2024</v>
      </c>
      <c r="AK3" s="558"/>
      <c r="AP3" s="20">
        <f>VALUE($Y$3)</f>
        <v>45299</v>
      </c>
    </row>
    <row r="4" spans="1:54" ht="15.75" thickBot="1" x14ac:dyDescent="0.3">
      <c r="C4" s="76" t="s">
        <v>0</v>
      </c>
      <c r="D4" s="7" t="s">
        <v>1</v>
      </c>
      <c r="E4" s="7" t="s">
        <v>2</v>
      </c>
      <c r="F4" s="7" t="s">
        <v>1772</v>
      </c>
      <c r="G4" s="7" t="s">
        <v>5</v>
      </c>
      <c r="H4" s="7" t="s">
        <v>3</v>
      </c>
      <c r="I4" s="7" t="s">
        <v>4</v>
      </c>
      <c r="J4" s="7" t="s">
        <v>6</v>
      </c>
      <c r="K4" s="7" t="s">
        <v>7</v>
      </c>
      <c r="L4" s="7" t="s">
        <v>8</v>
      </c>
      <c r="M4" s="7" t="s">
        <v>9</v>
      </c>
      <c r="N4" s="58" t="s">
        <v>10</v>
      </c>
      <c r="O4" s="60" t="s">
        <v>11</v>
      </c>
      <c r="P4" s="60" t="s">
        <v>3385</v>
      </c>
      <c r="Q4" s="73" t="s">
        <v>3386</v>
      </c>
      <c r="R4" s="60" t="s">
        <v>3409</v>
      </c>
      <c r="S4" s="110" t="s">
        <v>3410</v>
      </c>
      <c r="T4" s="61" t="s">
        <v>3411</v>
      </c>
      <c r="U4" s="541" t="s">
        <v>3794</v>
      </c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J4" s="3" t="s">
        <v>1</v>
      </c>
      <c r="AK4" s="3" t="s">
        <v>2</v>
      </c>
      <c r="AL4" s="3" t="s">
        <v>1772</v>
      </c>
      <c r="AM4" s="3" t="s">
        <v>5</v>
      </c>
      <c r="AN4" s="3" t="s">
        <v>3</v>
      </c>
      <c r="AO4" s="3" t="s">
        <v>4</v>
      </c>
      <c r="AP4" s="3" t="s">
        <v>6</v>
      </c>
      <c r="AQ4" s="3" t="s">
        <v>7</v>
      </c>
      <c r="AR4" s="3" t="s">
        <v>8</v>
      </c>
      <c r="AS4" s="3" t="s">
        <v>9</v>
      </c>
      <c r="AT4" s="3" t="s">
        <v>10</v>
      </c>
      <c r="AU4" s="3" t="s">
        <v>11</v>
      </c>
      <c r="AV4" s="69" t="s">
        <v>3333</v>
      </c>
      <c r="AW4" s="69" t="s">
        <v>3386</v>
      </c>
      <c r="AX4" s="112" t="s">
        <v>3409</v>
      </c>
      <c r="AY4" s="112" t="s">
        <v>3410</v>
      </c>
      <c r="AZ4" s="112" t="s">
        <v>3411</v>
      </c>
      <c r="BA4" s="112" t="s">
        <v>3793</v>
      </c>
      <c r="BB4" s="3" t="s">
        <v>3383</v>
      </c>
    </row>
    <row r="5" spans="1:54" ht="18.75" customHeight="1" x14ac:dyDescent="0.25">
      <c r="A5" s="1" t="s">
        <v>3413</v>
      </c>
      <c r="B5" s="123">
        <v>1</v>
      </c>
      <c r="C5" s="77" t="str">
        <f>IF(ISBLANK($E5),"",ROWS($C$5:$C5))</f>
        <v/>
      </c>
      <c r="D5" s="28"/>
      <c r="E5" s="30"/>
      <c r="F5" s="28"/>
      <c r="G5" s="28"/>
      <c r="H5" s="19"/>
      <c r="I5" s="19"/>
      <c r="J5" s="29"/>
      <c r="K5" s="111"/>
      <c r="L5" s="31"/>
      <c r="M5" s="31"/>
      <c r="N5" s="59"/>
      <c r="O5" s="19"/>
      <c r="P5" s="72"/>
      <c r="Q5" s="75"/>
      <c r="R5" s="115"/>
      <c r="S5" s="116"/>
      <c r="T5" s="117"/>
      <c r="U5" s="542">
        <v>45321</v>
      </c>
      <c r="V5" s="8"/>
      <c r="W5" s="8"/>
      <c r="X5" s="8"/>
      <c r="Y5" s="548"/>
      <c r="Z5" s="549"/>
      <c r="AA5" s="549"/>
      <c r="AB5" s="550"/>
      <c r="AC5" s="8"/>
      <c r="AD5" s="8"/>
      <c r="AE5" s="551"/>
      <c r="AF5" s="552"/>
      <c r="AG5" s="553"/>
      <c r="AH5" s="8"/>
      <c r="AJ5" s="21" t="str">
        <f>IFERROR(INDEX(ItemTable[SKU],MATCH($Y$7,ItemTable[SEARCH ITEM],0)),"-*-")</f>
        <v>-*-</v>
      </c>
      <c r="AK5" s="22" t="str">
        <f>IFERROR(INDEX(ItemTable[ITEMS DESCRIPTION],MATCH($Y$7,ItemTable[SEARCH ITEM],0)),"-*-")</f>
        <v>-*-</v>
      </c>
      <c r="AL5" s="23" t="str">
        <f>IFERROR(INDEX(ItemTable[QTY SOLD],MATCH($Y$7,ItemTable[SEARCH ITEM],0)),"-*-")</f>
        <v>-*-</v>
      </c>
      <c r="AM5" s="24">
        <f>$Y$12</f>
        <v>0</v>
      </c>
      <c r="AN5" s="25">
        <f>IF(ISBLANK($AC$12),$AA$12,$AC$12)</f>
        <v>0</v>
      </c>
      <c r="AO5" s="25">
        <f>IFERROR($AM$5*$AN$5,0)</f>
        <v>0</v>
      </c>
      <c r="AP5" s="26" t="str">
        <f>VLOOKUP(AY5,NJCALENDAR,2,FALSE) &amp; " " &amp; AZ5 &amp; "," &amp; " " &amp; AX5</f>
        <v>January 8, 2024</v>
      </c>
      <c r="AQ5" s="22" t="str">
        <f>IF(ISBLANK($Y$5),"-*-",PROPER($Y$5))</f>
        <v>-*-</v>
      </c>
      <c r="AR5" s="22">
        <f>$AE$3</f>
        <v>0</v>
      </c>
      <c r="AS5" s="22">
        <f>$AE$5</f>
        <v>0</v>
      </c>
      <c r="AT5" s="25">
        <f>IFERROR(INDEX(ItemTable[COST PRICE],MATCH($Y$7,ItemTable[SEARCH ITEM],0)),0)</f>
        <v>0</v>
      </c>
      <c r="AU5" s="27">
        <f>IFERROR(INDEX(ItemTable[SRP PRICE],MATCH($Y$7,ItemTable[SEARCH ITEM],0)),0)</f>
        <v>0</v>
      </c>
      <c r="AV5" s="70">
        <f>IFERROR(INDEX(RunningInv[RunningInv],MATCH(AJ5,RunningInv[SKU],0)),0)</f>
        <v>0</v>
      </c>
      <c r="AW5" s="114">
        <f>AV5-AM5</f>
        <v>0</v>
      </c>
      <c r="AX5" s="113">
        <f>YEAR($AP$3)</f>
        <v>2024</v>
      </c>
      <c r="AY5" s="113">
        <f>MONTH($AP$3)</f>
        <v>1</v>
      </c>
      <c r="AZ5" s="113">
        <f>DAY($AP$3)</f>
        <v>8</v>
      </c>
      <c r="BA5" s="113">
        <f>$AP$3</f>
        <v>45299</v>
      </c>
      <c r="BB5">
        <f>IFERROR(INDEX(RunningInv[LOCXY],MATCH($D5,RunningInv[SKU],0)),0)</f>
        <v>0</v>
      </c>
    </row>
    <row r="6" spans="1:54" ht="15.75" thickBot="1" x14ac:dyDescent="0.3">
      <c r="C6" s="77" t="str">
        <f>IF(ISBLANK($E6),"",ROWS($C$5:$C6))</f>
        <v/>
      </c>
      <c r="D6" s="28"/>
      <c r="E6" s="30"/>
      <c r="F6" s="28"/>
      <c r="G6" s="28"/>
      <c r="H6" s="19"/>
      <c r="I6" s="19"/>
      <c r="J6" s="29"/>
      <c r="K6" s="30"/>
      <c r="L6" s="31"/>
      <c r="M6" s="31"/>
      <c r="N6" s="59"/>
      <c r="O6" s="19"/>
      <c r="P6" s="72"/>
      <c r="Q6" s="75"/>
      <c r="R6" s="115"/>
      <c r="S6" s="116"/>
      <c r="T6" s="117"/>
      <c r="U6" s="542">
        <v>45321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71"/>
      <c r="AW6" s="71"/>
      <c r="AX6" s="71"/>
      <c r="AY6" s="71"/>
      <c r="AZ6" s="71"/>
      <c r="BA6" s="10"/>
      <c r="BB6">
        <f>IFERROR(INDEX(RunningInv[LOCXY],MATCH($D6,RunningInv[SKU],0)),0)</f>
        <v>0</v>
      </c>
    </row>
    <row r="7" spans="1:54" ht="18.75" customHeight="1" x14ac:dyDescent="0.25">
      <c r="C7" s="77" t="str">
        <f>IF(ISBLANK($E7),"",ROWS($C$5:$C7))</f>
        <v/>
      </c>
      <c r="D7" s="28"/>
      <c r="E7" s="30"/>
      <c r="F7" s="28"/>
      <c r="G7" s="28"/>
      <c r="H7" s="19"/>
      <c r="I7" s="19"/>
      <c r="J7" s="29"/>
      <c r="K7" s="30"/>
      <c r="L7" s="31"/>
      <c r="M7" s="31"/>
      <c r="N7" s="59"/>
      <c r="O7" s="19"/>
      <c r="P7" s="72"/>
      <c r="Q7" s="75"/>
      <c r="R7" s="115"/>
      <c r="S7" s="116"/>
      <c r="T7" s="117"/>
      <c r="U7" s="542"/>
      <c r="V7" s="8"/>
      <c r="W7" s="8"/>
      <c r="X7" s="8"/>
      <c r="Y7" s="548" t="s">
        <v>3650</v>
      </c>
      <c r="Z7" s="549"/>
      <c r="AA7" s="549"/>
      <c r="AB7" s="549"/>
      <c r="AC7" s="549"/>
      <c r="AD7" s="549"/>
      <c r="AE7" s="549"/>
      <c r="AF7" s="549"/>
      <c r="AG7" s="550"/>
      <c r="AH7" s="8"/>
      <c r="AJ7" s="448" t="s">
        <v>3796</v>
      </c>
      <c r="AK7" s="10"/>
      <c r="AL7" s="10"/>
      <c r="AM7" s="17"/>
      <c r="AN7" s="32"/>
      <c r="AO7" s="10"/>
      <c r="AP7" s="10"/>
      <c r="AQ7" s="10"/>
      <c r="AR7" s="10"/>
      <c r="AS7" s="10"/>
      <c r="AT7" s="10"/>
      <c r="AU7" s="10"/>
      <c r="AV7" s="71"/>
      <c r="AW7" s="71"/>
      <c r="AX7" s="71"/>
      <c r="AY7" s="71"/>
      <c r="AZ7" s="71"/>
      <c r="BA7" s="10"/>
      <c r="BB7">
        <f>IFERROR(INDEX(RunningInv[LOCXY],MATCH($D7,RunningInv[SKU],0)),0)</f>
        <v>0</v>
      </c>
    </row>
    <row r="8" spans="1:54" ht="18" customHeight="1" thickBot="1" x14ac:dyDescent="0.3">
      <c r="C8" s="77" t="str">
        <f>IF(ISBLANK($E8),"",ROWS($C$5:$C8))</f>
        <v/>
      </c>
      <c r="D8" s="28"/>
      <c r="E8" s="30"/>
      <c r="F8" s="28"/>
      <c r="G8" s="28"/>
      <c r="H8" s="19"/>
      <c r="I8" s="19"/>
      <c r="J8" s="29"/>
      <c r="K8" s="30"/>
      <c r="L8" s="31"/>
      <c r="M8" s="31"/>
      <c r="N8" s="59"/>
      <c r="O8" s="19"/>
      <c r="P8" s="72"/>
      <c r="Q8" s="75"/>
      <c r="R8" s="115"/>
      <c r="S8" s="116"/>
      <c r="T8" s="117"/>
      <c r="U8" s="542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71"/>
      <c r="AW8" s="71"/>
      <c r="AX8" s="71"/>
      <c r="AY8" s="71"/>
      <c r="AZ8" s="71"/>
      <c r="BA8" s="10"/>
      <c r="BB8">
        <f>IFERROR(INDEX(RunningInv[LOCXY],MATCH($D8,RunningInv[SKU],0)),0)</f>
        <v>0</v>
      </c>
    </row>
    <row r="9" spans="1:54" ht="13.5" customHeight="1" x14ac:dyDescent="0.25">
      <c r="C9" s="77" t="str">
        <f>IF(ISBLANK($E9),"",ROWS($C$5:$C9))</f>
        <v/>
      </c>
      <c r="D9" s="28"/>
      <c r="E9" s="30"/>
      <c r="F9" s="28"/>
      <c r="G9" s="28"/>
      <c r="H9" s="19"/>
      <c r="I9" s="19"/>
      <c r="J9" s="29"/>
      <c r="K9" s="30"/>
      <c r="L9" s="31"/>
      <c r="M9" s="31"/>
      <c r="N9" s="59"/>
      <c r="O9" s="19"/>
      <c r="P9" s="72"/>
      <c r="Q9" s="75"/>
      <c r="R9" s="115"/>
      <c r="S9" s="116"/>
      <c r="T9" s="117"/>
      <c r="U9" s="542"/>
      <c r="V9" s="8"/>
      <c r="W9" s="8"/>
      <c r="X9" s="8"/>
      <c r="Y9" s="79" t="str">
        <f>AJ5</f>
        <v>-*-</v>
      </c>
      <c r="Z9" s="15"/>
      <c r="AA9" s="79" t="str">
        <f>AL5</f>
        <v>-*-</v>
      </c>
      <c r="AB9" s="8"/>
      <c r="AC9" s="80">
        <f>AU5</f>
        <v>0</v>
      </c>
      <c r="AD9" s="8"/>
      <c r="AE9" s="80">
        <f>AT5</f>
        <v>0</v>
      </c>
      <c r="AF9" s="8"/>
      <c r="AG9" s="81">
        <f>AV5</f>
        <v>0</v>
      </c>
      <c r="AH9" s="8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71"/>
      <c r="AW9" s="71"/>
      <c r="AX9" s="71"/>
      <c r="AY9" s="71"/>
      <c r="AZ9" s="71"/>
      <c r="BA9" s="10"/>
      <c r="BB9">
        <f>IFERROR(INDEX(RunningInv[LOCXY],MATCH($D9,RunningInv[SKU],0)),0)</f>
        <v>0</v>
      </c>
    </row>
    <row r="10" spans="1:54" x14ac:dyDescent="0.25">
      <c r="C10" s="77" t="str">
        <f>IF(ISBLANK($E10),"",ROWS($C$5:$C10))</f>
        <v/>
      </c>
      <c r="D10" s="28"/>
      <c r="E10" s="30"/>
      <c r="F10" s="28"/>
      <c r="G10" s="28"/>
      <c r="H10" s="19"/>
      <c r="I10" s="19"/>
      <c r="J10" s="29"/>
      <c r="K10" s="30"/>
      <c r="L10" s="31"/>
      <c r="M10" s="31"/>
      <c r="N10" s="59"/>
      <c r="O10" s="19"/>
      <c r="P10" s="72"/>
      <c r="Q10" s="75"/>
      <c r="R10" s="115"/>
      <c r="S10" s="116"/>
      <c r="T10" s="117"/>
      <c r="U10" s="542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71"/>
      <c r="AW10" s="71"/>
      <c r="AX10" s="71"/>
      <c r="AY10" s="71"/>
      <c r="AZ10" s="71"/>
      <c r="BA10" s="10"/>
      <c r="BB10">
        <f>IFERROR(INDEX(RunningInv[LOCXY],MATCH($D10,RunningInv[SKU],0)),0)</f>
        <v>0</v>
      </c>
    </row>
    <row r="11" spans="1:54" ht="15.75" thickBot="1" x14ac:dyDescent="0.3">
      <c r="C11" s="77" t="str">
        <f>IF(ISBLANK($E11),"",ROWS($C$5:$C11))</f>
        <v/>
      </c>
      <c r="D11" s="28"/>
      <c r="E11" s="30"/>
      <c r="F11" s="28"/>
      <c r="G11" s="28"/>
      <c r="H11" s="19"/>
      <c r="I11" s="19"/>
      <c r="J11" s="29"/>
      <c r="K11" s="30"/>
      <c r="L11" s="31"/>
      <c r="M11" s="31"/>
      <c r="N11" s="59"/>
      <c r="O11" s="19"/>
      <c r="P11" s="72"/>
      <c r="Q11" s="75"/>
      <c r="R11" s="115"/>
      <c r="S11" s="116"/>
      <c r="T11" s="117"/>
      <c r="U11" s="542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71"/>
      <c r="AW11" s="71"/>
      <c r="AX11" s="71"/>
      <c r="AY11" s="71"/>
      <c r="AZ11" s="71"/>
      <c r="BA11" s="10"/>
      <c r="BB11">
        <f>IFERROR(INDEX(RunningInv[LOCXY],MATCH($D11,RunningInv[SKU],0)),0)</f>
        <v>0</v>
      </c>
    </row>
    <row r="12" spans="1:54" ht="18.75" customHeight="1" x14ac:dyDescent="0.25">
      <c r="C12" s="77" t="str">
        <f>IF(ISBLANK($E12),"",ROWS($C$5:$C12))</f>
        <v/>
      </c>
      <c r="D12" s="28"/>
      <c r="E12" s="30"/>
      <c r="F12" s="28"/>
      <c r="G12" s="28"/>
      <c r="H12" s="19"/>
      <c r="I12" s="19"/>
      <c r="J12" s="29"/>
      <c r="K12" s="30"/>
      <c r="L12" s="31"/>
      <c r="M12" s="31"/>
      <c r="N12" s="59"/>
      <c r="O12" s="19"/>
      <c r="P12" s="72"/>
      <c r="Q12" s="75"/>
      <c r="R12" s="115"/>
      <c r="S12" s="116"/>
      <c r="T12" s="117"/>
      <c r="U12" s="542"/>
      <c r="V12" s="8"/>
      <c r="W12" s="8"/>
      <c r="X12" s="8"/>
      <c r="Y12" s="74"/>
      <c r="Z12" s="8"/>
      <c r="AA12" s="18">
        <f>$AC$9</f>
        <v>0</v>
      </c>
      <c r="AB12" s="8"/>
      <c r="AC12" s="33"/>
      <c r="AD12" s="8"/>
      <c r="AE12" s="8"/>
      <c r="AF12" s="546">
        <f>IF(ISBLANK($AC$12),$Y$12*$AA$12,$Y$12*$AC$12)</f>
        <v>0</v>
      </c>
      <c r="AG12" s="547"/>
      <c r="AH12" s="8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71"/>
      <c r="AW12" s="71"/>
      <c r="AX12" s="71"/>
      <c r="AY12" s="71"/>
      <c r="AZ12" s="71"/>
      <c r="BA12" s="10"/>
      <c r="BB12">
        <f>IFERROR(INDEX(RunningInv[LOCXY],MATCH($D12,RunningInv[SKU],0)),0)</f>
        <v>0</v>
      </c>
    </row>
    <row r="13" spans="1:54" x14ac:dyDescent="0.25">
      <c r="C13" s="77" t="str">
        <f>IF(ISBLANK($E13),"",ROWS($C$5:$C13))</f>
        <v/>
      </c>
      <c r="D13" s="28"/>
      <c r="E13" s="30"/>
      <c r="F13" s="28"/>
      <c r="G13" s="28"/>
      <c r="H13" s="19"/>
      <c r="I13" s="19"/>
      <c r="J13" s="29"/>
      <c r="K13" s="30"/>
      <c r="L13" s="31"/>
      <c r="M13" s="31"/>
      <c r="N13" s="59"/>
      <c r="O13" s="19"/>
      <c r="P13" s="72"/>
      <c r="Q13" s="75"/>
      <c r="R13" s="115"/>
      <c r="S13" s="116"/>
      <c r="T13" s="117"/>
      <c r="U13" s="542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71"/>
      <c r="AW13" s="71"/>
      <c r="AX13" s="71"/>
      <c r="AY13" s="71"/>
      <c r="AZ13" s="71"/>
      <c r="BA13" s="10"/>
      <c r="BB13">
        <f>IFERROR(INDEX(RunningInv[LOCXY],MATCH($D13,RunningInv[SKU],0)),0)</f>
        <v>0</v>
      </c>
    </row>
    <row r="14" spans="1:54" ht="15.75" thickBot="1" x14ac:dyDescent="0.3">
      <c r="C14" s="77" t="str">
        <f>IF(ISBLANK($E14),"",ROWS($C$5:$C14))</f>
        <v/>
      </c>
      <c r="D14" s="28"/>
      <c r="E14" s="30"/>
      <c r="F14" s="28"/>
      <c r="G14" s="28"/>
      <c r="H14" s="19"/>
      <c r="I14" s="19"/>
      <c r="J14" s="29"/>
      <c r="K14" s="30"/>
      <c r="L14" s="31"/>
      <c r="M14" s="31"/>
      <c r="N14" s="59"/>
      <c r="O14" s="19"/>
      <c r="P14" s="72"/>
      <c r="Q14" s="75"/>
      <c r="R14" s="115"/>
      <c r="S14" s="116"/>
      <c r="T14" s="117"/>
      <c r="U14" s="542"/>
      <c r="V14" s="8"/>
      <c r="W14" s="8"/>
      <c r="X14" s="8"/>
      <c r="Y14" s="8"/>
      <c r="Z14" s="8"/>
      <c r="AA14" s="8"/>
      <c r="AB14" s="8"/>
      <c r="AC14" s="2"/>
      <c r="AD14" s="2"/>
      <c r="AE14" s="2"/>
      <c r="AF14" s="2"/>
      <c r="AG14" s="2"/>
      <c r="AH14" s="2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71"/>
      <c r="AW14" s="71"/>
      <c r="AX14" s="71"/>
      <c r="AY14" s="71"/>
      <c r="AZ14" s="71"/>
      <c r="BA14" s="10"/>
      <c r="BB14">
        <f>IFERROR(INDEX(RunningInv[LOCXY],MATCH($D14,RunningInv[SKU],0)),0)</f>
        <v>0</v>
      </c>
    </row>
    <row r="15" spans="1:54" ht="18.75" customHeight="1" x14ac:dyDescent="0.25">
      <c r="C15" s="77" t="str">
        <f>IF(ISBLANK($E15),"",ROWS($C$5:$C15))</f>
        <v/>
      </c>
      <c r="D15" s="28"/>
      <c r="E15" s="30"/>
      <c r="F15" s="28"/>
      <c r="G15" s="28"/>
      <c r="H15" s="19"/>
      <c r="I15" s="19"/>
      <c r="J15" s="29"/>
      <c r="K15" s="30"/>
      <c r="L15" s="31"/>
      <c r="M15" s="31"/>
      <c r="N15" s="59"/>
      <c r="O15" s="19"/>
      <c r="P15" s="72"/>
      <c r="Q15" s="75"/>
      <c r="R15" s="115"/>
      <c r="S15" s="116"/>
      <c r="T15" s="117"/>
      <c r="U15" s="542"/>
      <c r="V15" s="8"/>
      <c r="W15" s="8"/>
      <c r="X15" s="8"/>
      <c r="Y15" s="8"/>
      <c r="Z15" s="8"/>
      <c r="AA15" s="8"/>
      <c r="AB15" s="8"/>
      <c r="AC15" s="2"/>
      <c r="AD15" s="2"/>
      <c r="AE15" s="2"/>
      <c r="AF15" s="546">
        <f>$I$3</f>
        <v>0</v>
      </c>
      <c r="AG15" s="547"/>
      <c r="AH15" s="2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71"/>
      <c r="AW15" s="71"/>
      <c r="AX15" s="71"/>
      <c r="AY15" s="71"/>
      <c r="AZ15" s="71"/>
      <c r="BA15" s="10"/>
      <c r="BB15">
        <f>IFERROR(INDEX(RunningInv[LOCXY],MATCH($D15,RunningInv[SKU],0)),0)</f>
        <v>0</v>
      </c>
    </row>
    <row r="16" spans="1:54" ht="15.75" thickBot="1" x14ac:dyDescent="0.3">
      <c r="C16" s="77" t="str">
        <f>IF(ISBLANK($E16),"",ROWS($C$5:$C16))</f>
        <v/>
      </c>
      <c r="D16" s="28"/>
      <c r="E16" s="30"/>
      <c r="F16" s="28"/>
      <c r="G16" s="28"/>
      <c r="H16" s="19"/>
      <c r="I16" s="19"/>
      <c r="J16" s="29"/>
      <c r="K16" s="30"/>
      <c r="L16" s="31"/>
      <c r="M16" s="31"/>
      <c r="N16" s="59"/>
      <c r="O16" s="19"/>
      <c r="P16" s="72"/>
      <c r="Q16" s="75"/>
      <c r="R16" s="115"/>
      <c r="S16" s="116"/>
      <c r="T16" s="117"/>
      <c r="U16" s="542"/>
      <c r="V16" s="8"/>
      <c r="W16" s="8"/>
      <c r="X16" s="8"/>
      <c r="Y16" s="8"/>
      <c r="Z16" s="8"/>
      <c r="AA16" s="8"/>
      <c r="AB16" s="8"/>
      <c r="AC16" s="2"/>
      <c r="AD16" s="2"/>
      <c r="AE16" s="2"/>
      <c r="AF16" s="2"/>
      <c r="AG16" s="2"/>
      <c r="AH16" s="2"/>
      <c r="AJ16" s="17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71"/>
      <c r="AW16" s="71"/>
      <c r="AX16" s="71"/>
      <c r="AY16" s="71"/>
      <c r="AZ16" s="71"/>
      <c r="BA16" s="10"/>
      <c r="BB16">
        <f>IFERROR(INDEX(RunningInv[LOCXY],MATCH($D16,RunningInv[SKU],0)),0)</f>
        <v>0</v>
      </c>
    </row>
    <row r="17" spans="3:54" ht="18.75" customHeight="1" x14ac:dyDescent="0.25">
      <c r="C17" s="77" t="str">
        <f>IF(ISBLANK($E17),"",ROWS($C$5:$C17))</f>
        <v/>
      </c>
      <c r="D17" s="28"/>
      <c r="E17" s="30"/>
      <c r="F17" s="28"/>
      <c r="G17" s="28"/>
      <c r="H17" s="19"/>
      <c r="I17" s="19"/>
      <c r="J17" s="29"/>
      <c r="K17" s="30"/>
      <c r="L17" s="31"/>
      <c r="M17" s="31"/>
      <c r="N17" s="59"/>
      <c r="O17" s="19"/>
      <c r="P17" s="72"/>
      <c r="Q17" s="75"/>
      <c r="R17" s="115"/>
      <c r="S17" s="116"/>
      <c r="T17" s="117"/>
      <c r="U17" s="542"/>
      <c r="V17" s="8"/>
      <c r="W17" s="8"/>
      <c r="X17" s="8"/>
      <c r="Y17" s="8"/>
      <c r="Z17" s="8"/>
      <c r="AA17" s="8"/>
      <c r="AB17" s="8"/>
      <c r="AC17" s="2"/>
      <c r="AD17" s="2"/>
      <c r="AE17" s="2"/>
      <c r="AF17" s="561"/>
      <c r="AG17" s="562"/>
      <c r="AH17" s="2"/>
      <c r="AJ17" s="17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71"/>
      <c r="AW17" s="71"/>
      <c r="AX17" s="71"/>
      <c r="AY17" s="71"/>
      <c r="AZ17" s="71"/>
      <c r="BA17" s="10"/>
      <c r="BB17">
        <f>IFERROR(INDEX(RunningInv[LOCXY],MATCH($D17,RunningInv[SKU],0)),0)</f>
        <v>0</v>
      </c>
    </row>
    <row r="18" spans="3:54" ht="15.75" thickBot="1" x14ac:dyDescent="0.3">
      <c r="C18" s="77" t="str">
        <f>IF(ISBLANK($E18),"",ROWS($C$5:$C18))</f>
        <v/>
      </c>
      <c r="D18" s="28"/>
      <c r="E18" s="30"/>
      <c r="F18" s="28"/>
      <c r="G18" s="28"/>
      <c r="H18" s="19"/>
      <c r="I18" s="19"/>
      <c r="J18" s="29"/>
      <c r="K18" s="30"/>
      <c r="L18" s="31"/>
      <c r="M18" s="31"/>
      <c r="N18" s="59"/>
      <c r="O18" s="19"/>
      <c r="P18" s="72"/>
      <c r="Q18" s="75"/>
      <c r="R18" s="115"/>
      <c r="S18" s="116"/>
      <c r="T18" s="117"/>
      <c r="U18" s="542"/>
      <c r="V18" s="8"/>
      <c r="W18" s="8"/>
      <c r="X18" s="8"/>
      <c r="Y18" s="8"/>
      <c r="Z18" s="8"/>
      <c r="AA18" s="8"/>
      <c r="AB18" s="8"/>
      <c r="AC18" s="2"/>
      <c r="AD18" s="2"/>
      <c r="AE18" s="2"/>
      <c r="AF18" s="2"/>
      <c r="AG18" s="2"/>
      <c r="AH18" s="2"/>
      <c r="AJ18" s="17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71"/>
      <c r="AW18" s="71"/>
      <c r="AX18" s="71"/>
      <c r="AY18" s="71"/>
      <c r="AZ18" s="71"/>
      <c r="BA18" s="10"/>
      <c r="BB18">
        <f>IFERROR(INDEX(RunningInv[LOCXY],MATCH($D18,RunningInv[SKU],0)),0)</f>
        <v>0</v>
      </c>
    </row>
    <row r="19" spans="3:54" ht="18.75" customHeight="1" x14ac:dyDescent="0.25">
      <c r="C19" s="77" t="str">
        <f>IF(ISBLANK($E19),"",ROWS($C$5:$C19))</f>
        <v/>
      </c>
      <c r="D19" s="28"/>
      <c r="E19" s="30"/>
      <c r="F19" s="28"/>
      <c r="G19" s="28"/>
      <c r="H19" s="19"/>
      <c r="I19" s="19"/>
      <c r="J19" s="29"/>
      <c r="K19" s="30"/>
      <c r="L19" s="31"/>
      <c r="M19" s="31"/>
      <c r="N19" s="59"/>
      <c r="O19" s="19"/>
      <c r="P19" s="72"/>
      <c r="Q19" s="75"/>
      <c r="R19" s="115"/>
      <c r="S19" s="116"/>
      <c r="T19" s="117"/>
      <c r="U19" s="542"/>
      <c r="V19" s="8"/>
      <c r="W19" s="8"/>
      <c r="X19" s="8"/>
      <c r="Y19" s="8"/>
      <c r="Z19" s="8"/>
      <c r="AA19" s="8"/>
      <c r="AB19" s="8"/>
      <c r="AC19" s="2"/>
      <c r="AD19" s="2"/>
      <c r="AE19" s="2"/>
      <c r="AF19" s="546">
        <f>IF(ISBLANK($AF$17),0,$AF$17-$AF$15)</f>
        <v>0</v>
      </c>
      <c r="AG19" s="547"/>
      <c r="AH19" s="2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71"/>
      <c r="AW19" s="71"/>
      <c r="AX19" s="71"/>
      <c r="AY19" s="71"/>
      <c r="AZ19" s="71"/>
      <c r="BA19" s="10"/>
      <c r="BB19">
        <f>IFERROR(INDEX(RunningInv[LOCXY],MATCH($D19,RunningInv[SKU],0)),0)</f>
        <v>0</v>
      </c>
    </row>
    <row r="20" spans="3:54" x14ac:dyDescent="0.25">
      <c r="C20" s="77" t="str">
        <f>IF(ISBLANK($E20),"",ROWS($C$5:$C20))</f>
        <v/>
      </c>
      <c r="D20" s="28"/>
      <c r="E20" s="30"/>
      <c r="F20" s="28"/>
      <c r="G20" s="28"/>
      <c r="H20" s="19"/>
      <c r="I20" s="19"/>
      <c r="J20" s="29"/>
      <c r="K20" s="30"/>
      <c r="L20" s="31"/>
      <c r="M20" s="31"/>
      <c r="N20" s="59"/>
      <c r="O20" s="19"/>
      <c r="P20" s="72"/>
      <c r="Q20" s="75"/>
      <c r="R20" s="115"/>
      <c r="S20" s="116"/>
      <c r="T20" s="117"/>
      <c r="U20" s="542"/>
      <c r="V20" s="8"/>
      <c r="W20" s="8"/>
      <c r="X20" s="8"/>
      <c r="Y20" s="8"/>
      <c r="Z20" s="8"/>
      <c r="AA20" s="8"/>
      <c r="AB20" s="8"/>
      <c r="AC20" s="2"/>
      <c r="AD20" s="2"/>
      <c r="AE20" s="2"/>
      <c r="AF20" s="2"/>
      <c r="AG20" s="2"/>
      <c r="AH20" s="2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71"/>
      <c r="AW20" s="71"/>
      <c r="AX20" s="71"/>
      <c r="AY20" s="71"/>
      <c r="AZ20" s="71"/>
      <c r="BA20" s="10"/>
      <c r="BB20">
        <f>IFERROR(INDEX(RunningInv[LOCXY],MATCH($D20,RunningInv[SKU],0)),0)</f>
        <v>0</v>
      </c>
    </row>
    <row r="21" spans="3:54" x14ac:dyDescent="0.25">
      <c r="C21" s="77" t="str">
        <f>IF(ISBLANK($E21),"",ROWS($C$5:$C21))</f>
        <v/>
      </c>
      <c r="D21" s="28"/>
      <c r="E21" s="30"/>
      <c r="F21" s="28"/>
      <c r="G21" s="28"/>
      <c r="H21" s="19"/>
      <c r="I21" s="19"/>
      <c r="J21" s="29"/>
      <c r="K21" s="30"/>
      <c r="L21" s="31"/>
      <c r="M21" s="31"/>
      <c r="N21" s="59"/>
      <c r="O21" s="19"/>
      <c r="P21" s="72"/>
      <c r="Q21" s="75"/>
      <c r="R21" s="115"/>
      <c r="S21" s="116"/>
      <c r="T21" s="117"/>
      <c r="U21" s="542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71"/>
      <c r="AW21" s="71"/>
      <c r="AX21" s="71"/>
      <c r="AY21" s="71"/>
      <c r="AZ21" s="71"/>
      <c r="BA21" s="10"/>
      <c r="BB21">
        <f>IFERROR(INDEX(RunningInv[LOCXY],MATCH($D21,RunningInv[SKU],0)),0)</f>
        <v>0</v>
      </c>
    </row>
    <row r="22" spans="3:54" x14ac:dyDescent="0.25">
      <c r="C22" s="77" t="str">
        <f>IF(ISBLANK($E22),"",ROWS($C$5:$C22))</f>
        <v/>
      </c>
      <c r="D22" s="28"/>
      <c r="E22" s="30"/>
      <c r="F22" s="28"/>
      <c r="G22" s="28"/>
      <c r="H22" s="19"/>
      <c r="I22" s="19"/>
      <c r="J22" s="29"/>
      <c r="K22" s="30"/>
      <c r="L22" s="31"/>
      <c r="M22" s="31"/>
      <c r="N22" s="59"/>
      <c r="O22" s="19"/>
      <c r="P22" s="72"/>
      <c r="Q22" s="75"/>
      <c r="R22" s="115"/>
      <c r="S22" s="116"/>
      <c r="T22" s="117"/>
      <c r="U22" s="542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71"/>
      <c r="AW22" s="71"/>
      <c r="AX22" s="71"/>
      <c r="AY22" s="71"/>
      <c r="AZ22" s="71"/>
      <c r="BA22" s="10"/>
      <c r="BB22">
        <f>IFERROR(INDEX(RunningInv[LOCXY],MATCH($D22,RunningInv[SKU],0)),0)</f>
        <v>0</v>
      </c>
    </row>
    <row r="23" spans="3:54" x14ac:dyDescent="0.25">
      <c r="C23" s="77" t="str">
        <f>IF(ISBLANK($E23),"",ROWS($C$5:$C23))</f>
        <v/>
      </c>
      <c r="D23" s="28"/>
      <c r="E23" s="30"/>
      <c r="F23" s="28"/>
      <c r="G23" s="28"/>
      <c r="H23" s="19"/>
      <c r="I23" s="19"/>
      <c r="J23" s="29"/>
      <c r="K23" s="30"/>
      <c r="L23" s="31"/>
      <c r="M23" s="31"/>
      <c r="N23" s="59"/>
      <c r="O23" s="19"/>
      <c r="P23" s="72"/>
      <c r="Q23" s="75"/>
      <c r="R23" s="115"/>
      <c r="S23" s="116"/>
      <c r="T23" s="117"/>
      <c r="U23" s="542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71"/>
      <c r="AW23" s="71"/>
      <c r="AX23" s="71"/>
      <c r="AY23" s="71"/>
      <c r="AZ23" s="71"/>
      <c r="BA23" s="10"/>
      <c r="BB23">
        <f>IFERROR(INDEX(RunningInv[LOCXY],MATCH($D23,RunningInv[SKU],0)),0)</f>
        <v>0</v>
      </c>
    </row>
    <row r="24" spans="3:54" x14ac:dyDescent="0.25">
      <c r="C24" s="77" t="str">
        <f>IF(ISBLANK($E24),"",ROWS($C$5:$C24))</f>
        <v/>
      </c>
      <c r="D24" s="28"/>
      <c r="E24" s="30"/>
      <c r="F24" s="28"/>
      <c r="G24" s="28"/>
      <c r="H24" s="19"/>
      <c r="I24" s="19"/>
      <c r="J24" s="29"/>
      <c r="K24" s="30"/>
      <c r="L24" s="31"/>
      <c r="M24" s="31"/>
      <c r="N24" s="59"/>
      <c r="O24" s="19"/>
      <c r="P24" s="72"/>
      <c r="Q24" s="75"/>
      <c r="R24" s="115"/>
      <c r="S24" s="116"/>
      <c r="T24" s="117"/>
      <c r="U24" s="542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71"/>
      <c r="AW24" s="71"/>
      <c r="AX24" s="71"/>
      <c r="AY24" s="71"/>
      <c r="AZ24" s="71"/>
      <c r="BA24" s="10"/>
      <c r="BB24">
        <f>IFERROR(INDEX(RunningInv[LOCXY],MATCH($D24,RunningInv[SKU],0)),0)</f>
        <v>0</v>
      </c>
    </row>
    <row r="25" spans="3:54" x14ac:dyDescent="0.25">
      <c r="C25" s="77" t="str">
        <f>IF(ISBLANK($E25),"",ROWS($C$5:$C25))</f>
        <v/>
      </c>
      <c r="D25" s="28"/>
      <c r="E25" s="30"/>
      <c r="F25" s="28"/>
      <c r="G25" s="28"/>
      <c r="H25" s="19"/>
      <c r="I25" s="19"/>
      <c r="J25" s="29"/>
      <c r="K25" s="30"/>
      <c r="L25" s="31"/>
      <c r="M25" s="31"/>
      <c r="N25" s="59"/>
      <c r="O25" s="19"/>
      <c r="P25" s="72"/>
      <c r="Q25" s="75"/>
      <c r="R25" s="115"/>
      <c r="S25" s="116"/>
      <c r="T25" s="117"/>
      <c r="U25" s="542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71"/>
      <c r="AW25" s="71"/>
      <c r="AX25" s="71"/>
      <c r="AY25" s="71"/>
      <c r="AZ25" s="71"/>
      <c r="BA25" s="10"/>
      <c r="BB25">
        <f>IFERROR(INDEX(RunningInv[LOCXY],MATCH($D25,RunningInv[SKU],0)),0)</f>
        <v>0</v>
      </c>
    </row>
    <row r="26" spans="3:54" x14ac:dyDescent="0.25">
      <c r="C26" s="77" t="str">
        <f>IF(ISBLANK($E26),"",ROWS($C$5:$C26))</f>
        <v/>
      </c>
      <c r="D26" s="28"/>
      <c r="E26" s="30"/>
      <c r="F26" s="28"/>
      <c r="G26" s="28"/>
      <c r="H26" s="19"/>
      <c r="I26" s="19"/>
      <c r="J26" s="29"/>
      <c r="K26" s="30"/>
      <c r="L26" s="31"/>
      <c r="M26" s="31"/>
      <c r="N26" s="59"/>
      <c r="O26" s="19"/>
      <c r="P26" s="72"/>
      <c r="Q26" s="75"/>
      <c r="R26" s="115"/>
      <c r="S26" s="116"/>
      <c r="T26" s="117"/>
      <c r="U26" s="542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71"/>
      <c r="AW26" s="71"/>
      <c r="AX26" s="71"/>
      <c r="AY26" s="71"/>
      <c r="AZ26" s="71"/>
      <c r="BA26" s="10"/>
      <c r="BB26">
        <f>IFERROR(INDEX(RunningInv[LOCXY],MATCH($D26,RunningInv[SKU],0)),0)</f>
        <v>0</v>
      </c>
    </row>
    <row r="27" spans="3:54" x14ac:dyDescent="0.25">
      <c r="C27" s="77" t="str">
        <f>IF(ISBLANK($E27),"",ROWS($C$5:$C27))</f>
        <v/>
      </c>
      <c r="D27" s="28"/>
      <c r="E27" s="30"/>
      <c r="F27" s="28"/>
      <c r="G27" s="28"/>
      <c r="H27" s="19"/>
      <c r="I27" s="19"/>
      <c r="J27" s="29"/>
      <c r="K27" s="30"/>
      <c r="L27" s="31"/>
      <c r="M27" s="31"/>
      <c r="N27" s="59"/>
      <c r="O27" s="19"/>
      <c r="P27" s="72"/>
      <c r="Q27" s="75"/>
      <c r="R27" s="115"/>
      <c r="S27" s="116"/>
      <c r="T27" s="117"/>
      <c r="U27" s="542"/>
      <c r="BB27">
        <f>IFERROR(INDEX(RunningInv[LOCXY],MATCH($D27,RunningInv[SKU],0)),0)</f>
        <v>0</v>
      </c>
    </row>
    <row r="28" spans="3:54" x14ac:dyDescent="0.25">
      <c r="C28" s="77" t="str">
        <f>IF(ISBLANK($E28),"",ROWS($C$5:$C28))</f>
        <v/>
      </c>
      <c r="D28" s="28"/>
      <c r="E28" s="30"/>
      <c r="F28" s="28"/>
      <c r="G28" s="28"/>
      <c r="H28" s="19"/>
      <c r="I28" s="19"/>
      <c r="J28" s="29"/>
      <c r="K28" s="30"/>
      <c r="L28" s="31"/>
      <c r="M28" s="31"/>
      <c r="N28" s="59"/>
      <c r="O28" s="19"/>
      <c r="P28" s="72"/>
      <c r="Q28" s="75"/>
      <c r="R28" s="115"/>
      <c r="S28" s="116"/>
      <c r="T28" s="117"/>
      <c r="U28" s="542"/>
      <c r="BB28">
        <f>IFERROR(INDEX(RunningInv[LOCXY],MATCH($D28,RunningInv[SKU],0)),0)</f>
        <v>0</v>
      </c>
    </row>
    <row r="29" spans="3:54" x14ac:dyDescent="0.25">
      <c r="C29" s="77" t="str">
        <f>IF(ISBLANK($E29),"",ROWS($C$5:$C29))</f>
        <v/>
      </c>
      <c r="D29" s="28"/>
      <c r="E29" s="30"/>
      <c r="F29" s="28"/>
      <c r="G29" s="28"/>
      <c r="H29" s="19"/>
      <c r="I29" s="19"/>
      <c r="J29" s="29"/>
      <c r="K29" s="30"/>
      <c r="L29" s="31"/>
      <c r="M29" s="31"/>
      <c r="N29" s="59"/>
      <c r="O29" s="19"/>
      <c r="P29" s="72"/>
      <c r="Q29" s="75"/>
      <c r="R29" s="115"/>
      <c r="S29" s="116"/>
      <c r="T29" s="117"/>
      <c r="U29" s="542"/>
      <c r="BB29">
        <f>IFERROR(INDEX(RunningInv[LOCXY],MATCH($D29,RunningInv[SKU],0)),0)</f>
        <v>0</v>
      </c>
    </row>
    <row r="30" spans="3:54" x14ac:dyDescent="0.25">
      <c r="C30" s="77" t="str">
        <f>IF(ISBLANK($E30),"",ROWS($C$5:$C30))</f>
        <v/>
      </c>
      <c r="D30" s="28"/>
      <c r="E30" s="30"/>
      <c r="F30" s="28"/>
      <c r="G30" s="28"/>
      <c r="H30" s="19"/>
      <c r="I30" s="19"/>
      <c r="J30" s="29"/>
      <c r="K30" s="30"/>
      <c r="L30" s="31"/>
      <c r="M30" s="31"/>
      <c r="N30" s="59"/>
      <c r="O30" s="19"/>
      <c r="P30" s="72"/>
      <c r="Q30" s="75"/>
      <c r="R30" s="115"/>
      <c r="S30" s="116"/>
      <c r="T30" s="117"/>
      <c r="U30" s="542"/>
      <c r="BB30">
        <f>IFERROR(INDEX(RunningInv[LOCXY],MATCH($D30,RunningInv[SKU],0)),0)</f>
        <v>0</v>
      </c>
    </row>
    <row r="31" spans="3:54" x14ac:dyDescent="0.25">
      <c r="C31" s="77" t="str">
        <f>IF(ISBLANK($E31),"",ROWS($C$5:$C31))</f>
        <v/>
      </c>
      <c r="D31" s="28"/>
      <c r="E31" s="30"/>
      <c r="F31" s="28"/>
      <c r="G31" s="28"/>
      <c r="H31" s="19"/>
      <c r="I31" s="19"/>
      <c r="J31" s="29"/>
      <c r="K31" s="30"/>
      <c r="L31" s="31"/>
      <c r="M31" s="31"/>
      <c r="N31" s="59"/>
      <c r="O31" s="19"/>
      <c r="P31" s="72"/>
      <c r="Q31" s="75"/>
      <c r="R31" s="115"/>
      <c r="S31" s="116"/>
      <c r="T31" s="117"/>
      <c r="U31" s="542"/>
      <c r="BB31">
        <f>IFERROR(INDEX(RunningInv[LOCXY],MATCH($D31,RunningInv[SKU],0)),0)</f>
        <v>0</v>
      </c>
    </row>
    <row r="32" spans="3:54" x14ac:dyDescent="0.25">
      <c r="C32" s="77" t="str">
        <f>IF(ISBLANK($E32),"",ROWS($C$5:$C32))</f>
        <v/>
      </c>
      <c r="D32" s="28"/>
      <c r="E32" s="30"/>
      <c r="F32" s="28"/>
      <c r="G32" s="28"/>
      <c r="H32" s="19"/>
      <c r="I32" s="19"/>
      <c r="J32" s="29"/>
      <c r="K32" s="30"/>
      <c r="L32" s="31"/>
      <c r="M32" s="31"/>
      <c r="N32" s="59"/>
      <c r="O32" s="19"/>
      <c r="P32" s="72"/>
      <c r="Q32" s="75"/>
      <c r="R32" s="115"/>
      <c r="S32" s="116"/>
      <c r="T32" s="117"/>
      <c r="U32" s="542"/>
      <c r="BB32">
        <f>IFERROR(INDEX(RunningInv[LOCXY],MATCH($D32,RunningInv[SKU],0)),0)</f>
        <v>0</v>
      </c>
    </row>
    <row r="33" spans="3:60" x14ac:dyDescent="0.25">
      <c r="C33" s="77" t="str">
        <f>IF(ISBLANK($E33),"",ROWS($C$5:$C33))</f>
        <v/>
      </c>
      <c r="D33" s="28"/>
      <c r="E33" s="30"/>
      <c r="F33" s="28"/>
      <c r="G33" s="28"/>
      <c r="H33" s="19"/>
      <c r="I33" s="19"/>
      <c r="J33" s="29"/>
      <c r="K33" s="30"/>
      <c r="L33" s="31"/>
      <c r="M33" s="31"/>
      <c r="N33" s="59"/>
      <c r="O33" s="19"/>
      <c r="P33" s="72"/>
      <c r="Q33" s="75"/>
      <c r="R33" s="115"/>
      <c r="S33" s="116"/>
      <c r="T33" s="117"/>
      <c r="U33" s="542"/>
      <c r="BB33">
        <f>IFERROR(INDEX(RunningInv[LOCXY],MATCH($D33,RunningInv[SKU],0)),0)</f>
        <v>0</v>
      </c>
    </row>
    <row r="34" spans="3:60" x14ac:dyDescent="0.25">
      <c r="C34" s="77" t="str">
        <f>IF(ISBLANK($E34),"",ROWS($C$5:$C34))</f>
        <v/>
      </c>
      <c r="D34" s="28"/>
      <c r="E34" s="30"/>
      <c r="F34" s="28"/>
      <c r="G34" s="28"/>
      <c r="H34" s="19"/>
      <c r="I34" s="19"/>
      <c r="J34" s="29"/>
      <c r="K34" s="30"/>
      <c r="L34" s="31"/>
      <c r="M34" s="31"/>
      <c r="N34" s="59"/>
      <c r="O34" s="19"/>
      <c r="P34" s="72"/>
      <c r="Q34" s="75"/>
      <c r="R34" s="115"/>
      <c r="S34" s="116"/>
      <c r="T34" s="117"/>
      <c r="U34" s="542"/>
      <c r="BB34">
        <f>IFERROR(INDEX(RunningInv[LOCXY],MATCH($D34,RunningInv[SKU],0)),0)</f>
        <v>0</v>
      </c>
    </row>
    <row r="35" spans="3:60" x14ac:dyDescent="0.25">
      <c r="C35" s="77" t="str">
        <f>IF(ISBLANK($E35),"",ROWS($C$5:$C35))</f>
        <v/>
      </c>
      <c r="D35" s="28"/>
      <c r="E35" s="30"/>
      <c r="F35" s="28"/>
      <c r="G35" s="28"/>
      <c r="H35" s="19"/>
      <c r="I35" s="19"/>
      <c r="J35" s="29"/>
      <c r="K35" s="30"/>
      <c r="L35" s="31"/>
      <c r="M35" s="31"/>
      <c r="N35" s="59"/>
      <c r="O35" s="19"/>
      <c r="P35" s="72"/>
      <c r="Q35" s="75"/>
      <c r="R35" s="115"/>
      <c r="S35" s="116"/>
      <c r="T35" s="117"/>
      <c r="U35" s="542"/>
      <c r="BB35">
        <f>IFERROR(INDEX(RunningInv[LOCXY],MATCH($D35,RunningInv[SKU],0)),0)</f>
        <v>0</v>
      </c>
    </row>
    <row r="36" spans="3:60" x14ac:dyDescent="0.25">
      <c r="C36" s="77" t="str">
        <f>IF(ISBLANK($E36),"",ROWS($C$5:$C36))</f>
        <v/>
      </c>
      <c r="D36" s="28"/>
      <c r="E36" s="30"/>
      <c r="F36" s="28"/>
      <c r="G36" s="28"/>
      <c r="H36" s="19"/>
      <c r="I36" s="19"/>
      <c r="J36" s="29"/>
      <c r="K36" s="30"/>
      <c r="L36" s="31"/>
      <c r="M36" s="31"/>
      <c r="N36" s="59"/>
      <c r="O36" s="19"/>
      <c r="P36" s="72"/>
      <c r="Q36" s="75"/>
      <c r="R36" s="115"/>
      <c r="S36" s="116"/>
      <c r="T36" s="117"/>
      <c r="U36" s="542"/>
      <c r="BB36">
        <f>IFERROR(INDEX(RunningInv[LOCXY],MATCH($D36,RunningInv[SKU],0)),0)</f>
        <v>0</v>
      </c>
    </row>
    <row r="37" spans="3:60" x14ac:dyDescent="0.25">
      <c r="C37" s="11" t="s">
        <v>12</v>
      </c>
      <c r="D37" t="s">
        <v>12</v>
      </c>
      <c r="E37" t="s">
        <v>12</v>
      </c>
      <c r="F37" t="s">
        <v>12</v>
      </c>
      <c r="G37" t="s">
        <v>12</v>
      </c>
      <c r="H37" t="s">
        <v>12</v>
      </c>
      <c r="I37" t="s">
        <v>12</v>
      </c>
      <c r="J37" t="s">
        <v>12</v>
      </c>
      <c r="K37" t="s">
        <v>12</v>
      </c>
      <c r="L37" t="s">
        <v>12</v>
      </c>
      <c r="M37" t="s">
        <v>12</v>
      </c>
      <c r="N37" t="s">
        <v>12</v>
      </c>
      <c r="O37" t="s">
        <v>12</v>
      </c>
      <c r="P37" t="s">
        <v>12</v>
      </c>
      <c r="Q37" t="s">
        <v>12</v>
      </c>
      <c r="R37" t="s">
        <v>12</v>
      </c>
      <c r="T37" t="s">
        <v>12</v>
      </c>
      <c r="U37" s="538" t="s">
        <v>12</v>
      </c>
      <c r="V37" t="s">
        <v>12</v>
      </c>
      <c r="W37" t="s">
        <v>12</v>
      </c>
      <c r="X37" t="s">
        <v>12</v>
      </c>
      <c r="Y37" t="s">
        <v>12</v>
      </c>
      <c r="Z37" t="s">
        <v>12</v>
      </c>
      <c r="AA37" t="s">
        <v>12</v>
      </c>
      <c r="AB37" t="s">
        <v>12</v>
      </c>
      <c r="AC37" t="s">
        <v>12</v>
      </c>
      <c r="AD37" t="s">
        <v>12</v>
      </c>
      <c r="AE37" t="s">
        <v>12</v>
      </c>
      <c r="AF37" t="s">
        <v>12</v>
      </c>
      <c r="AG37" t="s">
        <v>12</v>
      </c>
      <c r="AH37" t="s">
        <v>12</v>
      </c>
      <c r="AI37" t="s">
        <v>12</v>
      </c>
      <c r="AJ37" t="s">
        <v>12</v>
      </c>
      <c r="AK37" t="s">
        <v>12</v>
      </c>
      <c r="AL37" t="s">
        <v>12</v>
      </c>
      <c r="AM37" t="s">
        <v>12</v>
      </c>
      <c r="AN37" t="s">
        <v>12</v>
      </c>
      <c r="AO37" t="s">
        <v>12</v>
      </c>
      <c r="AP37" t="s">
        <v>12</v>
      </c>
      <c r="AQ37" t="s">
        <v>12</v>
      </c>
      <c r="AR37" t="s">
        <v>12</v>
      </c>
      <c r="AS37" t="s">
        <v>12</v>
      </c>
      <c r="AT37" t="s">
        <v>12</v>
      </c>
      <c r="AU37" t="s">
        <v>12</v>
      </c>
      <c r="AV37" t="s">
        <v>12</v>
      </c>
      <c r="AW37"/>
      <c r="AX37"/>
      <c r="AY37"/>
      <c r="AZ37"/>
      <c r="BA37" t="s">
        <v>12</v>
      </c>
      <c r="BB37" t="s">
        <v>12</v>
      </c>
      <c r="BC37" t="s">
        <v>12</v>
      </c>
      <c r="BD37" t="s">
        <v>12</v>
      </c>
      <c r="BE37" t="s">
        <v>12</v>
      </c>
      <c r="BF37" t="s">
        <v>12</v>
      </c>
      <c r="BG37" t="s">
        <v>12</v>
      </c>
      <c r="BH37" t="s">
        <v>12</v>
      </c>
    </row>
    <row r="45" spans="3:60" x14ac:dyDescent="0.25">
      <c r="D45">
        <v>4</v>
      </c>
      <c r="E45">
        <v>5</v>
      </c>
      <c r="F45">
        <v>6</v>
      </c>
      <c r="G45">
        <v>7</v>
      </c>
      <c r="H45">
        <v>8</v>
      </c>
      <c r="I45">
        <v>9</v>
      </c>
      <c r="J45">
        <v>10</v>
      </c>
      <c r="K45">
        <v>11</v>
      </c>
      <c r="L45">
        <v>12</v>
      </c>
      <c r="M45">
        <v>13</v>
      </c>
      <c r="N45">
        <v>14</v>
      </c>
      <c r="O45">
        <v>15</v>
      </c>
      <c r="P45">
        <v>16</v>
      </c>
      <c r="Q45">
        <v>17</v>
      </c>
      <c r="R45">
        <v>18</v>
      </c>
      <c r="T45">
        <v>19</v>
      </c>
      <c r="U45" s="538">
        <v>20</v>
      </c>
      <c r="V45">
        <v>21</v>
      </c>
      <c r="W45">
        <v>22</v>
      </c>
      <c r="X45">
        <v>23</v>
      </c>
      <c r="Y45">
        <v>24</v>
      </c>
      <c r="Z45">
        <v>25</v>
      </c>
      <c r="AA45">
        <v>26</v>
      </c>
      <c r="AB45">
        <v>27</v>
      </c>
      <c r="AC45">
        <v>28</v>
      </c>
      <c r="AD45">
        <v>29</v>
      </c>
      <c r="AE45">
        <v>30</v>
      </c>
      <c r="AF45">
        <v>31</v>
      </c>
      <c r="AG45">
        <v>32</v>
      </c>
      <c r="AH45">
        <v>33</v>
      </c>
      <c r="AI45">
        <v>34</v>
      </c>
      <c r="AJ45">
        <v>35</v>
      </c>
      <c r="AK45">
        <v>36</v>
      </c>
    </row>
  </sheetData>
  <sheetProtection sheet="1" objects="1" scenarios="1"/>
  <mergeCells count="13">
    <mergeCell ref="AJ2:AK2"/>
    <mergeCell ref="AJ3:AK3"/>
    <mergeCell ref="G3:H3"/>
    <mergeCell ref="G2:H2"/>
    <mergeCell ref="AF17:AG17"/>
    <mergeCell ref="AF19:AG19"/>
    <mergeCell ref="AE3:AG3"/>
    <mergeCell ref="AE5:AG5"/>
    <mergeCell ref="Y7:AG7"/>
    <mergeCell ref="Y5:AB5"/>
    <mergeCell ref="AF12:AG12"/>
    <mergeCell ref="AF15:AG15"/>
    <mergeCell ref="Y3:AA3"/>
  </mergeCells>
  <conditionalFormatting sqref="C6:T36">
    <cfRule type="expression" dxfId="180" priority="5">
      <formula>MOD(ROW(),2)=0</formula>
    </cfRule>
  </conditionalFormatting>
  <conditionalFormatting sqref="D5:D36">
    <cfRule type="duplicateValues" dxfId="179" priority="3"/>
    <cfRule type="duplicateValues" dxfId="178" priority="4"/>
  </conditionalFormatting>
  <conditionalFormatting sqref="Q5">
    <cfRule type="expression" dxfId="177" priority="2">
      <formula>MOD(ROW(),2)=0</formula>
    </cfRule>
  </conditionalFormatting>
  <conditionalFormatting sqref="C5:T36">
    <cfRule type="expression" dxfId="176" priority="1">
      <formula>$B$5=ROW()</formula>
    </cfRule>
  </conditionalFormatting>
  <hyperlinks>
    <hyperlink ref="AJ7" location="SalesTable!A1" display="&gt;&gt;go to Sales Table" xr:uid="{7AAFB734-A312-4FEA-97ED-FE6C90D32065}"/>
  </hyperlinks>
  <pageMargins left="0.7" right="0.7" top="0.75" bottom="0.75" header="0.3" footer="0.3"/>
  <pageSetup paperSize="5" scale="80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7196" r:id="rId4" name="txtDate">
          <controlPr defaultSize="0" recalcAlways="1" autoLine="0" linkedCell="AJ3" r:id="rId5">
            <anchor moveWithCells="1">
              <from>
                <xdr:col>30</xdr:col>
                <xdr:colOff>171450</xdr:colOff>
                <xdr:row>0</xdr:row>
                <xdr:rowOff>790575</xdr:rowOff>
              </from>
              <to>
                <xdr:col>33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7196" r:id="rId4" name="txtD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B7735-7444-4044-A6E4-E885A37B0311}">
  <sheetPr codeName="Sheet9">
    <tabColor rgb="FF00B0F0"/>
  </sheetPr>
  <dimension ref="A1:BU37"/>
  <sheetViews>
    <sheetView showGridLines="0" topLeftCell="C1" zoomScale="90" zoomScaleNormal="90" workbookViewId="0">
      <pane xSplit="39" ySplit="26" topLeftCell="AP27" activePane="bottomRight" state="frozen"/>
      <selection activeCell="C1" sqref="C1"/>
      <selection pane="topRight" activeCell="AP1" sqref="AP1"/>
      <selection pane="bottomLeft" activeCell="C27" sqref="C27"/>
      <selection pane="bottomRight" activeCell="AH22" sqref="AH22"/>
    </sheetView>
  </sheetViews>
  <sheetFormatPr defaultRowHeight="15" x14ac:dyDescent="0.25"/>
  <cols>
    <col min="1" max="2" width="0" style="1" hidden="1" customWidth="1"/>
    <col min="3" max="3" width="5.42578125" customWidth="1"/>
    <col min="4" max="4" width="8.5703125" customWidth="1"/>
    <col min="5" max="5" width="31.42578125" style="1" customWidth="1"/>
    <col min="6" max="6" width="6.5703125" style="1" customWidth="1"/>
    <col min="9" max="10" width="9.140625" customWidth="1"/>
    <col min="12" max="12" width="10" customWidth="1"/>
    <col min="13" max="13" width="9.140625" customWidth="1"/>
    <col min="14" max="14" width="9.140625" style="1" hidden="1" customWidth="1"/>
    <col min="15" max="15" width="17.85546875" hidden="1" customWidth="1"/>
    <col min="16" max="18" width="9.140625" hidden="1" customWidth="1"/>
    <col min="19" max="20" width="11.28515625" hidden="1" customWidth="1"/>
    <col min="21" max="25" width="9.140625" hidden="1" customWidth="1"/>
    <col min="26" max="26" width="0" hidden="1" customWidth="1"/>
    <col min="27" max="27" width="9.140625" hidden="1" customWidth="1"/>
    <col min="28" max="28" width="2" customWidth="1"/>
    <col min="29" max="29" width="2.7109375" customWidth="1"/>
    <col min="32" max="32" width="9.28515625" customWidth="1"/>
    <col min="33" max="33" width="4.5703125" customWidth="1"/>
    <col min="34" max="34" width="9.28515625" customWidth="1"/>
    <col min="35" max="35" width="4.5703125" customWidth="1"/>
    <col min="36" max="36" width="9.28515625" customWidth="1"/>
    <col min="37" max="37" width="3.42578125" customWidth="1"/>
    <col min="38" max="38" width="9.28515625" customWidth="1"/>
    <col min="39" max="39" width="3.42578125" customWidth="1"/>
    <col min="40" max="40" width="9.28515625" customWidth="1"/>
    <col min="41" max="41" width="2.7109375" customWidth="1"/>
    <col min="44" max="44" width="22.42578125" customWidth="1"/>
    <col min="54" max="54" width="12.140625" customWidth="1"/>
    <col min="65" max="65" width="8.5703125" style="10" customWidth="1"/>
    <col min="66" max="67" width="5.7109375" style="10" customWidth="1"/>
    <col min="68" max="68" width="9.140625" style="11"/>
  </cols>
  <sheetData>
    <row r="1" spans="1:73" ht="66.75" customHeight="1" x14ac:dyDescent="0.25">
      <c r="AC1" s="9"/>
      <c r="AD1" s="9"/>
      <c r="AE1" s="9"/>
      <c r="AF1" s="9" t="s">
        <v>3389</v>
      </c>
      <c r="AG1" s="9"/>
      <c r="AH1" s="9"/>
      <c r="AI1" s="9"/>
      <c r="AJ1" s="9"/>
      <c r="AK1" s="9"/>
      <c r="AL1" s="9"/>
      <c r="AM1" s="9"/>
      <c r="AN1" s="9"/>
      <c r="AO1" s="9"/>
    </row>
    <row r="2" spans="1:73" ht="15.75" thickBot="1" x14ac:dyDescent="0.3">
      <c r="C2" s="11"/>
      <c r="G2" s="559" t="s">
        <v>3332</v>
      </c>
      <c r="H2" s="560"/>
      <c r="I2" s="34">
        <f>COUNTA($I$5:$I$36)</f>
        <v>0</v>
      </c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Q2" s="557">
        <f ca="1">NOW()</f>
        <v>45322.998855902777</v>
      </c>
      <c r="AR2" s="557"/>
    </row>
    <row r="3" spans="1:73" x14ac:dyDescent="0.25">
      <c r="C3" s="170">
        <f>IFERROR(ROW($C$4)+LARGE($C$5:$C$36,1)+1,5)</f>
        <v>5</v>
      </c>
      <c r="D3" s="171">
        <f>COUNTIF($D$5:$D$36,$AQ$5)</f>
        <v>0</v>
      </c>
      <c r="E3" s="172">
        <f>COUNTA($E$5:$E$36)</f>
        <v>0</v>
      </c>
      <c r="G3" s="559" t="s">
        <v>3331</v>
      </c>
      <c r="H3" s="560"/>
      <c r="I3" s="173">
        <f>SUM($I$5:$I$36)</f>
        <v>0</v>
      </c>
      <c r="J3" s="12"/>
      <c r="K3" s="13"/>
      <c r="AC3" s="8"/>
      <c r="AD3" s="8"/>
      <c r="AE3" s="8"/>
      <c r="AF3" s="554">
        <v>45312</v>
      </c>
      <c r="AG3" s="555"/>
      <c r="AH3" s="556"/>
      <c r="AI3" s="8"/>
      <c r="AJ3" s="8"/>
      <c r="AK3" s="8"/>
      <c r="AL3" s="563"/>
      <c r="AM3" s="564"/>
      <c r="AN3" s="565"/>
      <c r="AO3" s="8"/>
      <c r="AQ3" s="558" t="str">
        <f ca="1">fmt($AQ$2,"DDD - MMM DD, YYYY")</f>
        <v>Wed - Jan 31, 2024</v>
      </c>
      <c r="AR3" s="558"/>
      <c r="AU3" s="1" t="s">
        <v>3404</v>
      </c>
      <c r="AV3" s="96" t="str">
        <f>IFERROR(INDEX(ItemTable[COST PRICE],MATCH($AQ$5,ItemTable[SKU],0)),"-*-")</f>
        <v>-*-</v>
      </c>
      <c r="AW3" s="97" t="s">
        <v>3403</v>
      </c>
      <c r="AX3" s="96" t="str">
        <f>IFERROR(INDEX(ItemTable[SRP PRICE],MATCH($AQ$5,ItemTable[SKU],0)),"-*-")</f>
        <v>-*-</v>
      </c>
      <c r="BB3">
        <f>VALUE($AF$3)</f>
        <v>45312</v>
      </c>
      <c r="BE3" s="97" t="s">
        <v>3423</v>
      </c>
      <c r="BF3" s="96" t="str">
        <f>IFERROR(INDEX(ItemTable[SUPPLIER],MATCH($AQ$5,ItemTable[SKU],0)),"-*-")</f>
        <v>-*-</v>
      </c>
    </row>
    <row r="4" spans="1:73" ht="15.75" thickBot="1" x14ac:dyDescent="0.3">
      <c r="C4" s="76" t="s">
        <v>0</v>
      </c>
      <c r="D4" s="7" t="s">
        <v>1</v>
      </c>
      <c r="E4" s="7" t="s">
        <v>2</v>
      </c>
      <c r="F4" s="7" t="s">
        <v>1772</v>
      </c>
      <c r="G4" s="7" t="s">
        <v>3393</v>
      </c>
      <c r="H4" s="7" t="s">
        <v>3392</v>
      </c>
      <c r="I4" s="7" t="s">
        <v>3426</v>
      </c>
      <c r="J4" s="7" t="s">
        <v>3394</v>
      </c>
      <c r="K4" s="7" t="s">
        <v>3395</v>
      </c>
      <c r="L4" s="7" t="s">
        <v>3396</v>
      </c>
      <c r="M4" s="7" t="s">
        <v>3397</v>
      </c>
      <c r="N4" s="58" t="s">
        <v>3401</v>
      </c>
      <c r="O4" s="60" t="s">
        <v>3425</v>
      </c>
      <c r="P4" s="60" t="s">
        <v>3399</v>
      </c>
      <c r="Q4" s="60" t="s">
        <v>3400</v>
      </c>
      <c r="R4" s="60" t="s">
        <v>3402</v>
      </c>
      <c r="S4" s="110" t="s">
        <v>3420</v>
      </c>
      <c r="T4" s="110" t="s">
        <v>3422</v>
      </c>
      <c r="U4" s="110" t="s">
        <v>3418</v>
      </c>
      <c r="V4" s="110" t="s">
        <v>3417</v>
      </c>
      <c r="W4" s="110" t="s">
        <v>3414</v>
      </c>
      <c r="X4" s="110" t="s">
        <v>3415</v>
      </c>
      <c r="Y4" s="110" t="s">
        <v>3416</v>
      </c>
      <c r="Z4" s="110" t="s">
        <v>3386</v>
      </c>
      <c r="AA4" s="61" t="s">
        <v>3794</v>
      </c>
      <c r="AC4" s="8"/>
      <c r="AD4" s="8"/>
      <c r="AE4" s="8"/>
      <c r="AF4" s="8"/>
      <c r="AG4" s="8"/>
      <c r="AH4" s="8"/>
      <c r="AI4" s="8"/>
      <c r="AJ4" s="8"/>
      <c r="AK4" s="8"/>
      <c r="AL4" s="98"/>
      <c r="AM4" s="98"/>
      <c r="AN4" s="98"/>
      <c r="AO4" s="8"/>
      <c r="AQ4" s="136" t="s">
        <v>1</v>
      </c>
      <c r="AR4" s="137" t="s">
        <v>2</v>
      </c>
      <c r="AS4" s="137" t="s">
        <v>1772</v>
      </c>
      <c r="AT4" s="137" t="s">
        <v>3393</v>
      </c>
      <c r="AU4" s="137" t="s">
        <v>3392</v>
      </c>
      <c r="AV4" s="137" t="s">
        <v>3406</v>
      </c>
      <c r="AW4" s="137" t="s">
        <v>3394</v>
      </c>
      <c r="AX4" s="137" t="s">
        <v>3395</v>
      </c>
      <c r="AY4" s="137" t="s">
        <v>3396</v>
      </c>
      <c r="AZ4" s="137" t="s">
        <v>3397</v>
      </c>
      <c r="BA4" s="137" t="s">
        <v>3401</v>
      </c>
      <c r="BB4" s="137" t="s">
        <v>3398</v>
      </c>
      <c r="BC4" s="137" t="s">
        <v>3399</v>
      </c>
      <c r="BD4" s="137" t="s">
        <v>3400</v>
      </c>
      <c r="BE4" s="138" t="s">
        <v>3402</v>
      </c>
      <c r="BF4" s="138" t="s">
        <v>3420</v>
      </c>
      <c r="BG4" s="138" t="s">
        <v>3422</v>
      </c>
      <c r="BH4" s="138" t="s">
        <v>3418</v>
      </c>
      <c r="BI4" s="138" t="s">
        <v>3417</v>
      </c>
      <c r="BJ4" s="160" t="s">
        <v>3414</v>
      </c>
      <c r="BK4" s="160" t="s">
        <v>3415</v>
      </c>
      <c r="BL4" s="161" t="s">
        <v>3416</v>
      </c>
      <c r="BM4" s="166" t="s">
        <v>3386</v>
      </c>
      <c r="BN4" s="449" t="s">
        <v>3798</v>
      </c>
      <c r="BP4" s="146" t="s">
        <v>3383</v>
      </c>
      <c r="BT4" s="184"/>
      <c r="BU4" s="184"/>
    </row>
    <row r="5" spans="1:73" x14ac:dyDescent="0.25">
      <c r="A5" s="1" t="s">
        <v>3413</v>
      </c>
      <c r="B5" s="148">
        <v>1</v>
      </c>
      <c r="C5" s="77" t="str">
        <f>IF(ISBLANK($E5),"",ROWS($C$5:$C5))</f>
        <v/>
      </c>
      <c r="D5" s="28"/>
      <c r="E5" s="30"/>
      <c r="F5" s="31"/>
      <c r="G5" s="135"/>
      <c r="H5" s="19"/>
      <c r="I5" s="19"/>
      <c r="J5" s="134"/>
      <c r="K5" s="132"/>
      <c r="L5" s="133"/>
      <c r="M5" s="133"/>
      <c r="N5" s="167"/>
      <c r="O5" s="129"/>
      <c r="P5" s="162"/>
      <c r="Q5" s="163"/>
      <c r="R5" s="135"/>
      <c r="S5" s="127"/>
      <c r="T5" s="164"/>
      <c r="U5" s="147"/>
      <c r="V5" s="147"/>
      <c r="W5" s="127"/>
      <c r="X5" s="127"/>
      <c r="Y5" s="127"/>
      <c r="Z5" s="127"/>
      <c r="AA5" s="128"/>
      <c r="AC5" s="8"/>
      <c r="AD5" s="8"/>
      <c r="AE5" s="8"/>
      <c r="AF5" s="563"/>
      <c r="AG5" s="564"/>
      <c r="AH5" s="564"/>
      <c r="AI5" s="82"/>
      <c r="AJ5" s="8"/>
      <c r="AK5" s="8"/>
      <c r="AL5" s="563"/>
      <c r="AM5" s="564"/>
      <c r="AN5" s="565"/>
      <c r="AO5" s="8"/>
      <c r="AQ5" s="139" t="str">
        <f>IFERROR(VALUE(LEFT($AF$7,4)),"-*-")</f>
        <v>-*-</v>
      </c>
      <c r="AR5" s="140" t="str">
        <f>IFERROR(INDEX(ItemTable[ITEMS DESCRIPTION],MATCH($AQ$5,ItemTable[SKU],0)),"-*-")</f>
        <v>-*-</v>
      </c>
      <c r="AS5" s="140" t="str">
        <f>IFERROR(INDEX(ItemTable[QTY SOLD],MATCH($AQ$5,ItemTable[SKU],0)),"-*-")</f>
        <v>-*-</v>
      </c>
      <c r="AT5" s="141">
        <f>$AF$12</f>
        <v>0</v>
      </c>
      <c r="AU5" s="142">
        <f>$AH$12</f>
        <v>0</v>
      </c>
      <c r="AV5" s="142">
        <f>$AJ$12</f>
        <v>0</v>
      </c>
      <c r="AW5" s="142">
        <f>$AF$15</f>
        <v>0</v>
      </c>
      <c r="AX5" s="142">
        <f>AH15</f>
        <v>0</v>
      </c>
      <c r="AY5" s="142">
        <f>AJ15</f>
        <v>0</v>
      </c>
      <c r="AZ5" s="142">
        <f>AN15</f>
        <v>0</v>
      </c>
      <c r="BA5" s="143" t="str">
        <f>PROPER($AF$5)</f>
        <v/>
      </c>
      <c r="BB5" s="144" t="str">
        <f>VLOOKUP($BK$5,NJCALENDAR,2,FALSE) &amp; " " &amp; BL5 &amp; "," &amp; " " &amp; BJ5</f>
        <v>January 21, 2024</v>
      </c>
      <c r="BC5" s="141">
        <f>$AL$3</f>
        <v>0</v>
      </c>
      <c r="BD5" s="141">
        <f>$AL$5</f>
        <v>0</v>
      </c>
      <c r="BE5" s="145">
        <f>IFERROR(INDEX(RunningInv[RunningInv],MATCH($AQ$5,RunningInv[SKU],0)),0)</f>
        <v>0</v>
      </c>
      <c r="BF5" s="145" t="str">
        <f>$BF$3</f>
        <v>-*-</v>
      </c>
      <c r="BG5" s="157"/>
      <c r="BH5" s="145" t="str">
        <f>AV3</f>
        <v>-*-</v>
      </c>
      <c r="BI5" s="145" t="str">
        <f>AX3</f>
        <v>-*-</v>
      </c>
      <c r="BJ5" s="158">
        <f>YEAR($BB$3)</f>
        <v>2024</v>
      </c>
      <c r="BK5" s="158">
        <f>MONTH($BB$3)</f>
        <v>1</v>
      </c>
      <c r="BL5" s="159">
        <f>DAY($BB$3)</f>
        <v>21</v>
      </c>
      <c r="BM5" s="165">
        <f>$BE$5+$AF$12</f>
        <v>0</v>
      </c>
      <c r="BN5" s="10">
        <f>BB3</f>
        <v>45312</v>
      </c>
      <c r="BO5" s="17"/>
      <c r="BP5" s="11">
        <f>IFERROR(INDEX(RunningInv[LOCXY],MATCH($D5,RunningInv[SKU],0)),0)</f>
        <v>0</v>
      </c>
      <c r="BT5" s="184"/>
      <c r="BU5" s="184"/>
    </row>
    <row r="6" spans="1:73" ht="15.75" thickBot="1" x14ac:dyDescent="0.3">
      <c r="C6" s="77" t="str">
        <f>IF(ISBLANK($E6),"",ROWS($C$5:$C6))</f>
        <v/>
      </c>
      <c r="D6" s="28"/>
      <c r="E6" s="30"/>
      <c r="F6" s="31"/>
      <c r="G6" s="135"/>
      <c r="H6" s="19"/>
      <c r="I6" s="19"/>
      <c r="J6" s="134"/>
      <c r="K6" s="132"/>
      <c r="L6" s="133"/>
      <c r="M6" s="133"/>
      <c r="N6" s="167"/>
      <c r="O6" s="129"/>
      <c r="P6" s="162"/>
      <c r="Q6" s="163"/>
      <c r="R6" s="135"/>
      <c r="S6" s="127"/>
      <c r="T6" s="164"/>
      <c r="U6" s="147"/>
      <c r="V6" s="147"/>
      <c r="W6" s="127"/>
      <c r="X6" s="127"/>
      <c r="Y6" s="127"/>
      <c r="Z6" s="127"/>
      <c r="AA6" s="12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71"/>
      <c r="BF6" s="71"/>
      <c r="BG6" s="71"/>
      <c r="BH6" s="71"/>
      <c r="BI6" s="71"/>
      <c r="BJ6" s="71"/>
      <c r="BK6" s="71"/>
      <c r="BL6" s="71"/>
      <c r="BP6" s="11">
        <f>IFERROR(INDEX(RunningInv[LOCXY],MATCH($D6,RunningInv[SKU],0)),0)</f>
        <v>0</v>
      </c>
      <c r="BT6" s="184"/>
      <c r="BU6" s="184"/>
    </row>
    <row r="7" spans="1:73" x14ac:dyDescent="0.25">
      <c r="C7" s="77" t="str">
        <f>IF(ISBLANK($E7),"",ROWS($C$5:$C7))</f>
        <v/>
      </c>
      <c r="D7" s="28"/>
      <c r="E7" s="30"/>
      <c r="F7" s="31"/>
      <c r="G7" s="135"/>
      <c r="H7" s="19"/>
      <c r="I7" s="19"/>
      <c r="J7" s="134"/>
      <c r="K7" s="132"/>
      <c r="L7" s="133"/>
      <c r="M7" s="133"/>
      <c r="N7" s="167"/>
      <c r="O7" s="129"/>
      <c r="P7" s="162"/>
      <c r="Q7" s="163"/>
      <c r="R7" s="135"/>
      <c r="S7" s="127"/>
      <c r="T7" s="164"/>
      <c r="U7" s="147"/>
      <c r="V7" s="147"/>
      <c r="W7" s="127"/>
      <c r="X7" s="127"/>
      <c r="Y7" s="127"/>
      <c r="Z7" s="127"/>
      <c r="AA7" s="128"/>
      <c r="AC7" s="8"/>
      <c r="AD7" s="8"/>
      <c r="AE7" s="8"/>
      <c r="AF7" s="548" t="s">
        <v>3650</v>
      </c>
      <c r="AG7" s="549"/>
      <c r="AH7" s="549"/>
      <c r="AI7" s="549"/>
      <c r="AJ7" s="549"/>
      <c r="AK7" s="549"/>
      <c r="AL7" s="549"/>
      <c r="AM7" s="549"/>
      <c r="AN7" s="550"/>
      <c r="AO7" s="8"/>
      <c r="AQ7" s="10"/>
      <c r="AR7" s="10"/>
      <c r="AS7" s="10"/>
      <c r="AT7" s="17"/>
      <c r="AU7" s="32"/>
      <c r="AV7" s="10"/>
      <c r="AW7" s="10"/>
      <c r="AX7" s="10"/>
      <c r="AY7" s="10"/>
      <c r="AZ7" s="10"/>
      <c r="BA7" s="10"/>
      <c r="BB7" s="10"/>
      <c r="BC7" s="10"/>
      <c r="BD7" s="10"/>
      <c r="BE7" s="71"/>
      <c r="BF7" s="71"/>
      <c r="BG7" s="71"/>
      <c r="BH7" s="71"/>
      <c r="BI7" s="71"/>
      <c r="BJ7" s="71"/>
      <c r="BK7" s="71"/>
      <c r="BL7" s="71"/>
      <c r="BP7" s="11">
        <f>IFERROR(INDEX(RunningInv[LOCXY],MATCH($D7,RunningInv[SKU],0)),0)</f>
        <v>0</v>
      </c>
      <c r="BT7" s="184"/>
      <c r="BU7" s="184"/>
    </row>
    <row r="8" spans="1:73" ht="21" customHeight="1" thickBot="1" x14ac:dyDescent="0.3">
      <c r="C8" s="77" t="str">
        <f>IF(ISBLANK($E8),"",ROWS($C$5:$C8))</f>
        <v/>
      </c>
      <c r="D8" s="28"/>
      <c r="E8" s="30"/>
      <c r="F8" s="31"/>
      <c r="G8" s="135"/>
      <c r="H8" s="19"/>
      <c r="I8" s="19"/>
      <c r="J8" s="134"/>
      <c r="K8" s="132"/>
      <c r="L8" s="133"/>
      <c r="M8" s="133"/>
      <c r="N8" s="167"/>
      <c r="O8" s="129"/>
      <c r="P8" s="162"/>
      <c r="Q8" s="163"/>
      <c r="R8" s="135"/>
      <c r="S8" s="127"/>
      <c r="T8" s="164"/>
      <c r="U8" s="147"/>
      <c r="V8" s="147"/>
      <c r="W8" s="127"/>
      <c r="X8" s="127"/>
      <c r="Y8" s="127"/>
      <c r="Z8" s="127"/>
      <c r="AA8" s="12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Q8" s="448" t="s">
        <v>3802</v>
      </c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71"/>
      <c r="BF8" s="71"/>
      <c r="BG8" s="71"/>
      <c r="BH8" s="71"/>
      <c r="BI8" s="71"/>
      <c r="BJ8" s="71"/>
      <c r="BK8" s="71"/>
      <c r="BL8" s="71"/>
      <c r="BP8" s="11">
        <f>IFERROR(INDEX(RunningInv[LOCXY],MATCH($D8,RunningInv[SKU],0)),0)</f>
        <v>0</v>
      </c>
      <c r="BT8" s="184"/>
      <c r="BU8" s="184"/>
    </row>
    <row r="9" spans="1:73" ht="11.25" customHeight="1" x14ac:dyDescent="0.25">
      <c r="C9" s="77" t="str">
        <f>IF(ISBLANK($E9),"",ROWS($C$5:$C9))</f>
        <v/>
      </c>
      <c r="D9" s="28"/>
      <c r="E9" s="30"/>
      <c r="F9" s="31"/>
      <c r="G9" s="135"/>
      <c r="H9" s="19"/>
      <c r="I9" s="19"/>
      <c r="J9" s="134"/>
      <c r="K9" s="132"/>
      <c r="L9" s="133"/>
      <c r="M9" s="133"/>
      <c r="N9" s="167"/>
      <c r="O9" s="129"/>
      <c r="P9" s="130"/>
      <c r="Q9" s="131"/>
      <c r="R9" s="72"/>
      <c r="S9" s="156"/>
      <c r="T9" s="155"/>
      <c r="U9" s="147"/>
      <c r="V9" s="147"/>
      <c r="W9" s="127"/>
      <c r="X9" s="127"/>
      <c r="Y9" s="127"/>
      <c r="Z9" s="127"/>
      <c r="AA9" s="128"/>
      <c r="AC9" s="8"/>
      <c r="AD9" s="8"/>
      <c r="AE9" s="8"/>
      <c r="AF9" s="79" t="str">
        <f>$AQ$5</f>
        <v>-*-</v>
      </c>
      <c r="AG9" s="15"/>
      <c r="AH9" s="79" t="str">
        <f>$AS$5</f>
        <v>-*-</v>
      </c>
      <c r="AI9" s="8"/>
      <c r="AJ9" s="80" t="str">
        <f>$AX$3</f>
        <v>-*-</v>
      </c>
      <c r="AK9" s="8"/>
      <c r="AL9" s="80" t="str">
        <f>$AV$3</f>
        <v>-*-</v>
      </c>
      <c r="AM9" s="78"/>
      <c r="AN9" s="81">
        <f>$BE$5</f>
        <v>0</v>
      </c>
      <c r="AO9" s="8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71"/>
      <c r="BF9" s="71"/>
      <c r="BG9" s="71"/>
      <c r="BH9" s="71"/>
      <c r="BI9" s="71"/>
      <c r="BJ9" s="71"/>
      <c r="BK9" s="71"/>
      <c r="BL9" s="71"/>
      <c r="BP9" s="11">
        <f>IFERROR(INDEX(RunningInv[LOCXY],MATCH($D9,RunningInv[SKU],0)),0)</f>
        <v>0</v>
      </c>
    </row>
    <row r="10" spans="1:73" x14ac:dyDescent="0.25">
      <c r="C10" s="77" t="str">
        <f>IF(ISBLANK($E10),"",ROWS($C$5:$C10))</f>
        <v/>
      </c>
      <c r="D10" s="28"/>
      <c r="E10" s="30"/>
      <c r="F10" s="31"/>
      <c r="G10" s="135"/>
      <c r="H10" s="19"/>
      <c r="I10" s="19"/>
      <c r="J10" s="134"/>
      <c r="K10" s="132"/>
      <c r="L10" s="133"/>
      <c r="M10" s="133"/>
      <c r="N10" s="167"/>
      <c r="O10" s="129"/>
      <c r="P10" s="130"/>
      <c r="Q10" s="131"/>
      <c r="R10" s="72"/>
      <c r="S10" s="156"/>
      <c r="T10" s="155"/>
      <c r="U10" s="147"/>
      <c r="V10" s="147"/>
      <c r="W10" s="127"/>
      <c r="X10" s="127"/>
      <c r="Y10" s="127"/>
      <c r="Z10" s="127"/>
      <c r="AA10" s="12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71"/>
      <c r="BF10" s="71"/>
      <c r="BG10" s="71"/>
      <c r="BH10" s="71"/>
      <c r="BI10" s="71"/>
      <c r="BJ10" s="71"/>
      <c r="BK10" s="71"/>
      <c r="BL10" s="71"/>
      <c r="BP10" s="11">
        <f>IFERROR(INDEX(RunningInv[LOCXY],MATCH($D10,RunningInv[SKU],0)),0)</f>
        <v>0</v>
      </c>
    </row>
    <row r="11" spans="1:73" ht="15.75" thickBot="1" x14ac:dyDescent="0.3">
      <c r="C11" s="77" t="str">
        <f>IF(ISBLANK($E11),"",ROWS($C$5:$C11))</f>
        <v/>
      </c>
      <c r="D11" s="28"/>
      <c r="E11" s="30"/>
      <c r="F11" s="31"/>
      <c r="G11" s="135"/>
      <c r="H11" s="19"/>
      <c r="I11" s="19"/>
      <c r="J11" s="134"/>
      <c r="K11" s="132"/>
      <c r="L11" s="133"/>
      <c r="M11" s="133"/>
      <c r="N11" s="167"/>
      <c r="O11" s="129"/>
      <c r="P11" s="130"/>
      <c r="Q11" s="131"/>
      <c r="R11" s="72"/>
      <c r="S11" s="156"/>
      <c r="T11" s="155"/>
      <c r="U11" s="147"/>
      <c r="V11" s="147"/>
      <c r="W11" s="127"/>
      <c r="X11" s="127"/>
      <c r="Y11" s="127"/>
      <c r="Z11" s="127"/>
      <c r="AA11" s="12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71"/>
      <c r="BF11" s="71"/>
      <c r="BG11" s="71"/>
      <c r="BH11" s="71"/>
      <c r="BI11" s="71"/>
      <c r="BJ11" s="71"/>
      <c r="BK11" s="71"/>
      <c r="BL11" s="71"/>
      <c r="BP11" s="11">
        <f>IFERROR(INDEX(RunningInv[LOCXY],MATCH($D11,RunningInv[SKU],0)),0)</f>
        <v>0</v>
      </c>
    </row>
    <row r="12" spans="1:73" ht="15.75" thickBot="1" x14ac:dyDescent="0.3">
      <c r="C12" s="77" t="str">
        <f>IF(ISBLANK($E12),"",ROWS($C$5:$C12))</f>
        <v/>
      </c>
      <c r="D12" s="28"/>
      <c r="E12" s="30"/>
      <c r="F12" s="31"/>
      <c r="G12" s="135"/>
      <c r="H12" s="19"/>
      <c r="I12" s="19"/>
      <c r="J12" s="134"/>
      <c r="K12" s="132"/>
      <c r="L12" s="133"/>
      <c r="M12" s="133"/>
      <c r="N12" s="167"/>
      <c r="O12" s="129"/>
      <c r="P12" s="130"/>
      <c r="Q12" s="131"/>
      <c r="R12" s="72"/>
      <c r="S12" s="156"/>
      <c r="T12" s="155"/>
      <c r="U12" s="147"/>
      <c r="V12" s="147"/>
      <c r="W12" s="127"/>
      <c r="X12" s="127"/>
      <c r="Y12" s="127"/>
      <c r="Z12" s="127"/>
      <c r="AA12" s="128"/>
      <c r="AC12" s="8"/>
      <c r="AD12" s="8"/>
      <c r="AE12" s="8"/>
      <c r="AF12" s="74"/>
      <c r="AG12" s="8"/>
      <c r="AH12" s="33"/>
      <c r="AI12" s="8"/>
      <c r="AJ12" s="83">
        <f>IFERROR($AH$12/$AF$12,0)</f>
        <v>0</v>
      </c>
      <c r="AK12" s="8"/>
      <c r="AL12" s="84"/>
      <c r="AM12" s="8"/>
      <c r="AN12" s="91">
        <f>$AF$12</f>
        <v>0</v>
      </c>
      <c r="AO12" s="8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71"/>
      <c r="BF12" s="71"/>
      <c r="BG12" s="71"/>
      <c r="BH12" s="71"/>
      <c r="BI12" s="71"/>
      <c r="BJ12" s="71"/>
      <c r="BK12" s="71"/>
      <c r="BL12" s="71"/>
      <c r="BP12" s="11">
        <f>IFERROR(INDEX(RunningInv[LOCXY],MATCH($D12,RunningInv[SKU],0)),0)</f>
        <v>0</v>
      </c>
    </row>
    <row r="13" spans="1:73" x14ac:dyDescent="0.25">
      <c r="C13" s="77" t="str">
        <f>IF(ISBLANK($E13),"",ROWS($C$5:$C13))</f>
        <v/>
      </c>
      <c r="D13" s="28"/>
      <c r="E13" s="30"/>
      <c r="F13" s="31"/>
      <c r="G13" s="135"/>
      <c r="H13" s="19"/>
      <c r="I13" s="19"/>
      <c r="J13" s="134"/>
      <c r="K13" s="132"/>
      <c r="L13" s="133"/>
      <c r="M13" s="133"/>
      <c r="N13" s="167"/>
      <c r="O13" s="129"/>
      <c r="P13" s="130"/>
      <c r="Q13" s="131"/>
      <c r="R13" s="72"/>
      <c r="S13" s="156"/>
      <c r="T13" s="155"/>
      <c r="U13" s="147"/>
      <c r="V13" s="147"/>
      <c r="W13" s="127"/>
      <c r="X13" s="127"/>
      <c r="Y13" s="127"/>
      <c r="Z13" s="127"/>
      <c r="AA13" s="12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71"/>
      <c r="BF13" s="71"/>
      <c r="BG13" s="71"/>
      <c r="BH13" s="71"/>
      <c r="BI13" s="71"/>
      <c r="BJ13" s="71"/>
      <c r="BK13" s="71"/>
      <c r="BL13" s="71"/>
      <c r="BP13" s="11">
        <f>IFERROR(INDEX(RunningInv[LOCXY],MATCH($D13,RunningInv[SKU],0)),0)</f>
        <v>0</v>
      </c>
    </row>
    <row r="14" spans="1:73" ht="15.75" thickBot="1" x14ac:dyDescent="0.3">
      <c r="C14" s="77" t="str">
        <f>IF(ISBLANK($E14),"",ROWS($C$5:$C14))</f>
        <v/>
      </c>
      <c r="D14" s="28"/>
      <c r="E14" s="30"/>
      <c r="F14" s="31"/>
      <c r="G14" s="135"/>
      <c r="H14" s="19"/>
      <c r="I14" s="19"/>
      <c r="J14" s="134"/>
      <c r="K14" s="132"/>
      <c r="L14" s="133"/>
      <c r="M14" s="133"/>
      <c r="N14" s="167"/>
      <c r="O14" s="129"/>
      <c r="P14" s="130"/>
      <c r="Q14" s="131"/>
      <c r="R14" s="72"/>
      <c r="S14" s="156"/>
      <c r="T14" s="155"/>
      <c r="U14" s="147"/>
      <c r="V14" s="147"/>
      <c r="W14" s="127"/>
      <c r="X14" s="127"/>
      <c r="Y14" s="127"/>
      <c r="Z14" s="127"/>
      <c r="AA14" s="12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71"/>
      <c r="BF14" s="71"/>
      <c r="BG14" s="71"/>
      <c r="BH14" s="71"/>
      <c r="BI14" s="71"/>
      <c r="BJ14" s="71"/>
      <c r="BK14" s="71"/>
      <c r="BL14" s="71"/>
      <c r="BP14" s="11">
        <f>IFERROR(INDEX(RunningInv[LOCXY],MATCH($D14,RunningInv[SKU],0)),0)</f>
        <v>0</v>
      </c>
    </row>
    <row r="15" spans="1:73" ht="15.75" thickBot="1" x14ac:dyDescent="0.3">
      <c r="C15" s="77" t="str">
        <f>IF(ISBLANK($E15),"",ROWS($C$5:$C15))</f>
        <v/>
      </c>
      <c r="D15" s="28"/>
      <c r="E15" s="30"/>
      <c r="F15" s="31"/>
      <c r="G15" s="135"/>
      <c r="H15" s="19"/>
      <c r="I15" s="19"/>
      <c r="J15" s="134"/>
      <c r="K15" s="132"/>
      <c r="L15" s="133"/>
      <c r="M15" s="133"/>
      <c r="N15" s="167"/>
      <c r="O15" s="129"/>
      <c r="P15" s="130"/>
      <c r="Q15" s="131"/>
      <c r="R15" s="72"/>
      <c r="S15" s="156"/>
      <c r="T15" s="155"/>
      <c r="U15" s="147"/>
      <c r="V15" s="147"/>
      <c r="W15" s="127"/>
      <c r="X15" s="127"/>
      <c r="Y15" s="127"/>
      <c r="Z15" s="127"/>
      <c r="AA15" s="128"/>
      <c r="AC15" s="8"/>
      <c r="AD15" s="8"/>
      <c r="AE15" s="8"/>
      <c r="AF15" s="86"/>
      <c r="AG15" s="8"/>
      <c r="AH15" s="18">
        <f>($AJ$12*(1+$AF$15))</f>
        <v>0</v>
      </c>
      <c r="AI15" s="8"/>
      <c r="AJ15" s="83">
        <f>$AH$15-$AJ$12</f>
        <v>0</v>
      </c>
      <c r="AK15" s="8"/>
      <c r="AL15" s="8"/>
      <c r="AM15" s="8"/>
      <c r="AN15" s="90">
        <f>$AH$15*$AF$12</f>
        <v>0</v>
      </c>
      <c r="AO15" s="8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71"/>
      <c r="BF15" s="71"/>
      <c r="BG15" s="71"/>
      <c r="BH15" s="71"/>
      <c r="BI15" s="71"/>
      <c r="BJ15" s="71"/>
      <c r="BK15" s="71"/>
      <c r="BL15" s="71"/>
      <c r="BP15" s="11">
        <f>IFERROR(INDEX(RunningInv[LOCXY],MATCH($D15,RunningInv[SKU],0)),0)</f>
        <v>0</v>
      </c>
    </row>
    <row r="16" spans="1:73" x14ac:dyDescent="0.25">
      <c r="C16" s="77" t="str">
        <f>IF(ISBLANK($E16),"",ROWS($C$5:$C16))</f>
        <v/>
      </c>
      <c r="D16" s="28"/>
      <c r="E16" s="30"/>
      <c r="F16" s="31"/>
      <c r="G16" s="135"/>
      <c r="H16" s="19"/>
      <c r="I16" s="19"/>
      <c r="J16" s="134"/>
      <c r="K16" s="132"/>
      <c r="L16" s="133"/>
      <c r="M16" s="133"/>
      <c r="N16" s="167"/>
      <c r="O16" s="129"/>
      <c r="P16" s="130"/>
      <c r="Q16" s="131"/>
      <c r="R16" s="72"/>
      <c r="S16" s="156"/>
      <c r="T16" s="155"/>
      <c r="U16" s="147"/>
      <c r="V16" s="147"/>
      <c r="W16" s="127"/>
      <c r="X16" s="127"/>
      <c r="Y16" s="127"/>
      <c r="Z16" s="127"/>
      <c r="AA16" s="12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8"/>
      <c r="AO16" s="8"/>
      <c r="AQ16" s="17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71"/>
      <c r="BF16" s="71"/>
      <c r="BG16" s="71"/>
      <c r="BH16" s="71"/>
      <c r="BI16" s="71"/>
      <c r="BJ16" s="71"/>
      <c r="BK16" s="71"/>
      <c r="BL16" s="71"/>
      <c r="BP16" s="11">
        <f>IFERROR(INDEX(RunningInv[LOCXY],MATCH($D16,RunningInv[SKU],0)),0)</f>
        <v>0</v>
      </c>
    </row>
    <row r="17" spans="3:68" x14ac:dyDescent="0.25">
      <c r="C17" s="77" t="str">
        <f>IF(ISBLANK($E17),"",ROWS($C$5:$C17))</f>
        <v/>
      </c>
      <c r="D17" s="28"/>
      <c r="E17" s="30"/>
      <c r="F17" s="31"/>
      <c r="G17" s="135"/>
      <c r="H17" s="19"/>
      <c r="I17" s="19"/>
      <c r="J17" s="134"/>
      <c r="K17" s="132"/>
      <c r="L17" s="133"/>
      <c r="M17" s="133"/>
      <c r="N17" s="167"/>
      <c r="O17" s="129"/>
      <c r="P17" s="130"/>
      <c r="Q17" s="131"/>
      <c r="R17" s="72"/>
      <c r="S17" s="156"/>
      <c r="T17" s="155"/>
      <c r="U17" s="147"/>
      <c r="V17" s="147"/>
      <c r="W17" s="127"/>
      <c r="X17" s="127"/>
      <c r="Y17" s="127"/>
      <c r="Z17" s="127"/>
      <c r="AA17" s="12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9"/>
      <c r="AO17" s="8"/>
      <c r="AQ17" s="17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71"/>
      <c r="BF17" s="71"/>
      <c r="BG17" s="71"/>
      <c r="BH17" s="71"/>
      <c r="BI17" s="71"/>
      <c r="BJ17" s="71"/>
      <c r="BK17" s="71"/>
      <c r="BL17" s="71"/>
      <c r="BP17" s="11">
        <f>IFERROR(INDEX(RunningInv[LOCXY],MATCH($D17,RunningInv[SKU],0)),0)</f>
        <v>0</v>
      </c>
    </row>
    <row r="18" spans="3:68" x14ac:dyDescent="0.25">
      <c r="C18" s="77" t="str">
        <f>IF(ISBLANK($E18),"",ROWS($C$5:$C18))</f>
        <v/>
      </c>
      <c r="D18" s="28"/>
      <c r="E18" s="30"/>
      <c r="F18" s="31"/>
      <c r="G18" s="135"/>
      <c r="H18" s="19"/>
      <c r="I18" s="19"/>
      <c r="J18" s="134"/>
      <c r="K18" s="132"/>
      <c r="L18" s="133"/>
      <c r="M18" s="133"/>
      <c r="N18" s="167"/>
      <c r="O18" s="129"/>
      <c r="P18" s="130"/>
      <c r="Q18" s="131"/>
      <c r="R18" s="72"/>
      <c r="S18" s="156"/>
      <c r="T18" s="155"/>
      <c r="U18" s="147"/>
      <c r="V18" s="147"/>
      <c r="W18" s="127"/>
      <c r="X18" s="127"/>
      <c r="Y18" s="127"/>
      <c r="Z18" s="127"/>
      <c r="AA18" s="12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8"/>
      <c r="AO18" s="8"/>
      <c r="AQ18" s="17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71"/>
      <c r="BF18" s="71"/>
      <c r="BG18" s="71"/>
      <c r="BH18" s="71"/>
      <c r="BI18" s="71"/>
      <c r="BJ18" s="71"/>
      <c r="BK18" s="71"/>
      <c r="BL18" s="71"/>
      <c r="BP18" s="11">
        <f>IFERROR(INDEX(RunningInv[LOCXY],MATCH($D18,RunningInv[SKU],0)),0)</f>
        <v>0</v>
      </c>
    </row>
    <row r="19" spans="3:68" x14ac:dyDescent="0.25">
      <c r="C19" s="77" t="str">
        <f>IF(ISBLANK($E19),"",ROWS($C$5:$C19))</f>
        <v/>
      </c>
      <c r="D19" s="28"/>
      <c r="E19" s="30"/>
      <c r="F19" s="31"/>
      <c r="G19" s="135"/>
      <c r="H19" s="19"/>
      <c r="I19" s="19"/>
      <c r="J19" s="134"/>
      <c r="K19" s="132"/>
      <c r="L19" s="133"/>
      <c r="M19" s="133"/>
      <c r="N19" s="167"/>
      <c r="O19" s="129"/>
      <c r="P19" s="130"/>
      <c r="Q19" s="131"/>
      <c r="R19" s="72"/>
      <c r="S19" s="156"/>
      <c r="T19" s="155"/>
      <c r="U19" s="147"/>
      <c r="V19" s="147"/>
      <c r="W19" s="127"/>
      <c r="X19" s="127"/>
      <c r="Y19" s="127"/>
      <c r="Z19" s="127"/>
      <c r="AA19" s="12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5"/>
      <c r="AO19" s="8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71"/>
      <c r="BF19" s="71"/>
      <c r="BG19" s="71"/>
      <c r="BH19" s="71"/>
      <c r="BI19" s="71"/>
      <c r="BJ19" s="71"/>
      <c r="BK19" s="71"/>
      <c r="BL19" s="71"/>
      <c r="BP19" s="11">
        <f>IFERROR(INDEX(RunningInv[LOCXY],MATCH($D19,RunningInv[SKU],0)),0)</f>
        <v>0</v>
      </c>
    </row>
    <row r="20" spans="3:68" x14ac:dyDescent="0.25">
      <c r="C20" s="77" t="str">
        <f>IF(ISBLANK($E20),"",ROWS($C$5:$C20))</f>
        <v/>
      </c>
      <c r="D20" s="28"/>
      <c r="E20" s="30"/>
      <c r="F20" s="31"/>
      <c r="G20" s="135"/>
      <c r="H20" s="19"/>
      <c r="I20" s="19"/>
      <c r="J20" s="134"/>
      <c r="K20" s="132"/>
      <c r="L20" s="133"/>
      <c r="M20" s="133"/>
      <c r="N20" s="167"/>
      <c r="O20" s="129"/>
      <c r="P20" s="130"/>
      <c r="Q20" s="131"/>
      <c r="R20" s="72"/>
      <c r="S20" s="156"/>
      <c r="T20" s="155"/>
      <c r="U20" s="147"/>
      <c r="V20" s="147"/>
      <c r="W20" s="127"/>
      <c r="X20" s="127"/>
      <c r="Y20" s="127"/>
      <c r="Z20" s="127"/>
      <c r="AA20" s="12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Q20" s="87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71"/>
      <c r="BF20" s="71"/>
      <c r="BG20" s="71"/>
      <c r="BH20" s="71"/>
      <c r="BI20" s="71"/>
      <c r="BJ20" s="71"/>
      <c r="BK20" s="71"/>
      <c r="BL20" s="71"/>
      <c r="BP20" s="11">
        <f>IFERROR(INDEX(RunningInv[LOCXY],MATCH($D20,RunningInv[SKU],0)),0)</f>
        <v>0</v>
      </c>
    </row>
    <row r="21" spans="3:68" x14ac:dyDescent="0.25">
      <c r="C21" s="77" t="str">
        <f>IF(ISBLANK($E21),"",ROWS($C$5:$C21))</f>
        <v/>
      </c>
      <c r="D21" s="28"/>
      <c r="E21" s="30"/>
      <c r="F21" s="31"/>
      <c r="G21" s="135"/>
      <c r="H21" s="19"/>
      <c r="I21" s="19"/>
      <c r="J21" s="134"/>
      <c r="K21" s="132"/>
      <c r="L21" s="133"/>
      <c r="M21" s="133"/>
      <c r="N21" s="167"/>
      <c r="O21" s="129"/>
      <c r="P21" s="130"/>
      <c r="Q21" s="131"/>
      <c r="R21" s="72"/>
      <c r="S21" s="156"/>
      <c r="T21" s="155"/>
      <c r="U21" s="147"/>
      <c r="V21" s="147"/>
      <c r="W21" s="127"/>
      <c r="X21" s="127"/>
      <c r="Y21" s="127"/>
      <c r="Z21" s="127"/>
      <c r="AA21" s="128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71"/>
      <c r="BF21" s="71"/>
      <c r="BG21" s="71"/>
      <c r="BH21" s="71"/>
      <c r="BI21" s="71"/>
      <c r="BJ21" s="71"/>
      <c r="BK21" s="71"/>
      <c r="BL21" s="71"/>
      <c r="BP21" s="11">
        <f>IFERROR(INDEX(RunningInv[LOCXY],MATCH($D21,RunningInv[SKU],0)),0)</f>
        <v>0</v>
      </c>
    </row>
    <row r="22" spans="3:68" x14ac:dyDescent="0.25">
      <c r="C22" s="77" t="str">
        <f>IF(ISBLANK($E22),"",ROWS($C$5:$C22))</f>
        <v/>
      </c>
      <c r="D22" s="28"/>
      <c r="E22" s="30"/>
      <c r="F22" s="31"/>
      <c r="G22" s="135"/>
      <c r="H22" s="19"/>
      <c r="I22" s="19"/>
      <c r="J22" s="134"/>
      <c r="K22" s="132"/>
      <c r="L22" s="133"/>
      <c r="M22" s="133"/>
      <c r="N22" s="167"/>
      <c r="O22" s="129"/>
      <c r="P22" s="130"/>
      <c r="Q22" s="131"/>
      <c r="R22" s="72"/>
      <c r="S22" s="156"/>
      <c r="T22" s="155"/>
      <c r="U22" s="147"/>
      <c r="V22" s="147"/>
      <c r="W22" s="127"/>
      <c r="X22" s="127"/>
      <c r="Y22" s="127"/>
      <c r="Z22" s="127"/>
      <c r="AA22" s="128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71"/>
      <c r="BF22" s="71"/>
      <c r="BG22" s="71"/>
      <c r="BH22" s="71"/>
      <c r="BI22" s="71"/>
      <c r="BJ22" s="71"/>
      <c r="BK22" s="71"/>
      <c r="BL22" s="71"/>
      <c r="BP22" s="11">
        <f>IFERROR(INDEX(RunningInv[LOCXY],MATCH($D22,RunningInv[SKU],0)),0)</f>
        <v>0</v>
      </c>
    </row>
    <row r="23" spans="3:68" x14ac:dyDescent="0.25">
      <c r="C23" s="77" t="str">
        <f>IF(ISBLANK($E23),"",ROWS($C$5:$C23))</f>
        <v/>
      </c>
      <c r="D23" s="28"/>
      <c r="E23" s="30"/>
      <c r="F23" s="31"/>
      <c r="G23" s="135"/>
      <c r="H23" s="19"/>
      <c r="I23" s="19"/>
      <c r="J23" s="134"/>
      <c r="K23" s="132"/>
      <c r="L23" s="133"/>
      <c r="M23" s="133"/>
      <c r="N23" s="167"/>
      <c r="O23" s="129"/>
      <c r="P23" s="130"/>
      <c r="Q23" s="131"/>
      <c r="R23" s="72"/>
      <c r="S23" s="156"/>
      <c r="T23" s="155"/>
      <c r="U23" s="147"/>
      <c r="V23" s="147"/>
      <c r="W23" s="127"/>
      <c r="X23" s="127"/>
      <c r="Y23" s="127"/>
      <c r="Z23" s="127"/>
      <c r="AA23" s="128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71"/>
      <c r="BF23" s="71"/>
      <c r="BG23" s="71"/>
      <c r="BH23" s="71"/>
      <c r="BI23" s="71"/>
      <c r="BJ23" s="71"/>
      <c r="BK23" s="71"/>
      <c r="BL23" s="71"/>
      <c r="BP23" s="11">
        <f>IFERROR(INDEX(RunningInv[LOCXY],MATCH($D23,RunningInv[SKU],0)),0)</f>
        <v>0</v>
      </c>
    </row>
    <row r="24" spans="3:68" x14ac:dyDescent="0.25">
      <c r="C24" s="77" t="str">
        <f>IF(ISBLANK($E24),"",ROWS($C$5:$C24))</f>
        <v/>
      </c>
      <c r="D24" s="28"/>
      <c r="E24" s="30"/>
      <c r="F24" s="31"/>
      <c r="G24" s="135"/>
      <c r="H24" s="19"/>
      <c r="I24" s="19"/>
      <c r="J24" s="134"/>
      <c r="K24" s="132"/>
      <c r="L24" s="133"/>
      <c r="M24" s="133"/>
      <c r="N24" s="167"/>
      <c r="O24" s="129"/>
      <c r="P24" s="130"/>
      <c r="Q24" s="131"/>
      <c r="R24" s="72"/>
      <c r="S24" s="156"/>
      <c r="T24" s="155"/>
      <c r="U24" s="147"/>
      <c r="V24" s="147"/>
      <c r="W24" s="127"/>
      <c r="X24" s="127"/>
      <c r="Y24" s="127"/>
      <c r="Z24" s="127"/>
      <c r="AA24" s="128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71"/>
      <c r="BF24" s="71"/>
      <c r="BG24" s="71"/>
      <c r="BH24" s="71"/>
      <c r="BI24" s="71"/>
      <c r="BJ24" s="71"/>
      <c r="BK24" s="71"/>
      <c r="BL24" s="71"/>
      <c r="BP24" s="11">
        <f>IFERROR(INDEX(RunningInv[LOCXY],MATCH($D24,RunningInv[SKU],0)),0)</f>
        <v>0</v>
      </c>
    </row>
    <row r="25" spans="3:68" x14ac:dyDescent="0.25">
      <c r="C25" s="77" t="str">
        <f>IF(ISBLANK($E25),"",ROWS($C$5:$C25))</f>
        <v/>
      </c>
      <c r="D25" s="28"/>
      <c r="E25" s="30"/>
      <c r="F25" s="31"/>
      <c r="G25" s="135"/>
      <c r="H25" s="19"/>
      <c r="I25" s="19"/>
      <c r="J25" s="134"/>
      <c r="K25" s="132"/>
      <c r="L25" s="133"/>
      <c r="M25" s="133"/>
      <c r="N25" s="167"/>
      <c r="O25" s="129"/>
      <c r="P25" s="130"/>
      <c r="Q25" s="131"/>
      <c r="R25" s="72"/>
      <c r="S25" s="156"/>
      <c r="T25" s="155"/>
      <c r="U25" s="147"/>
      <c r="V25" s="147"/>
      <c r="W25" s="127"/>
      <c r="X25" s="127"/>
      <c r="Y25" s="127"/>
      <c r="Z25" s="127"/>
      <c r="AA25" s="128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71"/>
      <c r="BF25" s="71"/>
      <c r="BG25" s="71"/>
      <c r="BH25" s="71"/>
      <c r="BI25" s="71"/>
      <c r="BJ25" s="71"/>
      <c r="BK25" s="71"/>
      <c r="BL25" s="71"/>
      <c r="BP25" s="11">
        <f>IFERROR(INDEX(RunningInv[LOCXY],MATCH($D25,RunningInv[SKU],0)),0)</f>
        <v>0</v>
      </c>
    </row>
    <row r="26" spans="3:68" x14ac:dyDescent="0.25">
      <c r="C26" s="77" t="str">
        <f>IF(ISBLANK($E26),"",ROWS($C$5:$C26))</f>
        <v/>
      </c>
      <c r="D26" s="28"/>
      <c r="E26" s="30"/>
      <c r="F26" s="31"/>
      <c r="G26" s="135"/>
      <c r="H26" s="19"/>
      <c r="I26" s="19"/>
      <c r="J26" s="134"/>
      <c r="K26" s="132"/>
      <c r="L26" s="133"/>
      <c r="M26" s="133"/>
      <c r="N26" s="167"/>
      <c r="O26" s="129"/>
      <c r="P26" s="130"/>
      <c r="Q26" s="131"/>
      <c r="R26" s="72"/>
      <c r="S26" s="156"/>
      <c r="T26" s="155"/>
      <c r="U26" s="147"/>
      <c r="V26" s="147"/>
      <c r="W26" s="127"/>
      <c r="X26" s="127"/>
      <c r="Y26" s="127"/>
      <c r="Z26" s="127"/>
      <c r="AA26" s="128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71"/>
      <c r="BF26" s="71"/>
      <c r="BG26" s="71"/>
      <c r="BH26" s="71"/>
      <c r="BI26" s="71"/>
      <c r="BJ26" s="71"/>
      <c r="BK26" s="71"/>
      <c r="BL26" s="71"/>
      <c r="BP26" s="11">
        <f>IFERROR(INDEX(RunningInv[LOCXY],MATCH($D26,RunningInv[SKU],0)),0)</f>
        <v>0</v>
      </c>
    </row>
    <row r="27" spans="3:68" x14ac:dyDescent="0.25">
      <c r="C27" s="77" t="str">
        <f>IF(ISBLANK($E27),"",ROWS($C$5:$C27))</f>
        <v/>
      </c>
      <c r="D27" s="28"/>
      <c r="E27" s="30"/>
      <c r="F27" s="31"/>
      <c r="G27" s="135"/>
      <c r="H27" s="19"/>
      <c r="I27" s="19"/>
      <c r="J27" s="134"/>
      <c r="K27" s="132"/>
      <c r="L27" s="133"/>
      <c r="M27" s="133"/>
      <c r="N27" s="167"/>
      <c r="O27" s="129"/>
      <c r="P27" s="130"/>
      <c r="Q27" s="131"/>
      <c r="R27" s="72"/>
      <c r="S27" s="156"/>
      <c r="T27" s="155"/>
      <c r="U27" s="147"/>
      <c r="V27" s="147"/>
      <c r="W27" s="127"/>
      <c r="X27" s="127"/>
      <c r="Y27" s="127"/>
      <c r="Z27" s="127"/>
      <c r="AA27" s="128"/>
      <c r="BE27" s="68"/>
      <c r="BF27" s="68"/>
      <c r="BG27" s="68"/>
      <c r="BH27" s="68"/>
      <c r="BI27" s="68"/>
      <c r="BJ27" s="68"/>
      <c r="BK27" s="68"/>
      <c r="BL27" s="68"/>
      <c r="BP27" s="11">
        <f>IFERROR(INDEX(RunningInv[LOCXY],MATCH($D27,RunningInv[SKU],0)),0)</f>
        <v>0</v>
      </c>
    </row>
    <row r="28" spans="3:68" x14ac:dyDescent="0.25">
      <c r="C28" s="77" t="str">
        <f>IF(ISBLANK($E28),"",ROWS($C$5:$C28))</f>
        <v/>
      </c>
      <c r="D28" s="28"/>
      <c r="E28" s="30"/>
      <c r="F28" s="31"/>
      <c r="G28" s="135"/>
      <c r="H28" s="19"/>
      <c r="I28" s="19"/>
      <c r="J28" s="134"/>
      <c r="K28" s="132"/>
      <c r="L28" s="133"/>
      <c r="M28" s="133"/>
      <c r="N28" s="167"/>
      <c r="O28" s="129"/>
      <c r="P28" s="130"/>
      <c r="Q28" s="131"/>
      <c r="R28" s="72"/>
      <c r="S28" s="156"/>
      <c r="T28" s="155"/>
      <c r="U28" s="147"/>
      <c r="V28" s="147"/>
      <c r="W28" s="127"/>
      <c r="X28" s="127"/>
      <c r="Y28" s="127"/>
      <c r="Z28" s="127"/>
      <c r="AA28" s="128"/>
      <c r="BE28" s="68"/>
      <c r="BF28" s="68"/>
      <c r="BG28" s="68"/>
      <c r="BH28" s="68"/>
      <c r="BI28" s="68"/>
      <c r="BJ28" s="68"/>
      <c r="BK28" s="68"/>
      <c r="BL28" s="68"/>
      <c r="BP28" s="11">
        <f>IFERROR(INDEX(RunningInv[LOCXY],MATCH($D28,RunningInv[SKU],0)),0)</f>
        <v>0</v>
      </c>
    </row>
    <row r="29" spans="3:68" x14ac:dyDescent="0.25">
      <c r="C29" s="77" t="str">
        <f>IF(ISBLANK($E29),"",ROWS($C$5:$C29))</f>
        <v/>
      </c>
      <c r="D29" s="28"/>
      <c r="E29" s="30"/>
      <c r="F29" s="31"/>
      <c r="G29" s="135"/>
      <c r="H29" s="19"/>
      <c r="I29" s="19"/>
      <c r="J29" s="134"/>
      <c r="K29" s="132"/>
      <c r="L29" s="133"/>
      <c r="M29" s="133"/>
      <c r="N29" s="167"/>
      <c r="O29" s="129"/>
      <c r="P29" s="130"/>
      <c r="Q29" s="131"/>
      <c r="R29" s="72"/>
      <c r="S29" s="156"/>
      <c r="T29" s="155"/>
      <c r="U29" s="147"/>
      <c r="V29" s="147"/>
      <c r="W29" s="127"/>
      <c r="X29" s="127"/>
      <c r="Y29" s="127"/>
      <c r="Z29" s="127"/>
      <c r="AA29" s="128"/>
      <c r="BE29" s="68"/>
      <c r="BF29" s="68"/>
      <c r="BG29" s="68"/>
      <c r="BH29" s="68"/>
      <c r="BI29" s="68"/>
      <c r="BJ29" s="68"/>
      <c r="BK29" s="68"/>
      <c r="BL29" s="68"/>
      <c r="BP29" s="11">
        <f>IFERROR(INDEX(RunningInv[LOCXY],MATCH($D29,RunningInv[SKU],0)),0)</f>
        <v>0</v>
      </c>
    </row>
    <row r="30" spans="3:68" x14ac:dyDescent="0.25">
      <c r="C30" s="77" t="str">
        <f>IF(ISBLANK($E30),"",ROWS($C$5:$C30))</f>
        <v/>
      </c>
      <c r="D30" s="28"/>
      <c r="E30" s="30"/>
      <c r="F30" s="31"/>
      <c r="G30" s="135"/>
      <c r="H30" s="19"/>
      <c r="I30" s="19"/>
      <c r="J30" s="134"/>
      <c r="K30" s="132"/>
      <c r="L30" s="133"/>
      <c r="M30" s="133"/>
      <c r="N30" s="167"/>
      <c r="O30" s="129"/>
      <c r="P30" s="130"/>
      <c r="Q30" s="131"/>
      <c r="R30" s="72"/>
      <c r="S30" s="156"/>
      <c r="T30" s="155"/>
      <c r="U30" s="147"/>
      <c r="V30" s="147"/>
      <c r="W30" s="127"/>
      <c r="X30" s="127"/>
      <c r="Y30" s="127"/>
      <c r="Z30" s="127"/>
      <c r="AA30" s="128"/>
      <c r="BE30" s="68"/>
      <c r="BF30" s="68"/>
      <c r="BG30" s="68"/>
      <c r="BH30" s="68"/>
      <c r="BI30" s="68"/>
      <c r="BJ30" s="68"/>
      <c r="BK30" s="68"/>
      <c r="BL30" s="68"/>
      <c r="BP30" s="11">
        <f>IFERROR(INDEX(RunningInv[LOCXY],MATCH($D30,RunningInv[SKU],0)),0)</f>
        <v>0</v>
      </c>
    </row>
    <row r="31" spans="3:68" x14ac:dyDescent="0.25">
      <c r="C31" s="77" t="str">
        <f>IF(ISBLANK($E31),"",ROWS($C$5:$C31))</f>
        <v/>
      </c>
      <c r="D31" s="28"/>
      <c r="E31" s="30"/>
      <c r="F31" s="31"/>
      <c r="G31" s="135"/>
      <c r="H31" s="19"/>
      <c r="I31" s="19"/>
      <c r="J31" s="134"/>
      <c r="K31" s="132"/>
      <c r="L31" s="133"/>
      <c r="M31" s="133"/>
      <c r="N31" s="167"/>
      <c r="O31" s="129"/>
      <c r="P31" s="130"/>
      <c r="Q31" s="131"/>
      <c r="R31" s="72"/>
      <c r="S31" s="156"/>
      <c r="T31" s="155"/>
      <c r="U31" s="147"/>
      <c r="V31" s="147"/>
      <c r="W31" s="127"/>
      <c r="X31" s="127"/>
      <c r="Y31" s="127"/>
      <c r="Z31" s="127"/>
      <c r="AA31" s="128"/>
      <c r="BE31" s="68"/>
      <c r="BF31" s="68"/>
      <c r="BG31" s="68"/>
      <c r="BH31" s="68"/>
      <c r="BI31" s="68"/>
      <c r="BJ31" s="68"/>
      <c r="BK31" s="68"/>
      <c r="BL31" s="68"/>
      <c r="BP31" s="11">
        <f>IFERROR(INDEX(RunningInv[LOCXY],MATCH($D31,RunningInv[SKU],0)),0)</f>
        <v>0</v>
      </c>
    </row>
    <row r="32" spans="3:68" x14ac:dyDescent="0.25">
      <c r="C32" s="77" t="str">
        <f>IF(ISBLANK($E32),"",ROWS($C$5:$C32))</f>
        <v/>
      </c>
      <c r="D32" s="28"/>
      <c r="E32" s="30"/>
      <c r="F32" s="31"/>
      <c r="G32" s="135"/>
      <c r="H32" s="19"/>
      <c r="I32" s="19"/>
      <c r="J32" s="134"/>
      <c r="K32" s="132"/>
      <c r="L32" s="133"/>
      <c r="M32" s="133"/>
      <c r="N32" s="167"/>
      <c r="O32" s="129"/>
      <c r="P32" s="130"/>
      <c r="Q32" s="131"/>
      <c r="R32" s="72"/>
      <c r="S32" s="156"/>
      <c r="T32" s="155"/>
      <c r="U32" s="147"/>
      <c r="V32" s="147"/>
      <c r="W32" s="127"/>
      <c r="X32" s="127"/>
      <c r="Y32" s="127"/>
      <c r="Z32" s="127"/>
      <c r="AA32" s="128"/>
      <c r="BE32" s="68"/>
      <c r="BF32" s="68"/>
      <c r="BG32" s="68"/>
      <c r="BH32" s="68"/>
      <c r="BI32" s="68"/>
      <c r="BJ32" s="68"/>
      <c r="BK32" s="68"/>
      <c r="BL32" s="68"/>
      <c r="BP32" s="11">
        <f>IFERROR(INDEX(RunningInv[LOCXY],MATCH($D32,RunningInv[SKU],0)),0)</f>
        <v>0</v>
      </c>
    </row>
    <row r="33" spans="3:68" x14ac:dyDescent="0.25">
      <c r="C33" s="77" t="str">
        <f>IF(ISBLANK($E33),"",ROWS($C$5:$C33))</f>
        <v/>
      </c>
      <c r="D33" s="28"/>
      <c r="E33" s="30"/>
      <c r="F33" s="31"/>
      <c r="G33" s="135"/>
      <c r="H33" s="19"/>
      <c r="I33" s="19"/>
      <c r="J33" s="134"/>
      <c r="K33" s="132"/>
      <c r="L33" s="133"/>
      <c r="M33" s="133"/>
      <c r="N33" s="167"/>
      <c r="O33" s="129"/>
      <c r="P33" s="130"/>
      <c r="Q33" s="131"/>
      <c r="R33" s="72"/>
      <c r="S33" s="156"/>
      <c r="T33" s="155"/>
      <c r="U33" s="147"/>
      <c r="V33" s="147"/>
      <c r="W33" s="127"/>
      <c r="X33" s="127"/>
      <c r="Y33" s="127"/>
      <c r="Z33" s="127"/>
      <c r="AA33" s="128"/>
      <c r="BE33" s="68"/>
      <c r="BF33" s="68"/>
      <c r="BG33" s="68"/>
      <c r="BH33" s="68"/>
      <c r="BI33" s="68"/>
      <c r="BJ33" s="68"/>
      <c r="BK33" s="68"/>
      <c r="BL33" s="68"/>
      <c r="BP33" s="11">
        <f>IFERROR(INDEX(RunningInv[LOCXY],MATCH($D33,RunningInv[SKU],0)),0)</f>
        <v>0</v>
      </c>
    </row>
    <row r="34" spans="3:68" x14ac:dyDescent="0.25">
      <c r="C34" s="77" t="str">
        <f>IF(ISBLANK($E34),"",ROWS($C$5:$C34))</f>
        <v/>
      </c>
      <c r="D34" s="28"/>
      <c r="E34" s="30"/>
      <c r="F34" s="31"/>
      <c r="G34" s="135"/>
      <c r="H34" s="19"/>
      <c r="I34" s="19"/>
      <c r="J34" s="134"/>
      <c r="K34" s="132"/>
      <c r="L34" s="133"/>
      <c r="M34" s="133"/>
      <c r="N34" s="167"/>
      <c r="O34" s="129"/>
      <c r="P34" s="130"/>
      <c r="Q34" s="131"/>
      <c r="R34" s="72"/>
      <c r="S34" s="156"/>
      <c r="T34" s="155"/>
      <c r="U34" s="147"/>
      <c r="V34" s="147"/>
      <c r="W34" s="127"/>
      <c r="X34" s="127"/>
      <c r="Y34" s="127"/>
      <c r="Z34" s="127"/>
      <c r="AA34" s="128"/>
      <c r="BE34" s="68"/>
      <c r="BF34" s="68"/>
      <c r="BG34" s="68"/>
      <c r="BH34" s="68"/>
      <c r="BI34" s="68"/>
      <c r="BJ34" s="68"/>
      <c r="BK34" s="68"/>
      <c r="BL34" s="68"/>
      <c r="BP34" s="11">
        <f>IFERROR(INDEX(RunningInv[LOCXY],MATCH($D34,RunningInv[SKU],0)),0)</f>
        <v>0</v>
      </c>
    </row>
    <row r="35" spans="3:68" x14ac:dyDescent="0.25">
      <c r="C35" s="77" t="str">
        <f>IF(ISBLANK($E35),"",ROWS($C$5:$C35))</f>
        <v/>
      </c>
      <c r="D35" s="28"/>
      <c r="E35" s="30"/>
      <c r="F35" s="31"/>
      <c r="G35" s="135"/>
      <c r="H35" s="19"/>
      <c r="I35" s="19"/>
      <c r="J35" s="134"/>
      <c r="K35" s="132"/>
      <c r="L35" s="133"/>
      <c r="M35" s="133"/>
      <c r="N35" s="167"/>
      <c r="O35" s="129"/>
      <c r="P35" s="130"/>
      <c r="Q35" s="131"/>
      <c r="R35" s="72"/>
      <c r="S35" s="156"/>
      <c r="T35" s="155"/>
      <c r="U35" s="147"/>
      <c r="V35" s="147"/>
      <c r="W35" s="127"/>
      <c r="X35" s="127"/>
      <c r="Y35" s="127"/>
      <c r="Z35" s="127"/>
      <c r="AA35" s="128"/>
      <c r="BE35" s="68"/>
      <c r="BF35" s="68"/>
      <c r="BG35" s="68"/>
      <c r="BH35" s="68"/>
      <c r="BI35" s="68"/>
      <c r="BJ35" s="68"/>
      <c r="BK35" s="68"/>
      <c r="BL35" s="68"/>
      <c r="BP35" s="11">
        <f>IFERROR(INDEX(RunningInv[LOCXY],MATCH($D35,RunningInv[SKU],0)),0)</f>
        <v>0</v>
      </c>
    </row>
    <row r="36" spans="3:68" x14ac:dyDescent="0.25">
      <c r="C36" s="77" t="str">
        <f>IF(ISBLANK($E36),"",ROWS($C$5:$C36))</f>
        <v/>
      </c>
      <c r="D36" s="28"/>
      <c r="E36" s="30"/>
      <c r="F36" s="31"/>
      <c r="G36" s="135"/>
      <c r="H36" s="19"/>
      <c r="I36" s="19"/>
      <c r="J36" s="134"/>
      <c r="K36" s="132"/>
      <c r="L36" s="133"/>
      <c r="M36" s="133"/>
      <c r="N36" s="167"/>
      <c r="O36" s="129"/>
      <c r="P36" s="130"/>
      <c r="Q36" s="131"/>
      <c r="R36" s="72"/>
      <c r="S36" s="156"/>
      <c r="T36" s="155"/>
      <c r="U36" s="147"/>
      <c r="V36" s="147"/>
      <c r="W36" s="127"/>
      <c r="X36" s="127"/>
      <c r="Y36" s="127"/>
      <c r="Z36" s="127"/>
      <c r="AA36" s="128"/>
      <c r="BE36" s="68"/>
      <c r="BF36" s="68"/>
      <c r="BG36" s="68"/>
      <c r="BH36" s="68"/>
      <c r="BI36" s="68"/>
      <c r="BJ36" s="68"/>
      <c r="BK36" s="68"/>
      <c r="BL36" s="68"/>
      <c r="BP36" s="11">
        <f>IFERROR(INDEX(RunningInv[LOCXY],MATCH($D36,RunningInv[SKU],0)),0)</f>
        <v>0</v>
      </c>
    </row>
    <row r="37" spans="3:68" x14ac:dyDescent="0.25">
      <c r="C37" s="11" t="s">
        <v>12</v>
      </c>
      <c r="D37" t="s">
        <v>12</v>
      </c>
      <c r="E37" s="1" t="s">
        <v>12</v>
      </c>
      <c r="F37" s="1" t="s">
        <v>12</v>
      </c>
      <c r="G37" t="s">
        <v>12</v>
      </c>
      <c r="H37" t="s">
        <v>12</v>
      </c>
      <c r="I37" t="s">
        <v>12</v>
      </c>
      <c r="J37" t="s">
        <v>12</v>
      </c>
      <c r="K37" t="s">
        <v>12</v>
      </c>
      <c r="L37" t="s">
        <v>12</v>
      </c>
      <c r="M37" t="s">
        <v>12</v>
      </c>
      <c r="N37" s="1" t="s">
        <v>12</v>
      </c>
      <c r="O37" t="s">
        <v>12</v>
      </c>
      <c r="P37" t="s">
        <v>12</v>
      </c>
      <c r="Q37" t="s">
        <v>12</v>
      </c>
      <c r="R37" t="s">
        <v>12</v>
      </c>
      <c r="S37" t="s">
        <v>12</v>
      </c>
      <c r="T37" t="s">
        <v>12</v>
      </c>
      <c r="U37" t="s">
        <v>12</v>
      </c>
      <c r="V37" t="s">
        <v>12</v>
      </c>
      <c r="W37" t="s">
        <v>12</v>
      </c>
      <c r="X37" t="s">
        <v>12</v>
      </c>
      <c r="Y37" t="s">
        <v>12</v>
      </c>
      <c r="Z37" t="s">
        <v>12</v>
      </c>
      <c r="AA37" t="s">
        <v>12</v>
      </c>
      <c r="AQ37" t="s">
        <v>12</v>
      </c>
      <c r="AR37" t="s">
        <v>12</v>
      </c>
      <c r="AS37" t="s">
        <v>12</v>
      </c>
      <c r="AT37" t="s">
        <v>12</v>
      </c>
      <c r="AU37" t="s">
        <v>12</v>
      </c>
      <c r="AV37" t="s">
        <v>12</v>
      </c>
      <c r="AW37" t="s">
        <v>12</v>
      </c>
      <c r="AX37" t="s">
        <v>12</v>
      </c>
      <c r="AY37" t="s">
        <v>12</v>
      </c>
      <c r="AZ37" t="s">
        <v>12</v>
      </c>
      <c r="BB37" t="s">
        <v>12</v>
      </c>
      <c r="BC37" t="s">
        <v>12</v>
      </c>
      <c r="BE37" t="s">
        <v>12</v>
      </c>
      <c r="BP37" s="11" t="s">
        <v>12</v>
      </c>
    </row>
  </sheetData>
  <mergeCells count="9">
    <mergeCell ref="AF7:AN7"/>
    <mergeCell ref="AQ2:AR2"/>
    <mergeCell ref="AQ3:AR3"/>
    <mergeCell ref="AF5:AH5"/>
    <mergeCell ref="G2:H2"/>
    <mergeCell ref="G3:H3"/>
    <mergeCell ref="AF3:AH3"/>
    <mergeCell ref="AL3:AN3"/>
    <mergeCell ref="AL5:AN5"/>
  </mergeCells>
  <conditionalFormatting sqref="C6:AA36">
    <cfRule type="expression" dxfId="175" priority="3">
      <formula>MOD(ROW(),2)=0</formula>
    </cfRule>
  </conditionalFormatting>
  <conditionalFormatting sqref="D5:D36">
    <cfRule type="duplicateValues" dxfId="174" priority="2"/>
  </conditionalFormatting>
  <conditionalFormatting sqref="C5:AA36">
    <cfRule type="expression" dxfId="173" priority="1">
      <formula>$B$5=ROW()</formula>
    </cfRule>
  </conditionalFormatting>
  <dataValidations count="1">
    <dataValidation type="list" allowBlank="1" showInputMessage="1" showErrorMessage="1" sqref="AF5" xr:uid="{622A4799-62F2-4990-8FC8-EF9CFAB4BD5D}">
      <formula1>SUPPLIER_NAME</formula1>
    </dataValidation>
  </dataValidations>
  <hyperlinks>
    <hyperlink ref="AQ8" location="PurchaseHistTable!A1" display="&gt;&gt; goto PurchaseHistoryTable" xr:uid="{45292F70-040B-4EA6-88B3-F97ACF295EB5}"/>
  </hyperlinks>
  <pageMargins left="0.7" right="0.7" top="0.75" bottom="0.75" header="0.3" footer="0.3"/>
  <pageSetup paperSize="5" scale="70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TextBox1">
          <controlPr defaultSize="0" recalcAlways="1" autoLine="0" linkedCell="AQ3" r:id="rId5">
            <anchor moveWithCells="1">
              <from>
                <xdr:col>37</xdr:col>
                <xdr:colOff>38100</xdr:colOff>
                <xdr:row>0</xdr:row>
                <xdr:rowOff>762000</xdr:rowOff>
              </from>
              <to>
                <xdr:col>39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8193" r:id="rId4" name="Text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2599D-FC66-49C5-BC94-3F6F0090BF0B}">
  <sheetPr codeName="Sheet13">
    <tabColor theme="7" tint="0.39997558519241921"/>
  </sheetPr>
  <dimension ref="A1:AP54"/>
  <sheetViews>
    <sheetView showGridLines="0" topLeftCell="B1" zoomScale="90" zoomScaleNormal="90" workbookViewId="0">
      <pane xSplit="9" ySplit="34" topLeftCell="AJ35" activePane="bottomRight" state="frozen"/>
      <selection activeCell="B1" sqref="B1"/>
      <selection pane="topRight" activeCell="K1" sqref="K1"/>
      <selection pane="bottomLeft" activeCell="B35" sqref="B35"/>
      <selection pane="bottomRight" activeCell="AS13" sqref="AS13"/>
    </sheetView>
  </sheetViews>
  <sheetFormatPr defaultRowHeight="15" x14ac:dyDescent="0.25"/>
  <cols>
    <col min="1" max="1" width="9.140625" hidden="1" customWidth="1"/>
    <col min="2" max="2" width="33.7109375" customWidth="1"/>
    <col min="4" max="4" width="35.42578125" customWidth="1"/>
    <col min="5" max="5" width="18.5703125" customWidth="1"/>
    <col min="8" max="8" width="15.28515625" customWidth="1"/>
    <col min="9" max="9" width="11" customWidth="1"/>
    <col min="10" max="10" width="6" customWidth="1"/>
    <col min="13" max="13" width="33.140625" customWidth="1"/>
    <col min="14" max="14" width="15.28515625" hidden="1" customWidth="1"/>
    <col min="15" max="43" width="0" hidden="1" customWidth="1"/>
  </cols>
  <sheetData>
    <row r="1" spans="1:42" ht="33.75" x14ac:dyDescent="0.25">
      <c r="B1" s="424" t="s">
        <v>3772</v>
      </c>
      <c r="C1" s="569" t="s">
        <v>3719</v>
      </c>
      <c r="D1" s="570"/>
      <c r="E1" s="570"/>
      <c r="F1" s="570"/>
      <c r="G1" s="570"/>
      <c r="H1" s="570"/>
      <c r="I1" s="570"/>
      <c r="J1" s="571"/>
    </row>
    <row r="2" spans="1:42" ht="9.75" customHeight="1" x14ac:dyDescent="0.25">
      <c r="C2" s="395"/>
      <c r="D2" s="396"/>
      <c r="E2" s="88"/>
      <c r="F2" s="88"/>
      <c r="G2" s="88"/>
      <c r="H2" s="88"/>
      <c r="I2" s="88"/>
      <c r="J2" s="397"/>
    </row>
    <row r="3" spans="1:42" x14ac:dyDescent="0.25">
      <c r="B3" s="423">
        <f ca="1">TODAY()</f>
        <v>45322</v>
      </c>
      <c r="C3" s="428" t="str">
        <f ca="1">CONCATENATE("TODAY IS:", " ", VLOOKUP(MONTH(B3),NJCALENDAR,2,FALSE)," ",DAY(B3),","," ",YEAR(B3))</f>
        <v>TODAY IS: January 31, 2024</v>
      </c>
      <c r="D3" s="396"/>
      <c r="E3" s="88"/>
      <c r="F3" s="88"/>
      <c r="G3" s="88"/>
      <c r="H3" s="88"/>
      <c r="I3" s="88"/>
      <c r="J3" s="397"/>
      <c r="N3">
        <f>VALUE($E$5)</f>
        <v>45321</v>
      </c>
    </row>
    <row r="4" spans="1:42" x14ac:dyDescent="0.25">
      <c r="C4" s="395"/>
      <c r="D4" s="396"/>
      <c r="E4" s="88"/>
      <c r="F4" s="88"/>
      <c r="G4" s="88"/>
      <c r="H4" s="88"/>
      <c r="I4" s="88"/>
      <c r="J4" s="397"/>
      <c r="N4" t="s">
        <v>3662</v>
      </c>
      <c r="O4" t="s">
        <v>3754</v>
      </c>
      <c r="P4" t="s">
        <v>3755</v>
      </c>
      <c r="Q4" t="s">
        <v>3756</v>
      </c>
      <c r="R4" t="s">
        <v>3407</v>
      </c>
      <c r="S4" t="s">
        <v>3745</v>
      </c>
      <c r="T4" t="s">
        <v>3746</v>
      </c>
      <c r="U4" t="s">
        <v>3758</v>
      </c>
      <c r="V4" t="s">
        <v>3747</v>
      </c>
      <c r="W4" t="s">
        <v>3759</v>
      </c>
      <c r="X4" t="s">
        <v>3748</v>
      </c>
      <c r="Y4" t="s">
        <v>3760</v>
      </c>
      <c r="Z4" t="s">
        <v>3749</v>
      </c>
      <c r="AA4" t="s">
        <v>3761</v>
      </c>
      <c r="AB4" t="s">
        <v>3750</v>
      </c>
      <c r="AC4" t="s">
        <v>3762</v>
      </c>
      <c r="AD4" t="s">
        <v>3751</v>
      </c>
      <c r="AE4" t="s">
        <v>3763</v>
      </c>
      <c r="AF4" t="s">
        <v>3752</v>
      </c>
      <c r="AG4" t="s">
        <v>3764</v>
      </c>
      <c r="AH4" t="s">
        <v>3757</v>
      </c>
      <c r="AI4" t="s">
        <v>3753</v>
      </c>
      <c r="AJ4" t="s">
        <v>3765</v>
      </c>
      <c r="AK4" t="s">
        <v>3766</v>
      </c>
      <c r="AL4" t="s">
        <v>3767</v>
      </c>
      <c r="AM4" t="s">
        <v>3409</v>
      </c>
      <c r="AN4" t="s">
        <v>3410</v>
      </c>
      <c r="AO4" t="s">
        <v>3411</v>
      </c>
      <c r="AP4" t="s">
        <v>3793</v>
      </c>
    </row>
    <row r="5" spans="1:42" x14ac:dyDescent="0.25">
      <c r="C5" s="395"/>
      <c r="D5" s="396" t="s">
        <v>3487</v>
      </c>
      <c r="E5" s="403">
        <v>45321</v>
      </c>
      <c r="F5" s="88"/>
      <c r="G5" s="88"/>
      <c r="H5" s="88"/>
      <c r="I5" s="88"/>
      <c r="J5" s="397"/>
      <c r="N5" t="str">
        <f>VLOOKUP($AN$5,NJCALENDAR,2,FALSE) &amp; " " &amp; $AO$5 &amp; "," &amp; " " &amp; $AM$5</f>
        <v>January 30, 2024</v>
      </c>
      <c r="O5" s="410">
        <f>E7</f>
        <v>10</v>
      </c>
      <c r="P5" s="410">
        <f>E9</f>
        <v>5</v>
      </c>
      <c r="Q5" s="410">
        <f>E11</f>
        <v>2</v>
      </c>
      <c r="R5" s="411" t="str">
        <f>G12</f>
        <v>utang</v>
      </c>
      <c r="S5" s="410">
        <f>E15</f>
        <v>1</v>
      </c>
      <c r="T5" s="410">
        <f>E15</f>
        <v>1</v>
      </c>
      <c r="U5" s="411" t="str">
        <f>G15</f>
        <v>a</v>
      </c>
      <c r="V5" s="410">
        <f>E17</f>
        <v>2</v>
      </c>
      <c r="W5" s="411" t="str">
        <f>G17</f>
        <v>b</v>
      </c>
      <c r="X5" s="410">
        <f>E19</f>
        <v>3</v>
      </c>
      <c r="Y5" s="411" t="str">
        <f>G19</f>
        <v>c</v>
      </c>
      <c r="Z5" s="410">
        <f>E21</f>
        <v>4</v>
      </c>
      <c r="AA5" s="411" t="str">
        <f>G21</f>
        <v>d</v>
      </c>
      <c r="AB5" s="410">
        <f>E23</f>
        <v>5</v>
      </c>
      <c r="AC5" s="411" t="str">
        <f>G23</f>
        <v>e</v>
      </c>
      <c r="AD5" s="410">
        <f>E25</f>
        <v>6</v>
      </c>
      <c r="AE5" s="411" t="str">
        <f>G25</f>
        <v>f</v>
      </c>
      <c r="AF5" s="410">
        <f>E27</f>
        <v>77</v>
      </c>
      <c r="AG5" s="411">
        <f>G27</f>
        <v>0</v>
      </c>
      <c r="AH5" s="410">
        <f>E29</f>
        <v>20</v>
      </c>
      <c r="AI5" s="410">
        <f>E30</f>
        <v>98</v>
      </c>
      <c r="AJ5" s="410">
        <f>G29</f>
        <v>14</v>
      </c>
      <c r="AK5" s="410">
        <f>G31</f>
        <v>6</v>
      </c>
      <c r="AL5" s="411" t="str">
        <f>A30</f>
        <v>OVER</v>
      </c>
      <c r="AM5">
        <f>YEAR($N$3)</f>
        <v>2024</v>
      </c>
      <c r="AN5">
        <f>MONTH($N$3)</f>
        <v>1</v>
      </c>
      <c r="AO5">
        <f>DAY($N$3)</f>
        <v>30</v>
      </c>
      <c r="AP5">
        <f>$N$3</f>
        <v>45321</v>
      </c>
    </row>
    <row r="6" spans="1:42" ht="5.25" customHeight="1" x14ac:dyDescent="0.25">
      <c r="C6" s="395"/>
      <c r="D6" s="396"/>
      <c r="E6" s="88"/>
      <c r="F6" s="88"/>
      <c r="G6" s="88"/>
      <c r="H6" s="88"/>
      <c r="I6" s="88"/>
      <c r="J6" s="397"/>
    </row>
    <row r="7" spans="1:42" x14ac:dyDescent="0.25">
      <c r="C7" s="395"/>
      <c r="D7" s="396" t="s">
        <v>3721</v>
      </c>
      <c r="E7" s="408">
        <v>10</v>
      </c>
      <c r="F7" s="88"/>
      <c r="G7" s="88"/>
      <c r="H7" s="88"/>
      <c r="I7" s="88"/>
      <c r="J7" s="397"/>
    </row>
    <row r="8" spans="1:42" ht="5.25" customHeight="1" x14ac:dyDescent="0.25">
      <c r="C8" s="395"/>
      <c r="D8" s="396"/>
      <c r="E8" s="88"/>
      <c r="F8" s="88"/>
      <c r="G8" s="88"/>
      <c r="H8" s="88"/>
      <c r="I8" s="88"/>
      <c r="J8" s="397"/>
    </row>
    <row r="9" spans="1:42" x14ac:dyDescent="0.25">
      <c r="C9" s="395"/>
      <c r="D9" s="396" t="s">
        <v>3722</v>
      </c>
      <c r="E9" s="408">
        <v>5</v>
      </c>
      <c r="F9" s="88"/>
      <c r="G9" s="88"/>
      <c r="H9" s="88"/>
      <c r="I9" s="88"/>
      <c r="J9" s="397"/>
      <c r="N9" s="369" t="s">
        <v>3807</v>
      </c>
    </row>
    <row r="10" spans="1:42" ht="5.25" customHeight="1" x14ac:dyDescent="0.25">
      <c r="C10" s="395"/>
      <c r="D10" s="396"/>
      <c r="E10" s="88"/>
      <c r="F10" s="88"/>
      <c r="G10" s="88"/>
      <c r="H10" s="88"/>
      <c r="I10" s="88"/>
      <c r="J10" s="397"/>
    </row>
    <row r="11" spans="1:42" x14ac:dyDescent="0.25">
      <c r="A11">
        <f>IF(ISBLANK($E11),1,2)</f>
        <v>2</v>
      </c>
      <c r="C11" s="395"/>
      <c r="D11" s="396" t="s">
        <v>3731</v>
      </c>
      <c r="E11" s="408">
        <v>2</v>
      </c>
      <c r="F11" s="413" t="s">
        <v>3732</v>
      </c>
      <c r="G11" s="414" t="s">
        <v>3733</v>
      </c>
      <c r="H11" s="88"/>
      <c r="I11" s="88"/>
      <c r="J11" s="397"/>
    </row>
    <row r="12" spans="1:42" x14ac:dyDescent="0.25">
      <c r="C12" s="395"/>
      <c r="D12" s="396"/>
      <c r="E12" s="88"/>
      <c r="F12" s="88"/>
      <c r="G12" s="572" t="s">
        <v>3770</v>
      </c>
      <c r="H12" s="572"/>
      <c r="I12" s="572"/>
      <c r="J12" s="397"/>
    </row>
    <row r="13" spans="1:42" x14ac:dyDescent="0.25">
      <c r="C13" s="395"/>
      <c r="D13" s="396" t="s">
        <v>3723</v>
      </c>
      <c r="E13" s="408">
        <v>1</v>
      </c>
      <c r="F13" s="88"/>
      <c r="G13" s="572"/>
      <c r="H13" s="572"/>
      <c r="I13" s="572"/>
      <c r="J13" s="397"/>
    </row>
    <row r="14" spans="1:42" x14ac:dyDescent="0.25">
      <c r="C14" s="395"/>
      <c r="D14" s="396"/>
      <c r="E14" s="88"/>
      <c r="F14" s="88"/>
      <c r="G14" s="417" t="s">
        <v>3734</v>
      </c>
      <c r="H14" s="416"/>
      <c r="I14" s="416"/>
      <c r="J14" s="397"/>
    </row>
    <row r="15" spans="1:42" x14ac:dyDescent="0.25">
      <c r="A15">
        <f>IF(ISBLANK($E15),1,2)</f>
        <v>2</v>
      </c>
      <c r="C15" s="395"/>
      <c r="D15" s="396" t="s">
        <v>3724</v>
      </c>
      <c r="E15" s="408">
        <v>1</v>
      </c>
      <c r="F15" s="413" t="s">
        <v>3732</v>
      </c>
      <c r="G15" s="574" t="s">
        <v>3643</v>
      </c>
      <c r="H15" s="574"/>
      <c r="I15" s="574"/>
      <c r="J15" s="397"/>
    </row>
    <row r="16" spans="1:42" ht="5.25" customHeight="1" x14ac:dyDescent="0.25">
      <c r="C16" s="395"/>
      <c r="D16" s="396"/>
      <c r="E16" s="88"/>
      <c r="F16" s="88"/>
      <c r="G16" s="415"/>
      <c r="H16" s="415"/>
      <c r="I16" s="415"/>
      <c r="J16" s="397"/>
    </row>
    <row r="17" spans="1:10" x14ac:dyDescent="0.25">
      <c r="A17">
        <f>IF(ISBLANK($E17),1,2)</f>
        <v>2</v>
      </c>
      <c r="C17" s="395"/>
      <c r="D17" s="396" t="s">
        <v>3725</v>
      </c>
      <c r="E17" s="408">
        <v>2</v>
      </c>
      <c r="F17" s="413" t="s">
        <v>3732</v>
      </c>
      <c r="G17" s="574" t="s">
        <v>3644</v>
      </c>
      <c r="H17" s="574"/>
      <c r="I17" s="574"/>
      <c r="J17" s="397"/>
    </row>
    <row r="18" spans="1:10" ht="5.25" customHeight="1" x14ac:dyDescent="0.25">
      <c r="C18" s="395"/>
      <c r="D18" s="396"/>
      <c r="E18" s="88"/>
      <c r="F18" s="88"/>
      <c r="G18" s="88"/>
      <c r="H18" s="88"/>
      <c r="I18" s="88"/>
      <c r="J18" s="397"/>
    </row>
    <row r="19" spans="1:10" x14ac:dyDescent="0.25">
      <c r="A19">
        <f>IF(ISBLANK($E19),1,2)</f>
        <v>2</v>
      </c>
      <c r="C19" s="395"/>
      <c r="D19" s="396" t="s">
        <v>3726</v>
      </c>
      <c r="E19" s="408">
        <v>3</v>
      </c>
      <c r="F19" s="413" t="s">
        <v>3732</v>
      </c>
      <c r="G19" s="574" t="s">
        <v>3645</v>
      </c>
      <c r="H19" s="574"/>
      <c r="I19" s="574"/>
      <c r="J19" s="397"/>
    </row>
    <row r="20" spans="1:10" ht="5.25" customHeight="1" x14ac:dyDescent="0.25">
      <c r="C20" s="395"/>
      <c r="D20" s="396"/>
      <c r="E20" s="88"/>
      <c r="F20" s="88"/>
      <c r="G20" s="88"/>
      <c r="H20" s="88"/>
      <c r="I20" s="88"/>
      <c r="J20" s="397"/>
    </row>
    <row r="21" spans="1:10" x14ac:dyDescent="0.25">
      <c r="A21">
        <f>IF(ISBLANK($E21),1,2)</f>
        <v>2</v>
      </c>
      <c r="C21" s="395"/>
      <c r="D21" s="396" t="s">
        <v>3727</v>
      </c>
      <c r="E21" s="408">
        <v>4</v>
      </c>
      <c r="F21" s="413" t="s">
        <v>3732</v>
      </c>
      <c r="G21" s="574" t="s">
        <v>3391</v>
      </c>
      <c r="H21" s="574"/>
      <c r="I21" s="574"/>
      <c r="J21" s="397"/>
    </row>
    <row r="22" spans="1:10" ht="5.25" customHeight="1" x14ac:dyDescent="0.25">
      <c r="C22" s="395"/>
      <c r="D22" s="396"/>
      <c r="E22" s="88"/>
      <c r="F22" s="88"/>
      <c r="G22" s="88"/>
      <c r="H22" s="88"/>
      <c r="I22" s="88"/>
      <c r="J22" s="397"/>
    </row>
    <row r="23" spans="1:10" x14ac:dyDescent="0.25">
      <c r="A23">
        <f>IF(ISBLANK($E23),1,2)</f>
        <v>2</v>
      </c>
      <c r="C23" s="395"/>
      <c r="D23" s="396" t="s">
        <v>3728</v>
      </c>
      <c r="E23" s="408">
        <v>5</v>
      </c>
      <c r="F23" s="413" t="s">
        <v>3732</v>
      </c>
      <c r="G23" s="574" t="s">
        <v>3768</v>
      </c>
      <c r="H23" s="574"/>
      <c r="I23" s="574"/>
      <c r="J23" s="397"/>
    </row>
    <row r="24" spans="1:10" ht="5.25" customHeight="1" x14ac:dyDescent="0.25">
      <c r="C24" s="395"/>
      <c r="D24" s="396"/>
      <c r="E24" s="88"/>
      <c r="F24" s="88"/>
      <c r="G24" s="88"/>
      <c r="H24" s="88"/>
      <c r="I24" s="88"/>
      <c r="J24" s="397"/>
    </row>
    <row r="25" spans="1:10" x14ac:dyDescent="0.25">
      <c r="A25">
        <f>IF(ISBLANK($E25),1,2)</f>
        <v>2</v>
      </c>
      <c r="C25" s="395"/>
      <c r="D25" s="396" t="s">
        <v>3729</v>
      </c>
      <c r="E25" s="408">
        <v>6</v>
      </c>
      <c r="F25" s="413" t="s">
        <v>3732</v>
      </c>
      <c r="G25" s="573" t="s">
        <v>3769</v>
      </c>
      <c r="H25" s="573"/>
      <c r="I25" s="573"/>
      <c r="J25" s="397"/>
    </row>
    <row r="26" spans="1:10" x14ac:dyDescent="0.25">
      <c r="C26" s="395"/>
      <c r="D26" s="396"/>
      <c r="E26" s="88"/>
      <c r="F26" s="88"/>
      <c r="G26" s="88"/>
      <c r="H26" s="88"/>
      <c r="I26" s="88"/>
      <c r="J26" s="397"/>
    </row>
    <row r="27" spans="1:10" x14ac:dyDescent="0.25">
      <c r="A27">
        <f>IF(ISBLANK($E27),1,2)</f>
        <v>2</v>
      </c>
      <c r="C27" s="395"/>
      <c r="D27" s="396" t="s">
        <v>3730</v>
      </c>
      <c r="E27" s="408">
        <v>77</v>
      </c>
      <c r="F27" s="413" t="s">
        <v>3732</v>
      </c>
      <c r="G27" s="573"/>
      <c r="H27" s="573"/>
      <c r="I27" s="573"/>
      <c r="J27" s="397"/>
    </row>
    <row r="28" spans="1:10" x14ac:dyDescent="0.25">
      <c r="A28">
        <f>IF(ISBLANK($E$29),1,2)</f>
        <v>2</v>
      </c>
      <c r="C28" s="395"/>
      <c r="D28" s="396"/>
      <c r="E28" s="409"/>
      <c r="F28" s="413"/>
      <c r="G28" s="421" t="s">
        <v>3736</v>
      </c>
      <c r="H28" s="418"/>
      <c r="I28" s="418"/>
      <c r="J28" s="397"/>
    </row>
    <row r="29" spans="1:10" x14ac:dyDescent="0.25">
      <c r="C29" s="395"/>
      <c r="D29" s="396" t="s">
        <v>3738</v>
      </c>
      <c r="E29" s="419">
        <v>20</v>
      </c>
      <c r="F29" s="413" t="s">
        <v>3732</v>
      </c>
      <c r="G29" s="566">
        <f>IF(ISBLANK(E29),"",SUM($E$7,$E$9,$E$13)-$E$11)</f>
        <v>14</v>
      </c>
      <c r="H29" s="567">
        <f t="shared" ref="H29" si="0">SUM($E$7,$E$9,$E$13)</f>
        <v>16</v>
      </c>
      <c r="I29" s="416"/>
      <c r="J29" s="397"/>
    </row>
    <row r="30" spans="1:10" x14ac:dyDescent="0.25">
      <c r="A30" s="410" t="str">
        <f>IF($G$31&lt;0,"SHORT","OVER")</f>
        <v>OVER</v>
      </c>
      <c r="C30" s="395"/>
      <c r="D30" s="396" t="s">
        <v>3735</v>
      </c>
      <c r="E30" s="420">
        <f>SUM(E15,E17,E19,E21,E23,E25,E27)</f>
        <v>98</v>
      </c>
      <c r="F30" s="413"/>
      <c r="G30" s="568" t="s">
        <v>3737</v>
      </c>
      <c r="H30" s="568"/>
      <c r="I30" s="418"/>
      <c r="J30" s="397"/>
    </row>
    <row r="31" spans="1:10" x14ac:dyDescent="0.25">
      <c r="C31" s="395"/>
      <c r="D31" s="396"/>
      <c r="E31" s="409"/>
      <c r="F31" s="413"/>
      <c r="G31" s="566">
        <f>IF(AND(ISBLANK(E29),G29&lt;&gt;0),"",E29-G29)</f>
        <v>6</v>
      </c>
      <c r="H31" s="566"/>
      <c r="I31" s="422" t="str">
        <f>IF(G31=0,"","&gt;&gt;&gt;" &amp; " " &amp; A30 &amp;" " &amp; "&lt;&lt;&lt;")</f>
        <v>&gt;&gt;&gt; OVER &lt;&lt;&lt;</v>
      </c>
      <c r="J31" s="397"/>
    </row>
    <row r="32" spans="1:10" x14ac:dyDescent="0.25">
      <c r="C32" s="395"/>
      <c r="D32" s="396"/>
      <c r="E32" s="409"/>
      <c r="F32" s="413"/>
      <c r="G32" s="418"/>
      <c r="H32" s="418"/>
      <c r="I32" s="418"/>
      <c r="J32" s="397"/>
    </row>
    <row r="33" spans="3:10" ht="15.75" thickBot="1" x14ac:dyDescent="0.3">
      <c r="C33" s="398"/>
      <c r="D33" s="399"/>
      <c r="E33" s="400"/>
      <c r="F33" s="400"/>
      <c r="G33" s="400"/>
      <c r="H33" s="400"/>
      <c r="I33" s="400"/>
      <c r="J33" s="401"/>
    </row>
    <row r="41" spans="3:10" x14ac:dyDescent="0.25">
      <c r="D41" t="s">
        <v>3662</v>
      </c>
    </row>
    <row r="42" spans="3:10" x14ac:dyDescent="0.25">
      <c r="D42" t="s">
        <v>3739</v>
      </c>
    </row>
    <row r="43" spans="3:10" x14ac:dyDescent="0.25">
      <c r="D43" t="s">
        <v>3740</v>
      </c>
    </row>
    <row r="44" spans="3:10" x14ac:dyDescent="0.25">
      <c r="D44" t="s">
        <v>3741</v>
      </c>
    </row>
    <row r="45" spans="3:10" x14ac:dyDescent="0.25">
      <c r="D45" t="s">
        <v>3742</v>
      </c>
    </row>
    <row r="46" spans="3:10" x14ac:dyDescent="0.25">
      <c r="D46" t="s">
        <v>3724</v>
      </c>
    </row>
    <row r="47" spans="3:10" x14ac:dyDescent="0.25">
      <c r="D47" t="s">
        <v>3725</v>
      </c>
    </row>
    <row r="48" spans="3:10" x14ac:dyDescent="0.25">
      <c r="D48" t="s">
        <v>3726</v>
      </c>
    </row>
    <row r="49" spans="4:4" x14ac:dyDescent="0.25">
      <c r="D49" t="s">
        <v>3727</v>
      </c>
    </row>
    <row r="50" spans="4:4" x14ac:dyDescent="0.25">
      <c r="D50" t="s">
        <v>3728</v>
      </c>
    </row>
    <row r="51" spans="4:4" x14ac:dyDescent="0.25">
      <c r="D51" t="s">
        <v>3729</v>
      </c>
    </row>
    <row r="52" spans="4:4" x14ac:dyDescent="0.25">
      <c r="D52" t="s">
        <v>3730</v>
      </c>
    </row>
    <row r="53" spans="4:4" x14ac:dyDescent="0.25">
      <c r="D53" t="s">
        <v>3743</v>
      </c>
    </row>
    <row r="54" spans="4:4" x14ac:dyDescent="0.25">
      <c r="D54" t="s">
        <v>3744</v>
      </c>
    </row>
  </sheetData>
  <sortState xmlns:xlrd2="http://schemas.microsoft.com/office/spreadsheetml/2017/richdata2" ref="D41:E66">
    <sortCondition ref="E41:E66"/>
  </sortState>
  <mergeCells count="12">
    <mergeCell ref="G29:H29"/>
    <mergeCell ref="G31:H31"/>
    <mergeCell ref="G30:H30"/>
    <mergeCell ref="C1:J1"/>
    <mergeCell ref="G12:I13"/>
    <mergeCell ref="G27:I27"/>
    <mergeCell ref="G25:I25"/>
    <mergeCell ref="G23:I23"/>
    <mergeCell ref="G21:I21"/>
    <mergeCell ref="G19:I19"/>
    <mergeCell ref="G17:I17"/>
    <mergeCell ref="G15:I15"/>
  </mergeCells>
  <conditionalFormatting sqref="F11 G11">
    <cfRule type="expression" dxfId="172" priority="28">
      <formula>$A$11=2</formula>
    </cfRule>
  </conditionalFormatting>
  <conditionalFormatting sqref="G12:I13">
    <cfRule type="expression" dxfId="171" priority="25">
      <formula>$A$11=2</formula>
    </cfRule>
  </conditionalFormatting>
  <conditionalFormatting sqref="F15">
    <cfRule type="expression" dxfId="170" priority="24">
      <formula>$A$15=2</formula>
    </cfRule>
  </conditionalFormatting>
  <conditionalFormatting sqref="F17">
    <cfRule type="expression" dxfId="169" priority="23">
      <formula>$A$17=2</formula>
    </cfRule>
  </conditionalFormatting>
  <conditionalFormatting sqref="F19">
    <cfRule type="expression" dxfId="168" priority="22">
      <formula>$A$19=2</formula>
    </cfRule>
  </conditionalFormatting>
  <conditionalFormatting sqref="F21">
    <cfRule type="expression" dxfId="167" priority="21">
      <formula>$A$21=2</formula>
    </cfRule>
  </conditionalFormatting>
  <conditionalFormatting sqref="F23">
    <cfRule type="expression" dxfId="166" priority="20">
      <formula>$A$23=2</formula>
    </cfRule>
  </conditionalFormatting>
  <conditionalFormatting sqref="F25">
    <cfRule type="expression" dxfId="165" priority="19">
      <formula>$A$25=2</formula>
    </cfRule>
  </conditionalFormatting>
  <conditionalFormatting sqref="F27:F28 F30:F32">
    <cfRule type="expression" dxfId="164" priority="18">
      <formula>$A$27=2</formula>
    </cfRule>
  </conditionalFormatting>
  <conditionalFormatting sqref="G14">
    <cfRule type="expression" dxfId="163" priority="17">
      <formula>$A$15=2</formula>
    </cfRule>
  </conditionalFormatting>
  <conditionalFormatting sqref="G15:I15">
    <cfRule type="expression" dxfId="162" priority="16">
      <formula>$A$15=2</formula>
    </cfRule>
  </conditionalFormatting>
  <conditionalFormatting sqref="G17:I17">
    <cfRule type="expression" dxfId="161" priority="15">
      <formula>$A$17=2</formula>
    </cfRule>
  </conditionalFormatting>
  <conditionalFormatting sqref="G19:I19">
    <cfRule type="expression" dxfId="160" priority="14">
      <formula>$A$19=2</formula>
    </cfRule>
  </conditionalFormatting>
  <conditionalFormatting sqref="G21:I21">
    <cfRule type="expression" dxfId="159" priority="13">
      <formula>$A$21=2</formula>
    </cfRule>
  </conditionalFormatting>
  <conditionalFormatting sqref="G23:I23">
    <cfRule type="expression" dxfId="158" priority="12">
      <formula>$A$23=2</formula>
    </cfRule>
  </conditionalFormatting>
  <conditionalFormatting sqref="G25:I25">
    <cfRule type="expression" dxfId="157" priority="11">
      <formula>$A$25=2</formula>
    </cfRule>
  </conditionalFormatting>
  <conditionalFormatting sqref="G27:I27">
    <cfRule type="expression" dxfId="156" priority="10">
      <formula>$A$27=2</formula>
    </cfRule>
  </conditionalFormatting>
  <conditionalFormatting sqref="F29">
    <cfRule type="expression" dxfId="155" priority="9">
      <formula>$A$28=2</formula>
    </cfRule>
  </conditionalFormatting>
  <conditionalFormatting sqref="G28 G30">
    <cfRule type="expression" dxfId="154" priority="8">
      <formula>$A$28=2</formula>
    </cfRule>
  </conditionalFormatting>
  <conditionalFormatting sqref="G29:H29">
    <cfRule type="expression" dxfId="153" priority="7">
      <formula>$A$28=2</formula>
    </cfRule>
  </conditionalFormatting>
  <conditionalFormatting sqref="G31:H31">
    <cfRule type="expression" dxfId="152" priority="4">
      <formula>$A$28=2</formula>
    </cfRule>
  </conditionalFormatting>
  <conditionalFormatting sqref="I31">
    <cfRule type="expression" dxfId="151" priority="1">
      <formula>$A$28=2</formula>
    </cfRule>
  </conditionalFormatting>
  <hyperlinks>
    <hyperlink ref="B1" location="MAIN_DASHBOARD!A1" display="&lt;&lt;&lt; BACK TO MAIN DASHBOARD" xr:uid="{2F97BE06-568C-4D5B-8784-811ADE30DEDA}"/>
    <hyperlink ref="N9" location="'CashSalesTable'!A1" display="&gt;&gt;&gt; goto CashSalesTable" xr:uid="{2E2A16E1-93DA-49C0-9303-E2D310BC2FB7}"/>
  </hyperlinks>
  <pageMargins left="0.7" right="0.7" top="0.75" bottom="0.75" header="0.3" footer="0.3"/>
  <pageSetup paperSize="9" orientation="portrait" horizontalDpi="0" verticalDpi="0" r:id="rId1"/>
  <ignoredErrors>
    <ignoredError sqref="E30" unlockedFormula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C288E-8FC4-425F-9CDE-2948BD9F1DD2}">
  <sheetPr codeName="Sheet19">
    <tabColor rgb="FFFF0000"/>
  </sheetPr>
  <dimension ref="A1:AM26"/>
  <sheetViews>
    <sheetView showGridLines="0" workbookViewId="0">
      <pane xSplit="9" ySplit="28" topLeftCell="J29" activePane="bottomRight" state="frozen"/>
      <selection pane="topRight" activeCell="J1" sqref="J1"/>
      <selection pane="bottomLeft" activeCell="A29" sqref="A29"/>
      <selection pane="bottomRight"/>
    </sheetView>
  </sheetViews>
  <sheetFormatPr defaultRowHeight="15" x14ac:dyDescent="0.25"/>
  <cols>
    <col min="2" max="2" width="15.28515625" bestFit="1" customWidth="1"/>
    <col min="3" max="3" width="2.85546875" customWidth="1"/>
    <col min="4" max="4" width="25.28515625" style="241" customWidth="1"/>
    <col min="5" max="5" width="18.5703125" customWidth="1"/>
    <col min="6" max="6" width="15.7109375" customWidth="1"/>
    <col min="7" max="7" width="9.7109375" style="241" customWidth="1"/>
    <col min="8" max="8" width="18.5703125" customWidth="1"/>
    <col min="9" max="9" width="2.85546875" customWidth="1"/>
    <col min="11" max="11" width="9.85546875" bestFit="1" customWidth="1"/>
    <col min="12" max="12" width="0" hidden="1" customWidth="1"/>
    <col min="13" max="13" width="15.5703125" hidden="1" customWidth="1"/>
    <col min="14" max="14" width="11.7109375" hidden="1" customWidth="1"/>
    <col min="15" max="15" width="11.28515625" hidden="1" customWidth="1"/>
    <col min="16" max="16" width="8.140625" hidden="1" customWidth="1"/>
    <col min="17" max="17" width="11.85546875" hidden="1" customWidth="1"/>
    <col min="18" max="18" width="7.7109375" hidden="1" customWidth="1"/>
    <col min="19" max="19" width="10" hidden="1" customWidth="1"/>
    <col min="20" max="20" width="11.5703125" hidden="1" customWidth="1"/>
    <col min="21" max="21" width="18" hidden="1" customWidth="1"/>
    <col min="22" max="23" width="10.140625" hidden="1" customWidth="1"/>
    <col min="24" max="24" width="8.28515625" hidden="1" customWidth="1"/>
    <col min="25" max="25" width="13.42578125" hidden="1" customWidth="1"/>
    <col min="26" max="26" width="16.42578125" hidden="1" customWidth="1"/>
    <col min="27" max="27" width="20.5703125" hidden="1" customWidth="1"/>
    <col min="28" max="28" width="16.140625" hidden="1" customWidth="1"/>
    <col min="29" max="29" width="20.7109375" hidden="1" customWidth="1"/>
    <col min="30" max="30" width="13.85546875" hidden="1" customWidth="1"/>
    <col min="31" max="31" width="14.5703125" hidden="1" customWidth="1"/>
    <col min="32" max="32" width="17.85546875" hidden="1" customWidth="1"/>
    <col min="33" max="33" width="17.28515625" hidden="1" customWidth="1"/>
    <col min="34" max="36" width="9.140625" hidden="1" customWidth="1"/>
    <col min="37" max="37" width="0" hidden="1" customWidth="1"/>
    <col min="38" max="38" width="17.85546875" hidden="1" customWidth="1"/>
    <col min="39" max="40" width="0" hidden="1" customWidth="1"/>
  </cols>
  <sheetData>
    <row r="1" spans="1:39" ht="45" customHeight="1" x14ac:dyDescent="0.25">
      <c r="A1" s="424" t="s">
        <v>3771</v>
      </c>
      <c r="C1" s="575" t="s">
        <v>3682</v>
      </c>
      <c r="D1" s="576"/>
      <c r="E1" s="576"/>
      <c r="F1" s="576"/>
      <c r="G1" s="576"/>
      <c r="H1" s="576"/>
      <c r="I1" s="577"/>
    </row>
    <row r="2" spans="1:39" x14ac:dyDescent="0.25">
      <c r="C2" s="395"/>
      <c r="D2" s="396"/>
      <c r="E2" s="88"/>
      <c r="F2" s="88"/>
      <c r="G2" s="396"/>
      <c r="H2" s="88"/>
      <c r="I2" s="397"/>
    </row>
    <row r="3" spans="1:39" x14ac:dyDescent="0.25">
      <c r="B3" s="404">
        <f ca="1">TODAY()</f>
        <v>45322</v>
      </c>
      <c r="C3" s="428" t="str">
        <f ca="1">CONCATENATE("TODAY IS:", " ", VLOOKUP(MONTH(B3),NJCALENDAR,2,FALSE)," ",DAY(B3),","," ",YEAR(B3))</f>
        <v>TODAY IS: January 31, 2024</v>
      </c>
      <c r="D3" s="396"/>
      <c r="E3" s="88"/>
      <c r="F3" s="88"/>
      <c r="G3" s="396"/>
      <c r="H3" s="88"/>
      <c r="I3" s="397"/>
      <c r="M3">
        <f>VALUE(E5)</f>
        <v>45320</v>
      </c>
    </row>
    <row r="4" spans="1:39" x14ac:dyDescent="0.25">
      <c r="C4" s="395"/>
      <c r="D4" s="396"/>
      <c r="E4" s="88"/>
      <c r="F4" s="88"/>
      <c r="G4" s="396"/>
      <c r="H4" s="88"/>
      <c r="I4" s="397"/>
      <c r="M4" s="241" t="s">
        <v>3662</v>
      </c>
      <c r="N4" s="241" t="s">
        <v>3663</v>
      </c>
      <c r="O4" s="241" t="s">
        <v>3664</v>
      </c>
      <c r="P4" s="241" t="s">
        <v>3665</v>
      </c>
      <c r="Q4" s="241" t="s">
        <v>3666</v>
      </c>
      <c r="R4" s="241" t="s">
        <v>3667</v>
      </c>
      <c r="S4" s="241" t="s">
        <v>3668</v>
      </c>
      <c r="T4" s="241" t="s">
        <v>3669</v>
      </c>
      <c r="U4" s="241" t="s">
        <v>3670</v>
      </c>
      <c r="V4" s="241" t="s">
        <v>3671</v>
      </c>
      <c r="W4" s="241" t="s">
        <v>3713</v>
      </c>
      <c r="X4" s="241" t="s">
        <v>3672</v>
      </c>
      <c r="Y4" s="241" t="s">
        <v>3673</v>
      </c>
      <c r="Z4" s="241" t="s">
        <v>3674</v>
      </c>
      <c r="AA4" s="241" t="s">
        <v>3675</v>
      </c>
      <c r="AB4" s="241" t="s">
        <v>3676</v>
      </c>
      <c r="AC4" s="241" t="s">
        <v>3677</v>
      </c>
      <c r="AD4" s="241" t="s">
        <v>3678</v>
      </c>
      <c r="AE4" s="241" t="s">
        <v>3714</v>
      </c>
      <c r="AF4" s="241" t="s">
        <v>3679</v>
      </c>
      <c r="AG4" s="241" t="s">
        <v>3680</v>
      </c>
      <c r="AH4" s="241" t="s">
        <v>3710</v>
      </c>
      <c r="AI4" s="241" t="s">
        <v>3410</v>
      </c>
      <c r="AJ4" s="241" t="s">
        <v>3411</v>
      </c>
      <c r="AK4" s="241" t="s">
        <v>3793</v>
      </c>
      <c r="AL4" s="241" t="s">
        <v>3808</v>
      </c>
      <c r="AM4" s="241" t="s">
        <v>3809</v>
      </c>
    </row>
    <row r="5" spans="1:39" x14ac:dyDescent="0.25">
      <c r="C5" s="395"/>
      <c r="D5" s="396" t="s">
        <v>3487</v>
      </c>
      <c r="E5" s="403">
        <v>45320</v>
      </c>
      <c r="F5" s="88"/>
      <c r="G5" s="396" t="s">
        <v>3659</v>
      </c>
      <c r="H5" s="402" t="s">
        <v>3720</v>
      </c>
      <c r="I5" s="397"/>
      <c r="J5" s="430">
        <f>IF(OR($H$5="NONE",$H$5="--- CHOOSE ONE ---"),1,2)</f>
        <v>1</v>
      </c>
      <c r="M5" t="str">
        <f>VLOOKUP($AI$5,NJCALENDAR,2,FALSE) &amp; " " &amp; $AJ$5 &amp; "," &amp; " " &amp; $AH$5</f>
        <v>January 29, 2024</v>
      </c>
      <c r="N5" s="410">
        <f>$E$7</f>
        <v>1</v>
      </c>
      <c r="O5" s="410">
        <f>$E$9</f>
        <v>2</v>
      </c>
      <c r="P5" s="410">
        <f>$E$11</f>
        <v>3</v>
      </c>
      <c r="Q5" s="410">
        <f>$E$13</f>
        <v>4</v>
      </c>
      <c r="R5" s="410">
        <f>$E$15</f>
        <v>5</v>
      </c>
      <c r="S5" s="410">
        <f>$E$17</f>
        <v>6</v>
      </c>
      <c r="T5" s="410">
        <f>$E$19</f>
        <v>7</v>
      </c>
      <c r="U5" s="410">
        <f>$E$21</f>
        <v>8</v>
      </c>
      <c r="V5" s="410">
        <f>$E$23</f>
        <v>9</v>
      </c>
      <c r="W5" s="410">
        <f>$E$25</f>
        <v>111</v>
      </c>
      <c r="X5" s="411" t="str">
        <f>$H$5</f>
        <v>--- CHOOSE ONE ---</v>
      </c>
      <c r="Y5" s="410">
        <f>$H$7</f>
        <v>11</v>
      </c>
      <c r="Z5" s="410">
        <f>$H$9</f>
        <v>11</v>
      </c>
      <c r="AA5" s="410">
        <f>$H$11</f>
        <v>11</v>
      </c>
      <c r="AB5" s="410">
        <f>$H$13</f>
        <v>11</v>
      </c>
      <c r="AC5" s="410">
        <f>$H$15</f>
        <v>11</v>
      </c>
      <c r="AD5" s="410">
        <f>$H$17</f>
        <v>11</v>
      </c>
      <c r="AE5" s="410">
        <f>$H$19</f>
        <v>11</v>
      </c>
      <c r="AF5" s="410">
        <f>$H$21</f>
        <v>11</v>
      </c>
      <c r="AG5" s="410">
        <f>$H$23</f>
        <v>11</v>
      </c>
      <c r="AH5">
        <f>YEAR($M$3)</f>
        <v>2024</v>
      </c>
      <c r="AI5">
        <f>MONTH($M$3)</f>
        <v>1</v>
      </c>
      <c r="AJ5">
        <f>DAY($M$3)</f>
        <v>29</v>
      </c>
      <c r="AK5">
        <f>M3</f>
        <v>45320</v>
      </c>
      <c r="AL5" s="410">
        <f>SUM($Y$5:$AG$5,$O$5:$W$5)</f>
        <v>254</v>
      </c>
      <c r="AM5" s="410">
        <f>SUM($Y$5:$AG$5,$N$5:$W$5)</f>
        <v>255</v>
      </c>
    </row>
    <row r="6" spans="1:39" x14ac:dyDescent="0.25">
      <c r="C6" s="395"/>
      <c r="D6" s="396"/>
      <c r="E6" s="88"/>
      <c r="F6" s="88"/>
      <c r="G6" s="396"/>
      <c r="H6" s="88"/>
      <c r="I6" s="397"/>
    </row>
    <row r="7" spans="1:39" x14ac:dyDescent="0.25">
      <c r="C7" s="395"/>
      <c r="D7" s="396" t="s">
        <v>3652</v>
      </c>
      <c r="E7" s="408">
        <v>1</v>
      </c>
      <c r="F7" s="88"/>
      <c r="G7" s="396" t="str">
        <f>IF($J$5=2,"ADVERTISING :","")</f>
        <v/>
      </c>
      <c r="H7" s="429">
        <v>11</v>
      </c>
      <c r="I7" s="397"/>
      <c r="M7" s="369" t="s">
        <v>3803</v>
      </c>
    </row>
    <row r="8" spans="1:39" ht="6.75" customHeight="1" x14ac:dyDescent="0.25">
      <c r="C8" s="395"/>
      <c r="D8" s="396"/>
      <c r="E8" s="88"/>
      <c r="F8" s="88"/>
      <c r="G8" s="396"/>
      <c r="H8" s="88"/>
      <c r="I8" s="397"/>
    </row>
    <row r="9" spans="1:39" x14ac:dyDescent="0.25">
      <c r="C9" s="395"/>
      <c r="D9" s="396" t="s">
        <v>3681</v>
      </c>
      <c r="E9" s="408">
        <v>2</v>
      </c>
      <c r="F9" s="88"/>
      <c r="G9" s="396" t="str">
        <f>IF($J$5=2,"VEHICLE REPAIRS :","")</f>
        <v/>
      </c>
      <c r="H9" s="429">
        <v>11</v>
      </c>
      <c r="I9" s="397"/>
    </row>
    <row r="10" spans="1:39" ht="6.75" customHeight="1" x14ac:dyDescent="0.25">
      <c r="C10" s="395"/>
      <c r="D10" s="396"/>
      <c r="E10" s="88"/>
      <c r="F10" s="88"/>
      <c r="G10" s="396"/>
      <c r="H10" s="88"/>
      <c r="I10" s="397"/>
    </row>
    <row r="11" spans="1:39" x14ac:dyDescent="0.25">
      <c r="C11" s="395"/>
      <c r="D11" s="396" t="s">
        <v>3653</v>
      </c>
      <c r="E11" s="408">
        <v>3</v>
      </c>
      <c r="F11" s="88"/>
      <c r="G11" s="396" t="str">
        <f>IF($J$5=2,"BLDG. MAINTENANCE :","")</f>
        <v/>
      </c>
      <c r="H11" s="429">
        <v>11</v>
      </c>
      <c r="I11" s="397"/>
    </row>
    <row r="12" spans="1:39" ht="6.75" customHeight="1" x14ac:dyDescent="0.25">
      <c r="C12" s="395"/>
      <c r="D12" s="396"/>
      <c r="E12" s="88"/>
      <c r="F12" s="88"/>
      <c r="G12" s="396"/>
      <c r="H12" s="88"/>
      <c r="I12" s="397"/>
    </row>
    <row r="13" spans="1:39" x14ac:dyDescent="0.25">
      <c r="C13" s="395"/>
      <c r="D13" s="396" t="s">
        <v>3654</v>
      </c>
      <c r="E13" s="408">
        <v>4</v>
      </c>
      <c r="F13" s="88"/>
      <c r="G13" s="396" t="str">
        <f>IF($J$5=2,"OFFICE SUPPLIES :","")</f>
        <v/>
      </c>
      <c r="H13" s="429">
        <v>11</v>
      </c>
      <c r="I13" s="397"/>
      <c r="K13" s="388"/>
    </row>
    <row r="14" spans="1:39" ht="6.75" customHeight="1" x14ac:dyDescent="0.25">
      <c r="C14" s="395"/>
      <c r="D14" s="396"/>
      <c r="E14" s="88"/>
      <c r="F14" s="88"/>
      <c r="G14" s="396"/>
      <c r="H14" s="88"/>
      <c r="I14" s="397"/>
    </row>
    <row r="15" spans="1:39" x14ac:dyDescent="0.25">
      <c r="C15" s="395"/>
      <c r="D15" s="396" t="s">
        <v>3655</v>
      </c>
      <c r="E15" s="408">
        <v>5</v>
      </c>
      <c r="F15" s="88"/>
      <c r="G15" s="396" t="str">
        <f>IF($J$5=2,"SEMINARS/MEETINGS :","")</f>
        <v/>
      </c>
      <c r="H15" s="429">
        <v>11</v>
      </c>
      <c r="I15" s="397"/>
    </row>
    <row r="16" spans="1:39" ht="6.75" customHeight="1" x14ac:dyDescent="0.25">
      <c r="C16" s="395"/>
      <c r="D16" s="396"/>
      <c r="E16" s="88"/>
      <c r="F16" s="88"/>
      <c r="G16" s="396"/>
      <c r="H16" s="88"/>
      <c r="I16" s="397"/>
    </row>
    <row r="17" spans="3:9" x14ac:dyDescent="0.25">
      <c r="C17" s="395"/>
      <c r="D17" s="396" t="s">
        <v>3656</v>
      </c>
      <c r="E17" s="408">
        <v>6</v>
      </c>
      <c r="F17" s="88"/>
      <c r="G17" s="396" t="str">
        <f>IF($J$5=2,"SOLICITATION :","")</f>
        <v/>
      </c>
      <c r="H17" s="429">
        <v>11</v>
      </c>
      <c r="I17" s="397"/>
    </row>
    <row r="18" spans="3:9" ht="6.75" customHeight="1" x14ac:dyDescent="0.25">
      <c r="C18" s="395"/>
      <c r="D18" s="396"/>
      <c r="E18" s="88"/>
      <c r="F18" s="88"/>
      <c r="G18" s="396"/>
      <c r="H18" s="88"/>
      <c r="I18" s="397"/>
    </row>
    <row r="19" spans="3:9" x14ac:dyDescent="0.25">
      <c r="C19" s="395"/>
      <c r="D19" s="396" t="s">
        <v>3660</v>
      </c>
      <c r="E19" s="408">
        <v>7</v>
      </c>
      <c r="F19" s="88"/>
      <c r="G19" s="396" t="str">
        <f>IF($J$5=2,"IN-KIND/INCENTIVES :","")</f>
        <v/>
      </c>
      <c r="H19" s="429">
        <v>11</v>
      </c>
      <c r="I19" s="397"/>
    </row>
    <row r="20" spans="3:9" ht="6.75" customHeight="1" x14ac:dyDescent="0.25">
      <c r="C20" s="395"/>
      <c r="D20" s="396"/>
      <c r="E20" s="88"/>
      <c r="F20" s="88"/>
      <c r="G20" s="396"/>
      <c r="H20" s="88"/>
      <c r="I20" s="397"/>
    </row>
    <row r="21" spans="3:9" x14ac:dyDescent="0.25">
      <c r="C21" s="395"/>
      <c r="D21" s="396" t="s">
        <v>3657</v>
      </c>
      <c r="E21" s="408">
        <v>8</v>
      </c>
      <c r="F21" s="88"/>
      <c r="G21" s="396" t="str">
        <f>IF($J$5=2,"VEHICLE RENEWAL :","")</f>
        <v/>
      </c>
      <c r="H21" s="429">
        <v>11</v>
      </c>
      <c r="I21" s="397"/>
    </row>
    <row r="22" spans="3:9" ht="6.75" customHeight="1" x14ac:dyDescent="0.25">
      <c r="C22" s="395"/>
      <c r="D22" s="396"/>
      <c r="E22" s="88"/>
      <c r="F22" s="88"/>
      <c r="G22" s="396"/>
      <c r="H22" s="88"/>
      <c r="I22" s="397"/>
    </row>
    <row r="23" spans="3:9" x14ac:dyDescent="0.25">
      <c r="C23" s="395"/>
      <c r="D23" s="396" t="s">
        <v>3658</v>
      </c>
      <c r="E23" s="408">
        <v>9</v>
      </c>
      <c r="F23" s="88"/>
      <c r="G23" s="396" t="str">
        <f>IF($J$5=2,"PERMIT RENEWAL :","")</f>
        <v/>
      </c>
      <c r="H23" s="429">
        <v>11</v>
      </c>
      <c r="I23" s="397"/>
    </row>
    <row r="24" spans="3:9" ht="6.75" customHeight="1" x14ac:dyDescent="0.25">
      <c r="C24" s="395"/>
      <c r="D24" s="396"/>
      <c r="E24" s="88"/>
      <c r="F24" s="88"/>
      <c r="G24" s="396"/>
      <c r="H24" s="88"/>
      <c r="I24" s="397"/>
    </row>
    <row r="25" spans="3:9" x14ac:dyDescent="0.25">
      <c r="C25" s="395"/>
      <c r="D25" s="396" t="s">
        <v>3712</v>
      </c>
      <c r="E25" s="408">
        <v>111</v>
      </c>
      <c r="F25" s="88"/>
      <c r="G25" s="396"/>
      <c r="H25" s="88"/>
      <c r="I25" s="397"/>
    </row>
    <row r="26" spans="3:9" ht="15.75" thickBot="1" x14ac:dyDescent="0.3">
      <c r="C26" s="398"/>
      <c r="D26" s="399"/>
      <c r="E26" s="400"/>
      <c r="F26" s="400"/>
      <c r="G26" s="399"/>
      <c r="H26" s="400"/>
      <c r="I26" s="401"/>
    </row>
  </sheetData>
  <sortState xmlns:xlrd2="http://schemas.microsoft.com/office/spreadsheetml/2017/richdata2" ref="D41:E59">
    <sortCondition ref="E41:E59"/>
  </sortState>
  <mergeCells count="1">
    <mergeCell ref="C1:I1"/>
  </mergeCells>
  <conditionalFormatting sqref="H7">
    <cfRule type="expression" dxfId="150" priority="10">
      <formula>$J$5=2</formula>
    </cfRule>
  </conditionalFormatting>
  <conditionalFormatting sqref="H23 H21 H19 H17 H15 H13 H11 H9">
    <cfRule type="expression" dxfId="149" priority="1">
      <formula>$J$5=2</formula>
    </cfRule>
  </conditionalFormatting>
  <dataValidations count="1">
    <dataValidation type="list" allowBlank="1" showInputMessage="1" showErrorMessage="1" prompt="---SELECT ONE---" sqref="H5" xr:uid="{8C4540BA-6794-4811-9C7B-3469C9F78CE4}">
      <formula1>"NONE, YES-SPECIFY"</formula1>
    </dataValidation>
  </dataValidations>
  <hyperlinks>
    <hyperlink ref="A1" location="MAIN_DASHBOARD!A1" display="&lt;&lt;&lt; BACK TO MAIN" xr:uid="{DC968904-A912-4378-AB7C-4773D7F3FF05}"/>
    <hyperlink ref="M7" location="ExpensesTable!A1" display="&gt;&gt;&gt; goto ExpensesTable" xr:uid="{9EE2BF05-8B17-43B8-A2A6-588318DADBC2}"/>
  </hyperlink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CBC55-C537-49FB-90C9-57F84E88304E}">
  <sheetPr codeName="Sheet16">
    <tabColor rgb="FFFFC000"/>
  </sheetPr>
  <dimension ref="A1:AS15"/>
  <sheetViews>
    <sheetView showGridLines="0" topLeftCell="C1" workbookViewId="0">
      <pane xSplit="20" ySplit="17" topLeftCell="W54" activePane="bottomRight" state="frozen"/>
      <selection activeCell="C1" sqref="C1"/>
      <selection pane="topRight" activeCell="W1" sqref="W1"/>
      <selection pane="bottomLeft" activeCell="C18" sqref="C18"/>
      <selection pane="bottomRight" activeCell="N21" sqref="N21"/>
    </sheetView>
  </sheetViews>
  <sheetFormatPr defaultRowHeight="15" x14ac:dyDescent="0.25"/>
  <cols>
    <col min="1" max="1" width="2.7109375" hidden="1" customWidth="1"/>
    <col min="2" max="2" width="5" hidden="1" customWidth="1"/>
    <col min="3" max="3" width="1.7109375" customWidth="1"/>
    <col min="5" max="5" width="17" customWidth="1"/>
    <col min="6" max="6" width="13.7109375" customWidth="1"/>
    <col min="8" max="8" width="10.140625" bestFit="1" customWidth="1"/>
    <col min="9" max="9" width="11.140625" customWidth="1"/>
    <col min="13" max="13" width="13.7109375" customWidth="1"/>
    <col min="14" max="16" width="6.140625" customWidth="1"/>
    <col min="18" max="22" width="9.140625" style="245"/>
    <col min="26" max="26" width="13.5703125" bestFit="1" customWidth="1"/>
    <col min="32" max="32" width="10.28515625" bestFit="1" customWidth="1"/>
    <col min="33" max="33" width="11.140625" bestFit="1" customWidth="1"/>
    <col min="34" max="34" width="7.140625" bestFit="1" customWidth="1"/>
    <col min="36" max="36" width="11.85546875" bestFit="1" customWidth="1"/>
    <col min="37" max="39" width="8.28515625" customWidth="1"/>
  </cols>
  <sheetData>
    <row r="1" spans="1:45" s="287" customFormat="1" x14ac:dyDescent="0.25">
      <c r="A1" s="286">
        <v>1</v>
      </c>
      <c r="B1" s="286">
        <v>2</v>
      </c>
      <c r="C1" s="286">
        <v>3</v>
      </c>
      <c r="D1" s="286">
        <v>4</v>
      </c>
      <c r="E1" s="286">
        <v>5</v>
      </c>
      <c r="F1" s="286">
        <v>6</v>
      </c>
      <c r="G1" s="286">
        <v>7</v>
      </c>
      <c r="H1" s="286">
        <v>8</v>
      </c>
      <c r="I1" s="286">
        <v>9</v>
      </c>
      <c r="J1" s="286">
        <v>10</v>
      </c>
      <c r="K1" s="286">
        <v>11</v>
      </c>
      <c r="L1" s="286">
        <v>12</v>
      </c>
      <c r="M1" s="286">
        <v>13</v>
      </c>
      <c r="N1" s="286">
        <v>14</v>
      </c>
      <c r="O1" s="286">
        <v>15</v>
      </c>
      <c r="P1" s="286">
        <v>16</v>
      </c>
      <c r="Q1" s="286">
        <v>17</v>
      </c>
      <c r="R1" s="286">
        <v>18</v>
      </c>
      <c r="S1" s="286">
        <v>19</v>
      </c>
      <c r="T1" s="286">
        <v>20</v>
      </c>
      <c r="U1" s="286">
        <v>21</v>
      </c>
      <c r="V1" s="286">
        <v>22</v>
      </c>
      <c r="W1" s="286">
        <v>23</v>
      </c>
      <c r="X1" s="286">
        <v>24</v>
      </c>
      <c r="Y1" s="286">
        <v>25</v>
      </c>
      <c r="Z1" s="286">
        <v>26</v>
      </c>
      <c r="AA1" s="286">
        <v>27</v>
      </c>
      <c r="AB1" s="286">
        <v>28</v>
      </c>
      <c r="AC1" s="286">
        <v>29</v>
      </c>
      <c r="AD1" s="286">
        <v>30</v>
      </c>
      <c r="AE1" s="286">
        <v>31</v>
      </c>
      <c r="AF1" s="286">
        <v>32</v>
      </c>
      <c r="AG1" s="286">
        <v>33</v>
      </c>
      <c r="AH1" s="286">
        <v>34</v>
      </c>
      <c r="AI1" s="286">
        <v>35</v>
      </c>
      <c r="AJ1" s="286">
        <v>36</v>
      </c>
      <c r="AK1" s="286">
        <v>37</v>
      </c>
      <c r="AL1" s="286">
        <v>38</v>
      </c>
      <c r="AM1" s="286">
        <v>39</v>
      </c>
      <c r="AN1" s="286">
        <v>40</v>
      </c>
      <c r="AO1" s="286">
        <v>41</v>
      </c>
      <c r="AP1" s="286">
        <v>42</v>
      </c>
      <c r="AQ1" s="286">
        <v>43</v>
      </c>
      <c r="AR1" s="286">
        <v>44</v>
      </c>
      <c r="AS1" s="286">
        <v>45</v>
      </c>
    </row>
    <row r="2" spans="1:45" ht="15.75" thickBot="1" x14ac:dyDescent="0.3">
      <c r="E2" s="581" t="s">
        <v>3651</v>
      </c>
      <c r="F2" s="581"/>
      <c r="R2" s="247"/>
      <c r="S2" s="247"/>
      <c r="T2" s="247"/>
      <c r="U2" s="247"/>
      <c r="V2" s="247"/>
    </row>
    <row r="3" spans="1:45" ht="21" customHeight="1" x14ac:dyDescent="0.25">
      <c r="D3" s="185"/>
      <c r="E3" s="585" t="s">
        <v>3561</v>
      </c>
      <c r="F3" s="586"/>
      <c r="AB3">
        <f>26-19</f>
        <v>7</v>
      </c>
    </row>
    <row r="4" spans="1:45" ht="25.5" customHeight="1" thickBot="1" x14ac:dyDescent="0.3">
      <c r="D4" s="247">
        <f>LARGE($D$8:$D$15,1)</f>
        <v>1004</v>
      </c>
      <c r="E4" s="247" t="str">
        <f>RIGHT($D$4,1)</f>
        <v>4</v>
      </c>
    </row>
    <row r="5" spans="1:45" x14ac:dyDescent="0.25">
      <c r="D5" s="599" t="s">
        <v>3593</v>
      </c>
      <c r="E5" s="600"/>
      <c r="F5" s="251" t="s">
        <v>3594</v>
      </c>
      <c r="G5" s="605" t="s">
        <v>3588</v>
      </c>
      <c r="H5" s="606"/>
      <c r="I5" s="606"/>
      <c r="J5" s="606"/>
      <c r="K5" s="606"/>
      <c r="L5" s="606"/>
      <c r="M5" s="607"/>
      <c r="N5" s="578" t="s">
        <v>3639</v>
      </c>
      <c r="O5" s="579"/>
      <c r="P5" s="580"/>
      <c r="Q5" s="582" t="s">
        <v>3592</v>
      </c>
      <c r="R5" s="583"/>
      <c r="S5" s="583"/>
      <c r="T5" s="583"/>
      <c r="U5" s="583"/>
      <c r="V5" s="584"/>
    </row>
    <row r="6" spans="1:45" ht="15" customHeight="1" x14ac:dyDescent="0.25">
      <c r="D6" s="597" t="s">
        <v>3551</v>
      </c>
      <c r="E6" s="589" t="s">
        <v>3559</v>
      </c>
      <c r="F6" s="587" t="s">
        <v>3614</v>
      </c>
      <c r="G6" s="612" t="s">
        <v>3585</v>
      </c>
      <c r="H6" s="610" t="s">
        <v>3586</v>
      </c>
      <c r="I6" s="601" t="s">
        <v>3587</v>
      </c>
      <c r="J6" s="601" t="s">
        <v>3595</v>
      </c>
      <c r="K6" s="610" t="s">
        <v>3596</v>
      </c>
      <c r="L6" s="601" t="s">
        <v>3597</v>
      </c>
      <c r="M6" s="603" t="s">
        <v>3615</v>
      </c>
      <c r="N6" s="614" t="s">
        <v>3629</v>
      </c>
      <c r="O6" s="618" t="s">
        <v>3632</v>
      </c>
      <c r="P6" s="616" t="s">
        <v>3630</v>
      </c>
      <c r="Q6" s="608" t="s">
        <v>3589</v>
      </c>
      <c r="R6" s="595" t="s">
        <v>3554</v>
      </c>
      <c r="S6" s="593" t="s">
        <v>3590</v>
      </c>
      <c r="T6" s="593" t="s">
        <v>3556</v>
      </c>
      <c r="U6" s="595" t="s">
        <v>3591</v>
      </c>
      <c r="V6" s="591" t="s">
        <v>3616</v>
      </c>
    </row>
    <row r="7" spans="1:45" ht="15.75" thickBot="1" x14ac:dyDescent="0.3">
      <c r="D7" s="598"/>
      <c r="E7" s="590"/>
      <c r="F7" s="588"/>
      <c r="G7" s="613"/>
      <c r="H7" s="611"/>
      <c r="I7" s="602"/>
      <c r="J7" s="602"/>
      <c r="K7" s="611"/>
      <c r="L7" s="602"/>
      <c r="M7" s="604"/>
      <c r="N7" s="615"/>
      <c r="O7" s="619"/>
      <c r="P7" s="617"/>
      <c r="Q7" s="609"/>
      <c r="R7" s="596"/>
      <c r="S7" s="594"/>
      <c r="T7" s="594"/>
      <c r="U7" s="596"/>
      <c r="V7" s="592"/>
      <c r="Z7" s="284" t="s">
        <v>3602</v>
      </c>
      <c r="AA7" s="284" t="s">
        <v>3551</v>
      </c>
      <c r="AB7" s="284" t="s">
        <v>3559</v>
      </c>
      <c r="AC7" s="284" t="s">
        <v>3603</v>
      </c>
      <c r="AD7" s="284" t="s">
        <v>3585</v>
      </c>
      <c r="AE7" s="284" t="s">
        <v>3604</v>
      </c>
      <c r="AF7" s="284" t="s">
        <v>3606</v>
      </c>
      <c r="AG7" s="284" t="s">
        <v>3601</v>
      </c>
      <c r="AH7" s="284" t="s">
        <v>3605</v>
      </c>
      <c r="AI7" s="284" t="s">
        <v>3607</v>
      </c>
      <c r="AJ7" s="284" t="s">
        <v>3608</v>
      </c>
      <c r="AK7" s="284" t="s">
        <v>3629</v>
      </c>
      <c r="AL7" s="284" t="s">
        <v>3632</v>
      </c>
      <c r="AM7" s="284" t="s">
        <v>3630</v>
      </c>
      <c r="AN7" s="284" t="s">
        <v>3609</v>
      </c>
      <c r="AO7" s="284" t="s">
        <v>3610</v>
      </c>
      <c r="AP7" s="284" t="s">
        <v>3611</v>
      </c>
      <c r="AQ7" s="284" t="s">
        <v>3556</v>
      </c>
      <c r="AR7" s="284" t="s">
        <v>3591</v>
      </c>
      <c r="AS7" s="284" t="s">
        <v>3612</v>
      </c>
    </row>
    <row r="8" spans="1:45" x14ac:dyDescent="0.25">
      <c r="D8" s="260">
        <f>IF(ISBLANK(EmpProfile!$M5),"",EmpProfile!$M5)</f>
        <v>1001</v>
      </c>
      <c r="E8" s="261" t="str">
        <f>IFERROR(INDEX(EmpProfileTable[First Name],MATCH($D8,EmpProfileTable[EmpIDNo],0)),"")</f>
        <v>ABEGAIL</v>
      </c>
      <c r="F8" s="266">
        <f>(M8-V8)+(SUM(N8:P8)*G8)</f>
        <v>600</v>
      </c>
      <c r="G8" s="267">
        <f>IFERROR(INDEX(EmpSalTable[Rate/Hour],MATCH($D8,EmpSalTable[EmpIDNo],0)),)</f>
        <v>75</v>
      </c>
      <c r="H8" s="370"/>
      <c r="I8" s="268">
        <f>G8*H8</f>
        <v>0</v>
      </c>
      <c r="J8" s="269">
        <f>IFERROR(INDEX(EmpSalTable[Rate/OT/Hr],MATCH($D8,EmpSalTable[EmpIDNo],0)),)</f>
        <v>80</v>
      </c>
      <c r="K8" s="370"/>
      <c r="L8" s="268">
        <f>J8*K8</f>
        <v>0</v>
      </c>
      <c r="M8" s="270">
        <f>I8+L8</f>
        <v>0</v>
      </c>
      <c r="N8" s="373">
        <v>8</v>
      </c>
      <c r="O8" s="374"/>
      <c r="P8" s="375"/>
      <c r="Q8" s="382"/>
      <c r="R8" s="383"/>
      <c r="S8" s="383"/>
      <c r="T8" s="383"/>
      <c r="U8" s="383"/>
      <c r="V8" s="281">
        <f>SUM(Q8:U8)</f>
        <v>0</v>
      </c>
      <c r="Z8" s="105" t="str">
        <f>IF($D8&lt;&gt;"",$E$3,"")</f>
        <v>JAN 1 - 15</v>
      </c>
      <c r="AA8" s="105">
        <f>IF($D8&lt;&gt;"",$D8,"")</f>
        <v>1001</v>
      </c>
      <c r="AB8" s="105" t="str">
        <f>IF($D8&lt;&gt;"",$E8,"")</f>
        <v>ABEGAIL</v>
      </c>
      <c r="AC8" s="105">
        <f>IF($D8&lt;&gt;"",$F8,"")</f>
        <v>600</v>
      </c>
      <c r="AD8" s="105">
        <f>IF($D8&lt;&gt;"",$G8,"")</f>
        <v>75</v>
      </c>
      <c r="AE8" s="105">
        <f>IF($D8&lt;&gt;"",$H8,"")</f>
        <v>0</v>
      </c>
      <c r="AF8" s="105">
        <f>IF($D8&lt;&gt;"",$I8,"")</f>
        <v>0</v>
      </c>
      <c r="AG8" s="105">
        <f>IF($D8&lt;&gt;"",$J8,"")</f>
        <v>80</v>
      </c>
      <c r="AH8" s="105">
        <f>IF($D8&lt;&gt;"",$K8,"")</f>
        <v>0</v>
      </c>
      <c r="AI8" s="105">
        <f>IF($D8&lt;&gt;"",$L8,"")</f>
        <v>0</v>
      </c>
      <c r="AJ8" s="105">
        <f>IF($D8&lt;&gt;"",$M8,"")</f>
        <v>0</v>
      </c>
      <c r="AK8" s="105">
        <f>IF($D8&lt;&gt;"",$N8,"")</f>
        <v>8</v>
      </c>
      <c r="AL8" s="105">
        <f>IF($D8&lt;&gt;"",$O8,"")</f>
        <v>0</v>
      </c>
      <c r="AM8" s="105">
        <f>IF($D8&lt;&gt;"",$P8,"")</f>
        <v>0</v>
      </c>
      <c r="AN8" s="105">
        <f>IF($D8&lt;&gt;"",$Q8,"")</f>
        <v>0</v>
      </c>
      <c r="AO8" s="105">
        <f>IF($D8&lt;&gt;"",$R8,"")</f>
        <v>0</v>
      </c>
      <c r="AP8" s="105">
        <f>IF($D8&lt;&gt;"",$S8,"")</f>
        <v>0</v>
      </c>
      <c r="AQ8" s="105">
        <f>IF($D8&lt;&gt;"",$T8,"")</f>
        <v>0</v>
      </c>
      <c r="AR8" s="105">
        <f>IF($D8&lt;&gt;"",$U8,"")</f>
        <v>0</v>
      </c>
      <c r="AS8" s="105">
        <f>IF($D8&lt;&gt;"",$V8,"")</f>
        <v>0</v>
      </c>
    </row>
    <row r="9" spans="1:45" x14ac:dyDescent="0.25">
      <c r="D9" s="262">
        <f>IF(ISBLANK(EmpProfile!$M6),"",EmpProfile!$M6)</f>
        <v>1002</v>
      </c>
      <c r="E9" s="263" t="str">
        <f>IFERROR(INDEX(EmpProfileTable[First Name],MATCH($D9,EmpProfileTable[EmpIDNo],0)),"")</f>
        <v>JOY</v>
      </c>
      <c r="F9" s="271">
        <f t="shared" ref="F9:F15" si="0">(M9-V9)+(SUM(N9:P9)*G9)</f>
        <v>500</v>
      </c>
      <c r="G9" s="272">
        <f>IFERROR(INDEX(EmpSalTable[Rate/Hour],MATCH($D9,EmpSalTable[EmpIDNo],0)),)</f>
        <v>62.5</v>
      </c>
      <c r="H9" s="371"/>
      <c r="I9" s="273">
        <f t="shared" ref="I9:I15" si="1">G9*H9</f>
        <v>0</v>
      </c>
      <c r="J9" s="274">
        <f>IFERROR(INDEX(EmpSalTable[Rate/OT/Hr],MATCH($D9,EmpSalTable[EmpIDNo],0)),)</f>
        <v>70</v>
      </c>
      <c r="K9" s="371"/>
      <c r="L9" s="273">
        <f t="shared" ref="L9:L15" si="2">J9*K9</f>
        <v>0</v>
      </c>
      <c r="M9" s="275">
        <f t="shared" ref="M9:M15" si="3">I9+L9</f>
        <v>0</v>
      </c>
      <c r="N9" s="376"/>
      <c r="O9" s="377">
        <v>8</v>
      </c>
      <c r="P9" s="378"/>
      <c r="Q9" s="384"/>
      <c r="R9" s="385"/>
      <c r="S9" s="385"/>
      <c r="T9" s="385"/>
      <c r="U9" s="385"/>
      <c r="V9" s="282">
        <f t="shared" ref="V9:V15" si="4">SUM(Q9:U9)</f>
        <v>0</v>
      </c>
      <c r="Z9" s="105" t="str">
        <f t="shared" ref="Z9:Z15" si="5">IF($D9&lt;&gt;"",$E$3,"")</f>
        <v>JAN 1 - 15</v>
      </c>
      <c r="AA9" s="105">
        <f t="shared" ref="AA9:AA15" si="6">IF($D9&lt;&gt;"",$D9,"")</f>
        <v>1002</v>
      </c>
      <c r="AB9" s="105" t="str">
        <f t="shared" ref="AB9:AB15" si="7">IF($D9&lt;&gt;"",$E9,"")</f>
        <v>JOY</v>
      </c>
      <c r="AC9" s="105">
        <f t="shared" ref="AC9:AC15" si="8">IF($D9&lt;&gt;"",$F9,"")</f>
        <v>500</v>
      </c>
      <c r="AD9" s="105">
        <f t="shared" ref="AD9:AD15" si="9">IF($D9&lt;&gt;"",$G9,"")</f>
        <v>62.5</v>
      </c>
      <c r="AE9" s="105">
        <f t="shared" ref="AE9:AE15" si="10">IF($D9&lt;&gt;"",$H9,"")</f>
        <v>0</v>
      </c>
      <c r="AF9" s="105">
        <f t="shared" ref="AF9:AF15" si="11">IF($D9&lt;&gt;"",$I9,"")</f>
        <v>0</v>
      </c>
      <c r="AG9" s="105">
        <f t="shared" ref="AG9:AG15" si="12">IF($D9&lt;&gt;"",$J9,"")</f>
        <v>70</v>
      </c>
      <c r="AH9" s="105">
        <f t="shared" ref="AH9:AH15" si="13">IF($D9&lt;&gt;"",$K9,"")</f>
        <v>0</v>
      </c>
      <c r="AI9" s="105">
        <f t="shared" ref="AI9:AI15" si="14">IF($D9&lt;&gt;"",$L9,"")</f>
        <v>0</v>
      </c>
      <c r="AJ9" s="105">
        <f t="shared" ref="AJ9:AJ15" si="15">IF($D9&lt;&gt;"",$M9,"")</f>
        <v>0</v>
      </c>
      <c r="AK9" s="105">
        <f t="shared" ref="AK9:AK15" si="16">IF($D9&lt;&gt;"",$N9,"")</f>
        <v>0</v>
      </c>
      <c r="AL9" s="105">
        <f t="shared" ref="AL9:AL15" si="17">IF($D9&lt;&gt;"",$O9,"")</f>
        <v>8</v>
      </c>
      <c r="AM9" s="105">
        <f t="shared" ref="AM9:AM15" si="18">IF($D9&lt;&gt;"",$P9,"")</f>
        <v>0</v>
      </c>
      <c r="AN9" s="105">
        <f t="shared" ref="AN9:AN15" si="19">IF($D9&lt;&gt;"",$Q9,"")</f>
        <v>0</v>
      </c>
      <c r="AO9" s="105">
        <f t="shared" ref="AO9:AO15" si="20">IF($D9&lt;&gt;"",$R9,"")</f>
        <v>0</v>
      </c>
      <c r="AP9" s="105">
        <f t="shared" ref="AP9:AP15" si="21">IF($D9&lt;&gt;"",$S9,"")</f>
        <v>0</v>
      </c>
      <c r="AQ9" s="105">
        <f t="shared" ref="AQ9:AQ15" si="22">IF($D9&lt;&gt;"",$T9,"")</f>
        <v>0</v>
      </c>
      <c r="AR9" s="105">
        <f t="shared" ref="AR9:AR15" si="23">IF($D9&lt;&gt;"",$U9,"")</f>
        <v>0</v>
      </c>
      <c r="AS9" s="105">
        <f t="shared" ref="AS9:AS15" si="24">IF($D9&lt;&gt;"",$V9,"")</f>
        <v>0</v>
      </c>
    </row>
    <row r="10" spans="1:45" x14ac:dyDescent="0.25">
      <c r="D10" s="262">
        <f>IF(ISBLANK(EmpProfile!$M7),"",EmpProfile!$M7)</f>
        <v>1003</v>
      </c>
      <c r="E10" s="263" t="str">
        <f>IFERROR(INDEX(EmpProfileTable[First Name],MATCH($D10,EmpProfileTable[EmpIDNo],0)),"")</f>
        <v>EUGENE</v>
      </c>
      <c r="F10" s="271">
        <f t="shared" si="0"/>
        <v>437.5</v>
      </c>
      <c r="G10" s="272">
        <f>IFERROR(INDEX(EmpSalTable[Rate/Hour],MATCH($D10,EmpSalTable[EmpIDNo],0)),)</f>
        <v>43.75</v>
      </c>
      <c r="H10" s="371"/>
      <c r="I10" s="273">
        <f t="shared" si="1"/>
        <v>0</v>
      </c>
      <c r="J10" s="274">
        <f>IFERROR(INDEX(EmpSalTable[Rate/OT/Hr],MATCH($D10,EmpSalTable[EmpIDNo],0)),)</f>
        <v>50</v>
      </c>
      <c r="K10" s="371"/>
      <c r="L10" s="273">
        <f t="shared" si="2"/>
        <v>0</v>
      </c>
      <c r="M10" s="275">
        <f t="shared" si="3"/>
        <v>0</v>
      </c>
      <c r="N10" s="376"/>
      <c r="O10" s="377"/>
      <c r="P10" s="378">
        <v>10</v>
      </c>
      <c r="Q10" s="384"/>
      <c r="R10" s="385"/>
      <c r="S10" s="385"/>
      <c r="T10" s="385"/>
      <c r="U10" s="385"/>
      <c r="V10" s="282">
        <f t="shared" si="4"/>
        <v>0</v>
      </c>
      <c r="Z10" s="105" t="str">
        <f t="shared" si="5"/>
        <v>JAN 1 - 15</v>
      </c>
      <c r="AA10" s="105">
        <f t="shared" si="6"/>
        <v>1003</v>
      </c>
      <c r="AB10" s="105" t="str">
        <f t="shared" si="7"/>
        <v>EUGENE</v>
      </c>
      <c r="AC10" s="105">
        <f t="shared" si="8"/>
        <v>437.5</v>
      </c>
      <c r="AD10" s="105">
        <f t="shared" si="9"/>
        <v>43.75</v>
      </c>
      <c r="AE10" s="105">
        <f t="shared" si="10"/>
        <v>0</v>
      </c>
      <c r="AF10" s="105">
        <f t="shared" si="11"/>
        <v>0</v>
      </c>
      <c r="AG10" s="105">
        <f t="shared" si="12"/>
        <v>50</v>
      </c>
      <c r="AH10" s="105">
        <f t="shared" si="13"/>
        <v>0</v>
      </c>
      <c r="AI10" s="105">
        <f t="shared" si="14"/>
        <v>0</v>
      </c>
      <c r="AJ10" s="105">
        <f t="shared" si="15"/>
        <v>0</v>
      </c>
      <c r="AK10" s="105">
        <f t="shared" si="16"/>
        <v>0</v>
      </c>
      <c r="AL10" s="105">
        <f t="shared" si="17"/>
        <v>0</v>
      </c>
      <c r="AM10" s="105">
        <f t="shared" si="18"/>
        <v>10</v>
      </c>
      <c r="AN10" s="105">
        <f t="shared" si="19"/>
        <v>0</v>
      </c>
      <c r="AO10" s="105">
        <f t="shared" si="20"/>
        <v>0</v>
      </c>
      <c r="AP10" s="105">
        <f t="shared" si="21"/>
        <v>0</v>
      </c>
      <c r="AQ10" s="105">
        <f t="shared" si="22"/>
        <v>0</v>
      </c>
      <c r="AR10" s="105">
        <f t="shared" si="23"/>
        <v>0</v>
      </c>
      <c r="AS10" s="105">
        <f t="shared" si="24"/>
        <v>0</v>
      </c>
    </row>
    <row r="11" spans="1:45" x14ac:dyDescent="0.25">
      <c r="D11" s="262">
        <f>IF(ISBLANK(EmpProfile!$M8),"",EmpProfile!$M8)</f>
        <v>1004</v>
      </c>
      <c r="E11" s="263" t="str">
        <f>IFERROR(INDEX(EmpProfileTable[First Name],MATCH($D11,EmpProfileTable[EmpIDNo],0)),"")</f>
        <v>MICHAEL</v>
      </c>
      <c r="F11" s="271">
        <f t="shared" si="0"/>
        <v>437.5</v>
      </c>
      <c r="G11" s="272">
        <f>IFERROR(INDEX(EmpSalTable[Rate/Hour],MATCH($D11,EmpSalTable[EmpIDNo],0)),)</f>
        <v>43.75</v>
      </c>
      <c r="H11" s="371"/>
      <c r="I11" s="273">
        <f t="shared" si="1"/>
        <v>0</v>
      </c>
      <c r="J11" s="274">
        <f>IFERROR(INDEX(EmpSalTable[Rate/OT/Hr],MATCH($D11,EmpSalTable[EmpIDNo],0)),)</f>
        <v>50</v>
      </c>
      <c r="K11" s="371"/>
      <c r="L11" s="273">
        <f t="shared" si="2"/>
        <v>0</v>
      </c>
      <c r="M11" s="275">
        <f t="shared" si="3"/>
        <v>0</v>
      </c>
      <c r="N11" s="376"/>
      <c r="O11" s="377"/>
      <c r="P11" s="378">
        <v>10</v>
      </c>
      <c r="Q11" s="384"/>
      <c r="R11" s="385"/>
      <c r="S11" s="385"/>
      <c r="T11" s="385"/>
      <c r="U11" s="385"/>
      <c r="V11" s="282">
        <f t="shared" si="4"/>
        <v>0</v>
      </c>
      <c r="Z11" s="105" t="str">
        <f t="shared" si="5"/>
        <v>JAN 1 - 15</v>
      </c>
      <c r="AA11" s="105">
        <f t="shared" si="6"/>
        <v>1004</v>
      </c>
      <c r="AB11" s="105" t="str">
        <f t="shared" si="7"/>
        <v>MICHAEL</v>
      </c>
      <c r="AC11" s="105">
        <f t="shared" si="8"/>
        <v>437.5</v>
      </c>
      <c r="AD11" s="105">
        <f t="shared" si="9"/>
        <v>43.75</v>
      </c>
      <c r="AE11" s="105">
        <f t="shared" si="10"/>
        <v>0</v>
      </c>
      <c r="AF11" s="105">
        <f t="shared" si="11"/>
        <v>0</v>
      </c>
      <c r="AG11" s="105">
        <f t="shared" si="12"/>
        <v>50</v>
      </c>
      <c r="AH11" s="105">
        <f t="shared" si="13"/>
        <v>0</v>
      </c>
      <c r="AI11" s="105">
        <f t="shared" si="14"/>
        <v>0</v>
      </c>
      <c r="AJ11" s="105">
        <f t="shared" si="15"/>
        <v>0</v>
      </c>
      <c r="AK11" s="105">
        <f t="shared" si="16"/>
        <v>0</v>
      </c>
      <c r="AL11" s="105">
        <f t="shared" si="17"/>
        <v>0</v>
      </c>
      <c r="AM11" s="105">
        <f t="shared" si="18"/>
        <v>10</v>
      </c>
      <c r="AN11" s="105">
        <f t="shared" si="19"/>
        <v>0</v>
      </c>
      <c r="AO11" s="105">
        <f t="shared" si="20"/>
        <v>0</v>
      </c>
      <c r="AP11" s="105">
        <f t="shared" si="21"/>
        <v>0</v>
      </c>
      <c r="AQ11" s="105">
        <f t="shared" si="22"/>
        <v>0</v>
      </c>
      <c r="AR11" s="105">
        <f t="shared" si="23"/>
        <v>0</v>
      </c>
      <c r="AS11" s="105">
        <f t="shared" si="24"/>
        <v>0</v>
      </c>
    </row>
    <row r="12" spans="1:45" x14ac:dyDescent="0.25">
      <c r="D12" s="262" t="str">
        <f>IF(ISBLANK(EmpProfile!$M9),"",EmpProfile!$M9)</f>
        <v/>
      </c>
      <c r="E12" s="263" t="str">
        <f>IFERROR(INDEX(EmpProfileTable[First Name],MATCH($D12,EmpProfileTable[EmpIDNo],0)),"")</f>
        <v/>
      </c>
      <c r="F12" s="271">
        <f t="shared" si="0"/>
        <v>0</v>
      </c>
      <c r="G12" s="272">
        <f>IFERROR(INDEX(EmpSalTable[Rate/Hour],MATCH($D12,EmpSalTable[EmpIDNo],0)),)</f>
        <v>0</v>
      </c>
      <c r="H12" s="371"/>
      <c r="I12" s="273">
        <f t="shared" si="1"/>
        <v>0</v>
      </c>
      <c r="J12" s="274">
        <f>IFERROR(INDEX(EmpSalTable[Rate/OT/Hr],MATCH($D12,EmpSalTable[EmpIDNo],0)),)</f>
        <v>0</v>
      </c>
      <c r="K12" s="371"/>
      <c r="L12" s="273">
        <f t="shared" si="2"/>
        <v>0</v>
      </c>
      <c r="M12" s="275">
        <f t="shared" si="3"/>
        <v>0</v>
      </c>
      <c r="N12" s="376"/>
      <c r="O12" s="377"/>
      <c r="P12" s="378"/>
      <c r="Q12" s="384"/>
      <c r="R12" s="385"/>
      <c r="S12" s="385"/>
      <c r="T12" s="385"/>
      <c r="U12" s="385"/>
      <c r="V12" s="282">
        <f t="shared" si="4"/>
        <v>0</v>
      </c>
      <c r="Z12" s="105" t="str">
        <f t="shared" si="5"/>
        <v/>
      </c>
      <c r="AA12" s="105" t="str">
        <f t="shared" si="6"/>
        <v/>
      </c>
      <c r="AB12" s="105" t="str">
        <f t="shared" si="7"/>
        <v/>
      </c>
      <c r="AC12" s="105" t="str">
        <f t="shared" si="8"/>
        <v/>
      </c>
      <c r="AD12" s="105" t="str">
        <f t="shared" si="9"/>
        <v/>
      </c>
      <c r="AE12" s="105" t="str">
        <f t="shared" si="10"/>
        <v/>
      </c>
      <c r="AF12" s="105" t="str">
        <f t="shared" si="11"/>
        <v/>
      </c>
      <c r="AG12" s="105" t="str">
        <f t="shared" si="12"/>
        <v/>
      </c>
      <c r="AH12" s="105" t="str">
        <f t="shared" si="13"/>
        <v/>
      </c>
      <c r="AI12" s="105" t="str">
        <f t="shared" si="14"/>
        <v/>
      </c>
      <c r="AJ12" s="105" t="str">
        <f t="shared" si="15"/>
        <v/>
      </c>
      <c r="AK12" s="105" t="str">
        <f t="shared" si="16"/>
        <v/>
      </c>
      <c r="AL12" s="105" t="str">
        <f t="shared" si="17"/>
        <v/>
      </c>
      <c r="AM12" s="105" t="str">
        <f t="shared" si="18"/>
        <v/>
      </c>
      <c r="AN12" s="105" t="str">
        <f t="shared" si="19"/>
        <v/>
      </c>
      <c r="AO12" s="105" t="str">
        <f t="shared" si="20"/>
        <v/>
      </c>
      <c r="AP12" s="105" t="str">
        <f t="shared" si="21"/>
        <v/>
      </c>
      <c r="AQ12" s="105" t="str">
        <f t="shared" si="22"/>
        <v/>
      </c>
      <c r="AR12" s="105" t="str">
        <f t="shared" si="23"/>
        <v/>
      </c>
      <c r="AS12" s="105" t="str">
        <f t="shared" si="24"/>
        <v/>
      </c>
    </row>
    <row r="13" spans="1:45" x14ac:dyDescent="0.25">
      <c r="D13" s="262" t="str">
        <f>IF(ISBLANK(EmpProfile!$M10),"",EmpProfile!$M10)</f>
        <v/>
      </c>
      <c r="E13" s="263" t="str">
        <f>IFERROR(INDEX(EmpProfileTable[First Name],MATCH($D13,EmpProfileTable[EmpIDNo],0)),"")</f>
        <v/>
      </c>
      <c r="F13" s="271">
        <f t="shared" si="0"/>
        <v>0</v>
      </c>
      <c r="G13" s="272">
        <f>IFERROR(INDEX(EmpSalTable[Rate/Hour],MATCH($D13,EmpSalTable[EmpIDNo],0)),)</f>
        <v>0</v>
      </c>
      <c r="H13" s="371"/>
      <c r="I13" s="273">
        <f t="shared" si="1"/>
        <v>0</v>
      </c>
      <c r="J13" s="274">
        <f>IFERROR(INDEX(EmpSalTable[Rate/OT/Hr],MATCH($D13,EmpSalTable[EmpIDNo],0)),)</f>
        <v>0</v>
      </c>
      <c r="K13" s="371"/>
      <c r="L13" s="273">
        <f t="shared" si="2"/>
        <v>0</v>
      </c>
      <c r="M13" s="275">
        <f t="shared" si="3"/>
        <v>0</v>
      </c>
      <c r="N13" s="376"/>
      <c r="O13" s="377"/>
      <c r="P13" s="378"/>
      <c r="Q13" s="384"/>
      <c r="R13" s="385"/>
      <c r="S13" s="385"/>
      <c r="T13" s="385"/>
      <c r="U13" s="385"/>
      <c r="V13" s="282">
        <f t="shared" si="4"/>
        <v>0</v>
      </c>
      <c r="Z13" s="105" t="str">
        <f t="shared" si="5"/>
        <v/>
      </c>
      <c r="AA13" s="105" t="str">
        <f t="shared" si="6"/>
        <v/>
      </c>
      <c r="AB13" s="105" t="str">
        <f t="shared" si="7"/>
        <v/>
      </c>
      <c r="AC13" s="105" t="str">
        <f t="shared" si="8"/>
        <v/>
      </c>
      <c r="AD13" s="105" t="str">
        <f t="shared" si="9"/>
        <v/>
      </c>
      <c r="AE13" s="105" t="str">
        <f t="shared" si="10"/>
        <v/>
      </c>
      <c r="AF13" s="105" t="str">
        <f t="shared" si="11"/>
        <v/>
      </c>
      <c r="AG13" s="105" t="str">
        <f t="shared" si="12"/>
        <v/>
      </c>
      <c r="AH13" s="105" t="str">
        <f t="shared" si="13"/>
        <v/>
      </c>
      <c r="AI13" s="105" t="str">
        <f t="shared" si="14"/>
        <v/>
      </c>
      <c r="AJ13" s="105" t="str">
        <f t="shared" si="15"/>
        <v/>
      </c>
      <c r="AK13" s="105" t="str">
        <f t="shared" si="16"/>
        <v/>
      </c>
      <c r="AL13" s="105" t="str">
        <f t="shared" si="17"/>
        <v/>
      </c>
      <c r="AM13" s="105" t="str">
        <f t="shared" si="18"/>
        <v/>
      </c>
      <c r="AN13" s="105" t="str">
        <f t="shared" si="19"/>
        <v/>
      </c>
      <c r="AO13" s="105" t="str">
        <f t="shared" si="20"/>
        <v/>
      </c>
      <c r="AP13" s="105" t="str">
        <f t="shared" si="21"/>
        <v/>
      </c>
      <c r="AQ13" s="105" t="str">
        <f t="shared" si="22"/>
        <v/>
      </c>
      <c r="AR13" s="105" t="str">
        <f t="shared" si="23"/>
        <v/>
      </c>
      <c r="AS13" s="105" t="str">
        <f t="shared" si="24"/>
        <v/>
      </c>
    </row>
    <row r="14" spans="1:45" x14ac:dyDescent="0.25">
      <c r="D14" s="262" t="str">
        <f>IF(ISBLANK(EmpProfile!$M11),"",EmpProfile!$M11)</f>
        <v/>
      </c>
      <c r="E14" s="263" t="str">
        <f>IFERROR(INDEX(EmpProfileTable[First Name],MATCH($D14,EmpProfileTable[EmpIDNo],0)),"")</f>
        <v/>
      </c>
      <c r="F14" s="271">
        <f t="shared" si="0"/>
        <v>0</v>
      </c>
      <c r="G14" s="272">
        <f>IFERROR(INDEX(EmpSalTable[Rate/Hour],MATCH($D14,EmpSalTable[EmpIDNo],0)),)</f>
        <v>0</v>
      </c>
      <c r="H14" s="371"/>
      <c r="I14" s="273">
        <f t="shared" si="1"/>
        <v>0</v>
      </c>
      <c r="J14" s="274">
        <f>IFERROR(INDEX(EmpSalTable[Rate/OT/Hr],MATCH($D14,EmpSalTable[EmpIDNo],0)),)</f>
        <v>0</v>
      </c>
      <c r="K14" s="371"/>
      <c r="L14" s="273">
        <f t="shared" si="2"/>
        <v>0</v>
      </c>
      <c r="M14" s="275">
        <f t="shared" si="3"/>
        <v>0</v>
      </c>
      <c r="N14" s="376"/>
      <c r="O14" s="377"/>
      <c r="P14" s="378"/>
      <c r="Q14" s="384"/>
      <c r="R14" s="385"/>
      <c r="S14" s="385"/>
      <c r="T14" s="385"/>
      <c r="U14" s="385"/>
      <c r="V14" s="282">
        <f t="shared" si="4"/>
        <v>0</v>
      </c>
      <c r="Z14" s="105" t="str">
        <f t="shared" si="5"/>
        <v/>
      </c>
      <c r="AA14" s="105" t="str">
        <f t="shared" si="6"/>
        <v/>
      </c>
      <c r="AB14" s="105" t="str">
        <f t="shared" si="7"/>
        <v/>
      </c>
      <c r="AC14" s="105" t="str">
        <f t="shared" si="8"/>
        <v/>
      </c>
      <c r="AD14" s="105" t="str">
        <f t="shared" si="9"/>
        <v/>
      </c>
      <c r="AE14" s="105" t="str">
        <f t="shared" si="10"/>
        <v/>
      </c>
      <c r="AF14" s="105" t="str">
        <f t="shared" si="11"/>
        <v/>
      </c>
      <c r="AG14" s="105" t="str">
        <f t="shared" si="12"/>
        <v/>
      </c>
      <c r="AH14" s="105" t="str">
        <f t="shared" si="13"/>
        <v/>
      </c>
      <c r="AI14" s="105" t="str">
        <f t="shared" si="14"/>
        <v/>
      </c>
      <c r="AJ14" s="105" t="str">
        <f t="shared" si="15"/>
        <v/>
      </c>
      <c r="AK14" s="105" t="str">
        <f t="shared" si="16"/>
        <v/>
      </c>
      <c r="AL14" s="105" t="str">
        <f t="shared" si="17"/>
        <v/>
      </c>
      <c r="AM14" s="105" t="str">
        <f t="shared" si="18"/>
        <v/>
      </c>
      <c r="AN14" s="105" t="str">
        <f t="shared" si="19"/>
        <v/>
      </c>
      <c r="AO14" s="105" t="str">
        <f t="shared" si="20"/>
        <v/>
      </c>
      <c r="AP14" s="105" t="str">
        <f t="shared" si="21"/>
        <v/>
      </c>
      <c r="AQ14" s="105" t="str">
        <f t="shared" si="22"/>
        <v/>
      </c>
      <c r="AR14" s="105" t="str">
        <f t="shared" si="23"/>
        <v/>
      </c>
      <c r="AS14" s="105" t="str">
        <f t="shared" si="24"/>
        <v/>
      </c>
    </row>
    <row r="15" spans="1:45" ht="15.75" thickBot="1" x14ac:dyDescent="0.3">
      <c r="D15" s="264"/>
      <c r="E15" s="265" t="str">
        <f>IFERROR(INDEX(EmpProfileTable[First Name],MATCH($D15,EmpProfileTable[EmpIDNo],0)),"")</f>
        <v/>
      </c>
      <c r="F15" s="276">
        <f t="shared" si="0"/>
        <v>0</v>
      </c>
      <c r="G15" s="277">
        <f>IFERROR(INDEX(EmpSalTable[Rate/Hour],MATCH($D15,EmpSalTable[EmpIDNo],0)),)</f>
        <v>0</v>
      </c>
      <c r="H15" s="372"/>
      <c r="I15" s="278">
        <f t="shared" si="1"/>
        <v>0</v>
      </c>
      <c r="J15" s="279">
        <f>IFERROR(INDEX(EmpSalTable[Rate/OT/Hr],MATCH($D15,EmpSalTable[EmpIDNo],0)),)</f>
        <v>0</v>
      </c>
      <c r="K15" s="372"/>
      <c r="L15" s="278">
        <f t="shared" si="2"/>
        <v>0</v>
      </c>
      <c r="M15" s="280">
        <f t="shared" si="3"/>
        <v>0</v>
      </c>
      <c r="N15" s="379"/>
      <c r="O15" s="380"/>
      <c r="P15" s="381"/>
      <c r="Q15" s="386"/>
      <c r="R15" s="387"/>
      <c r="S15" s="387"/>
      <c r="T15" s="387"/>
      <c r="U15" s="387"/>
      <c r="V15" s="283">
        <f t="shared" si="4"/>
        <v>0</v>
      </c>
      <c r="Z15" s="105" t="str">
        <f t="shared" si="5"/>
        <v/>
      </c>
      <c r="AA15" s="105" t="str">
        <f t="shared" si="6"/>
        <v/>
      </c>
      <c r="AB15" s="105" t="str">
        <f t="shared" si="7"/>
        <v/>
      </c>
      <c r="AC15" s="105" t="str">
        <f t="shared" si="8"/>
        <v/>
      </c>
      <c r="AD15" s="105" t="str">
        <f t="shared" si="9"/>
        <v/>
      </c>
      <c r="AE15" s="105" t="str">
        <f t="shared" si="10"/>
        <v/>
      </c>
      <c r="AF15" s="105" t="str">
        <f t="shared" si="11"/>
        <v/>
      </c>
      <c r="AG15" s="105" t="str">
        <f t="shared" si="12"/>
        <v/>
      </c>
      <c r="AH15" s="105" t="str">
        <f t="shared" si="13"/>
        <v/>
      </c>
      <c r="AI15" s="105" t="str">
        <f t="shared" si="14"/>
        <v/>
      </c>
      <c r="AJ15" s="105" t="str">
        <f t="shared" si="15"/>
        <v/>
      </c>
      <c r="AK15" s="105" t="str">
        <f t="shared" si="16"/>
        <v/>
      </c>
      <c r="AL15" s="105" t="str">
        <f t="shared" si="17"/>
        <v/>
      </c>
      <c r="AM15" s="105" t="str">
        <f t="shared" si="18"/>
        <v/>
      </c>
      <c r="AN15" s="105" t="str">
        <f t="shared" si="19"/>
        <v/>
      </c>
      <c r="AO15" s="105" t="str">
        <f t="shared" si="20"/>
        <v/>
      </c>
      <c r="AP15" s="105" t="str">
        <f t="shared" si="21"/>
        <v/>
      </c>
      <c r="AQ15" s="105" t="str">
        <f t="shared" si="22"/>
        <v/>
      </c>
      <c r="AR15" s="105" t="str">
        <f t="shared" si="23"/>
        <v/>
      </c>
      <c r="AS15" s="105" t="str">
        <f t="shared" si="24"/>
        <v/>
      </c>
    </row>
  </sheetData>
  <sheetProtection sheet="1" objects="1" scenarios="1"/>
  <mergeCells count="25">
    <mergeCell ref="D6:D7"/>
    <mergeCell ref="U6:U7"/>
    <mergeCell ref="D5:E5"/>
    <mergeCell ref="L6:L7"/>
    <mergeCell ref="M6:M7"/>
    <mergeCell ref="G5:M5"/>
    <mergeCell ref="Q6:Q7"/>
    <mergeCell ref="J6:J7"/>
    <mergeCell ref="H6:H7"/>
    <mergeCell ref="G6:G7"/>
    <mergeCell ref="K6:K7"/>
    <mergeCell ref="I6:I7"/>
    <mergeCell ref="N6:N7"/>
    <mergeCell ref="P6:P7"/>
    <mergeCell ref="O6:O7"/>
    <mergeCell ref="T6:T7"/>
    <mergeCell ref="N5:P5"/>
    <mergeCell ref="E2:F2"/>
    <mergeCell ref="Q5:V5"/>
    <mergeCell ref="E3:F3"/>
    <mergeCell ref="F6:F7"/>
    <mergeCell ref="E6:E7"/>
    <mergeCell ref="V6:V7"/>
    <mergeCell ref="S6:S7"/>
    <mergeCell ref="R6:R7"/>
  </mergeCells>
  <phoneticPr fontId="8" type="noConversion"/>
  <dataValidations count="1">
    <dataValidation type="list" allowBlank="1" showInputMessage="1" showErrorMessage="1" sqref="E3:F3" xr:uid="{1231C054-DF61-4EA2-BBA4-A600F72E67D0}">
      <formula1>INDIRECT("PayrollDateTable[PayrollDate]")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C07C4-01E6-455B-8E3C-0B6009F18D3B}">
  <sheetPr codeName="Sheet20"/>
  <dimension ref="A1:AD6"/>
  <sheetViews>
    <sheetView workbookViewId="0">
      <selection activeCell="D2" sqref="D2"/>
    </sheetView>
  </sheetViews>
  <sheetFormatPr defaultRowHeight="15" x14ac:dyDescent="0.25"/>
  <cols>
    <col min="1" max="3" width="2.7109375" customWidth="1"/>
    <col min="4" max="11" width="19.5703125" style="43" customWidth="1"/>
    <col min="12" max="12" width="19.85546875" style="43" customWidth="1"/>
    <col min="13" max="17" width="19.5703125" style="43" customWidth="1"/>
    <col min="18" max="18" width="22.7109375" style="43" customWidth="1"/>
    <col min="19" max="19" width="19.5703125" style="43" customWidth="1"/>
    <col min="20" max="20" width="23" style="43" customWidth="1"/>
    <col min="21" max="21" width="19.5703125" style="43" customWidth="1"/>
    <col min="22" max="22" width="21.5703125" style="43" customWidth="1"/>
    <col min="23" max="23" width="19.85546875" style="43" customWidth="1"/>
    <col min="24" max="24" width="19.5703125" style="43" customWidth="1"/>
    <col min="25" max="27" width="10.85546875" style="43" customWidth="1"/>
  </cols>
  <sheetData>
    <row r="1" spans="1:3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</row>
    <row r="2" spans="1:30" x14ac:dyDescent="0.25">
      <c r="D2" s="426" t="s">
        <v>3771</v>
      </c>
      <c r="F2" s="426" t="s">
        <v>3804</v>
      </c>
    </row>
    <row r="3" spans="1:30" x14ac:dyDescent="0.25">
      <c r="D3" s="405">
        <f>COUNTA(ExpensesTable[[DATE ]])</f>
        <v>2</v>
      </c>
    </row>
    <row r="4" spans="1:30" x14ac:dyDescent="0.25">
      <c r="D4" s="43" t="s">
        <v>3662</v>
      </c>
      <c r="E4" s="43" t="s">
        <v>3663</v>
      </c>
      <c r="F4" s="43" t="s">
        <v>3664</v>
      </c>
      <c r="G4" s="43" t="s">
        <v>3665</v>
      </c>
      <c r="H4" s="43" t="s">
        <v>3666</v>
      </c>
      <c r="I4" s="43" t="s">
        <v>3667</v>
      </c>
      <c r="J4" s="43" t="s">
        <v>3668</v>
      </c>
      <c r="K4" s="43" t="s">
        <v>3669</v>
      </c>
      <c r="L4" s="43" t="s">
        <v>3670</v>
      </c>
      <c r="M4" s="43" t="s">
        <v>3671</v>
      </c>
      <c r="N4" s="43" t="s">
        <v>3713</v>
      </c>
      <c r="O4" s="43" t="s">
        <v>3672</v>
      </c>
      <c r="P4" s="43" t="s">
        <v>3673</v>
      </c>
      <c r="Q4" s="43" t="s">
        <v>3674</v>
      </c>
      <c r="R4" s="43" t="s">
        <v>3675</v>
      </c>
      <c r="S4" s="43" t="s">
        <v>3676</v>
      </c>
      <c r="T4" s="43" t="s">
        <v>3677</v>
      </c>
      <c r="U4" s="43" t="s">
        <v>3678</v>
      </c>
      <c r="V4" s="43" t="s">
        <v>3714</v>
      </c>
      <c r="W4" s="43" t="s">
        <v>3679</v>
      </c>
      <c r="X4" s="43" t="s">
        <v>3680</v>
      </c>
      <c r="Y4" s="43" t="s">
        <v>3710</v>
      </c>
      <c r="Z4" s="43" t="s">
        <v>3410</v>
      </c>
      <c r="AA4" s="43" t="s">
        <v>3411</v>
      </c>
      <c r="AB4" s="43" t="s">
        <v>3793</v>
      </c>
      <c r="AC4" s="43" t="s">
        <v>3810</v>
      </c>
      <c r="AD4" s="43" t="s">
        <v>3811</v>
      </c>
    </row>
    <row r="5" spans="1:30" x14ac:dyDescent="0.25">
      <c r="D5" s="407">
        <v>45321</v>
      </c>
      <c r="E5" s="43">
        <v>1</v>
      </c>
      <c r="F5" s="43">
        <v>2</v>
      </c>
      <c r="G5" s="43">
        <v>3</v>
      </c>
      <c r="H5" s="43">
        <v>4</v>
      </c>
      <c r="I5" s="43">
        <v>5</v>
      </c>
      <c r="J5" s="43">
        <v>6</v>
      </c>
      <c r="K5" s="43">
        <v>7</v>
      </c>
      <c r="L5" s="43">
        <v>8</v>
      </c>
      <c r="M5" s="43">
        <v>9</v>
      </c>
      <c r="N5" s="406"/>
      <c r="O5" s="43" t="s">
        <v>3661</v>
      </c>
      <c r="P5" s="43">
        <v>11</v>
      </c>
      <c r="Q5" s="43">
        <v>1</v>
      </c>
      <c r="R5" s="43">
        <v>1</v>
      </c>
      <c r="S5" s="43">
        <v>1</v>
      </c>
      <c r="T5" s="43">
        <v>2</v>
      </c>
      <c r="U5" s="43">
        <v>3</v>
      </c>
      <c r="V5" s="412">
        <v>4</v>
      </c>
      <c r="W5" s="43">
        <v>5</v>
      </c>
      <c r="X5" s="43">
        <v>6</v>
      </c>
      <c r="Y5" s="43">
        <v>2024</v>
      </c>
      <c r="Z5" s="43">
        <v>2</v>
      </c>
      <c r="AA5" s="43">
        <v>30</v>
      </c>
      <c r="AB5" s="43">
        <v>45321</v>
      </c>
      <c r="AC5" s="43">
        <v>75</v>
      </c>
      <c r="AD5" s="43">
        <v>76</v>
      </c>
    </row>
    <row r="6" spans="1:30" x14ac:dyDescent="0.25">
      <c r="D6" s="407">
        <v>45320</v>
      </c>
      <c r="E6" s="43">
        <v>1</v>
      </c>
      <c r="F6" s="43">
        <v>2</v>
      </c>
      <c r="G6" s="43">
        <v>3</v>
      </c>
      <c r="H6" s="43">
        <v>4</v>
      </c>
      <c r="I6" s="43">
        <v>5</v>
      </c>
      <c r="J6" s="43">
        <v>6</v>
      </c>
      <c r="K6" s="43">
        <v>7</v>
      </c>
      <c r="L6" s="43">
        <v>8</v>
      </c>
      <c r="M6" s="43">
        <v>9</v>
      </c>
      <c r="N6" s="43">
        <v>111</v>
      </c>
      <c r="O6" s="43" t="s">
        <v>3661</v>
      </c>
      <c r="P6" s="43">
        <v>11</v>
      </c>
      <c r="Q6" s="43">
        <v>11</v>
      </c>
      <c r="R6" s="43">
        <v>11</v>
      </c>
      <c r="S6" s="43">
        <v>11</v>
      </c>
      <c r="T6" s="43">
        <v>11</v>
      </c>
      <c r="U6" s="43">
        <v>11</v>
      </c>
      <c r="V6" s="412">
        <v>11</v>
      </c>
      <c r="W6" s="43">
        <v>11</v>
      </c>
      <c r="X6" s="43">
        <v>11</v>
      </c>
      <c r="Y6" s="43">
        <v>2024</v>
      </c>
      <c r="Z6" s="43">
        <v>1</v>
      </c>
      <c r="AA6" s="43">
        <v>29</v>
      </c>
      <c r="AB6" s="43">
        <v>45320</v>
      </c>
      <c r="AC6" s="43">
        <v>254</v>
      </c>
      <c r="AD6" s="43">
        <v>255</v>
      </c>
    </row>
  </sheetData>
  <phoneticPr fontId="8" type="noConversion"/>
  <hyperlinks>
    <hyperlink ref="D2" location="MAIN_DASHBOARD!A1" display="&lt;&lt;&lt; BACK TO MAIN" xr:uid="{6908B38E-E9CF-40AD-B483-60FBC944C5CF}"/>
    <hyperlink ref="F2" location="ExpensesMenu!A1" display="&lt;&lt; BACK TO EXPENSE MENU" xr:uid="{6614496B-FDCA-4A12-99F9-A664464A0DDB}"/>
  </hyperlink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9CEB5-04E2-49EE-956A-A634B7B3F2B7}">
  <sheetPr codeName="Sheet14"/>
  <dimension ref="A1:AF7"/>
  <sheetViews>
    <sheetView workbookViewId="0">
      <selection activeCell="D2" sqref="D2"/>
    </sheetView>
  </sheetViews>
  <sheetFormatPr defaultRowHeight="15" x14ac:dyDescent="0.25"/>
  <cols>
    <col min="5" max="5" width="13.140625" customWidth="1"/>
    <col min="6" max="6" width="15.42578125" customWidth="1"/>
    <col min="7" max="7" width="12.140625" customWidth="1"/>
    <col min="8" max="8" width="11.7109375" customWidth="1"/>
    <col min="9" max="9" width="13.42578125" customWidth="1"/>
    <col min="10" max="10" width="16.85546875" customWidth="1"/>
    <col min="11" max="11" width="14.7109375" customWidth="1"/>
    <col min="12" max="12" width="16.85546875" customWidth="1"/>
    <col min="13" max="13" width="14.7109375" customWidth="1"/>
    <col min="14" max="14" width="16.85546875" customWidth="1"/>
    <col min="15" max="15" width="14.7109375" customWidth="1"/>
    <col min="16" max="16" width="16.85546875" customWidth="1"/>
    <col min="17" max="17" width="14.7109375" customWidth="1"/>
    <col min="18" max="18" width="16.85546875" customWidth="1"/>
    <col min="19" max="19" width="14.7109375" customWidth="1"/>
    <col min="20" max="20" width="16.85546875" customWidth="1"/>
    <col min="21" max="21" width="14.7109375" customWidth="1"/>
    <col min="22" max="22" width="16.85546875" customWidth="1"/>
    <col min="23" max="23" width="14.7109375" customWidth="1"/>
    <col min="24" max="24" width="11.5703125" customWidth="1"/>
    <col min="25" max="25" width="14.28515625" customWidth="1"/>
    <col min="26" max="26" width="14.85546875" customWidth="1"/>
    <col min="28" max="28" width="12.7109375" customWidth="1"/>
    <col min="30" max="30" width="10.140625" customWidth="1"/>
  </cols>
  <sheetData>
    <row r="1" spans="1:3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</row>
    <row r="2" spans="1:32" x14ac:dyDescent="0.25">
      <c r="D2" s="369" t="s">
        <v>3771</v>
      </c>
      <c r="G2" s="369" t="s">
        <v>3805</v>
      </c>
    </row>
    <row r="3" spans="1:32" x14ac:dyDescent="0.25">
      <c r="D3">
        <f>COUNTA(CashSalesTable[[DATE ]])</f>
        <v>3</v>
      </c>
    </row>
    <row r="4" spans="1:32" x14ac:dyDescent="0.25">
      <c r="D4" t="s">
        <v>3662</v>
      </c>
      <c r="E4" t="s">
        <v>3754</v>
      </c>
      <c r="F4" t="s">
        <v>3755</v>
      </c>
      <c r="G4" t="s">
        <v>3756</v>
      </c>
      <c r="H4" t="s">
        <v>3407</v>
      </c>
      <c r="I4" t="s">
        <v>3745</v>
      </c>
      <c r="J4" t="s">
        <v>3746</v>
      </c>
      <c r="K4" t="s">
        <v>3758</v>
      </c>
      <c r="L4" t="s">
        <v>3747</v>
      </c>
      <c r="M4" t="s">
        <v>3759</v>
      </c>
      <c r="N4" t="s">
        <v>3748</v>
      </c>
      <c r="O4" t="s">
        <v>3760</v>
      </c>
      <c r="P4" t="s">
        <v>3749</v>
      </c>
      <c r="Q4" t="s">
        <v>3761</v>
      </c>
      <c r="R4" t="s">
        <v>3750</v>
      </c>
      <c r="S4" t="s">
        <v>3762</v>
      </c>
      <c r="T4" t="s">
        <v>3751</v>
      </c>
      <c r="U4" t="s">
        <v>3763</v>
      </c>
      <c r="V4" t="s">
        <v>3752</v>
      </c>
      <c r="W4" t="s">
        <v>3764</v>
      </c>
      <c r="X4" t="s">
        <v>3757</v>
      </c>
      <c r="Y4" t="s">
        <v>3753</v>
      </c>
      <c r="Z4" t="s">
        <v>3765</v>
      </c>
      <c r="AA4" t="s">
        <v>3766</v>
      </c>
      <c r="AB4" t="s">
        <v>3767</v>
      </c>
      <c r="AC4" t="s">
        <v>3409</v>
      </c>
      <c r="AD4" t="s">
        <v>3410</v>
      </c>
      <c r="AE4" t="s">
        <v>3411</v>
      </c>
      <c r="AF4" t="s">
        <v>3793</v>
      </c>
    </row>
    <row r="5" spans="1:32" x14ac:dyDescent="0.25">
      <c r="D5" s="425">
        <v>45321</v>
      </c>
      <c r="E5">
        <v>10</v>
      </c>
      <c r="F5">
        <v>5</v>
      </c>
      <c r="G5">
        <v>2</v>
      </c>
      <c r="H5" t="s">
        <v>3770</v>
      </c>
      <c r="I5">
        <v>1</v>
      </c>
      <c r="J5">
        <v>1</v>
      </c>
      <c r="K5" t="s">
        <v>3643</v>
      </c>
      <c r="L5">
        <v>2</v>
      </c>
      <c r="M5" t="s">
        <v>3644</v>
      </c>
      <c r="N5">
        <v>3</v>
      </c>
      <c r="O5" t="s">
        <v>3645</v>
      </c>
      <c r="P5">
        <v>4</v>
      </c>
      <c r="Q5" t="s">
        <v>3391</v>
      </c>
      <c r="R5">
        <v>5</v>
      </c>
      <c r="S5" t="s">
        <v>3768</v>
      </c>
      <c r="T5">
        <v>6</v>
      </c>
      <c r="U5" t="s">
        <v>3769</v>
      </c>
      <c r="V5">
        <v>77</v>
      </c>
      <c r="W5">
        <v>0</v>
      </c>
      <c r="X5">
        <v>2</v>
      </c>
      <c r="Y5">
        <v>98</v>
      </c>
      <c r="Z5">
        <v>14</v>
      </c>
      <c r="AA5">
        <v>-12</v>
      </c>
      <c r="AB5" t="s">
        <v>3773</v>
      </c>
      <c r="AC5">
        <v>2024</v>
      </c>
      <c r="AD5">
        <v>1</v>
      </c>
      <c r="AE5">
        <v>30</v>
      </c>
      <c r="AF5">
        <v>45321</v>
      </c>
    </row>
    <row r="6" spans="1:32" x14ac:dyDescent="0.25">
      <c r="D6" s="425">
        <v>45321</v>
      </c>
      <c r="E6">
        <v>10</v>
      </c>
      <c r="F6">
        <v>5</v>
      </c>
      <c r="G6">
        <v>2</v>
      </c>
      <c r="H6" t="s">
        <v>3770</v>
      </c>
      <c r="I6">
        <v>1</v>
      </c>
      <c r="J6">
        <v>1</v>
      </c>
      <c r="K6" t="s">
        <v>3643</v>
      </c>
      <c r="L6">
        <v>2</v>
      </c>
      <c r="M6" t="s">
        <v>3644</v>
      </c>
      <c r="N6">
        <v>3</v>
      </c>
      <c r="O6" t="s">
        <v>3645</v>
      </c>
      <c r="P6">
        <v>4</v>
      </c>
      <c r="Q6" t="s">
        <v>3391</v>
      </c>
      <c r="R6">
        <v>5</v>
      </c>
      <c r="S6" t="s">
        <v>3768</v>
      </c>
      <c r="T6">
        <v>6</v>
      </c>
      <c r="U6" t="s">
        <v>3769</v>
      </c>
      <c r="V6">
        <v>77</v>
      </c>
      <c r="W6">
        <v>0</v>
      </c>
      <c r="X6">
        <v>20</v>
      </c>
      <c r="Y6">
        <v>98</v>
      </c>
      <c r="Z6">
        <v>14</v>
      </c>
      <c r="AA6">
        <v>6</v>
      </c>
      <c r="AB6" t="s">
        <v>3806</v>
      </c>
      <c r="AC6">
        <v>2024</v>
      </c>
      <c r="AD6">
        <v>1</v>
      </c>
      <c r="AE6">
        <v>30</v>
      </c>
      <c r="AF6">
        <v>45321</v>
      </c>
    </row>
    <row r="7" spans="1:32" x14ac:dyDescent="0.25">
      <c r="D7" s="425">
        <v>45321</v>
      </c>
      <c r="E7">
        <v>10</v>
      </c>
      <c r="F7">
        <v>5</v>
      </c>
      <c r="G7">
        <v>2</v>
      </c>
      <c r="H7" t="s">
        <v>3770</v>
      </c>
      <c r="I7">
        <v>1</v>
      </c>
      <c r="J7">
        <v>1</v>
      </c>
      <c r="K7" t="s">
        <v>3643</v>
      </c>
      <c r="L7">
        <v>2</v>
      </c>
      <c r="M7" t="s">
        <v>3644</v>
      </c>
      <c r="N7">
        <v>3</v>
      </c>
      <c r="O7" t="s">
        <v>3645</v>
      </c>
      <c r="P7">
        <v>4</v>
      </c>
      <c r="Q7" t="s">
        <v>3391</v>
      </c>
      <c r="R7">
        <v>5</v>
      </c>
      <c r="S7" t="s">
        <v>3768</v>
      </c>
      <c r="T7">
        <v>6</v>
      </c>
      <c r="U7" t="s">
        <v>3769</v>
      </c>
      <c r="V7">
        <v>77</v>
      </c>
      <c r="W7">
        <v>0</v>
      </c>
      <c r="X7">
        <v>20</v>
      </c>
      <c r="Y7">
        <v>98</v>
      </c>
      <c r="Z7">
        <v>14</v>
      </c>
      <c r="AA7">
        <v>6</v>
      </c>
      <c r="AB7" t="s">
        <v>3806</v>
      </c>
      <c r="AC7">
        <v>2024</v>
      </c>
      <c r="AD7">
        <v>1</v>
      </c>
      <c r="AE7">
        <v>30</v>
      </c>
      <c r="AF7">
        <v>45321</v>
      </c>
    </row>
  </sheetData>
  <sheetProtection sheet="1" objects="1" scenarios="1"/>
  <hyperlinks>
    <hyperlink ref="D2" location="MAIN_DASHBOARD!A1" display="&lt;&lt;&lt; BACK TO MAIN" xr:uid="{7A1CD08F-DA36-4F80-ACCC-9B8D3DA601AA}"/>
    <hyperlink ref="G2" location="CashSalesMenu!A1" display="&lt;&lt; BACK TO CASH SALES MENU" xr:uid="{DD94DF58-71AE-4C1E-A581-F24456B9094C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DC61F-EF9D-4C4B-9224-D1DA7E136735}">
  <sheetPr codeName="Sheet15">
    <tabColor theme="3" tint="0.39997558519241921"/>
  </sheetPr>
  <dimension ref="A1:AH22"/>
  <sheetViews>
    <sheetView showGridLines="0" workbookViewId="0">
      <pane xSplit="1" ySplit="16" topLeftCell="B17" activePane="bottomRight" state="frozen"/>
      <selection pane="topRight" activeCell="B1" sqref="B1"/>
      <selection pane="bottomLeft" activeCell="A17" sqref="A17"/>
      <selection pane="bottomRight" activeCell="B22" sqref="B22"/>
    </sheetView>
  </sheetViews>
  <sheetFormatPr defaultRowHeight="15" x14ac:dyDescent="0.25"/>
  <cols>
    <col min="2" max="2" width="16.5703125" style="245" customWidth="1"/>
    <col min="3" max="3" width="9.140625" style="245"/>
    <col min="4" max="4" width="19.7109375" style="245" bestFit="1" customWidth="1"/>
    <col min="5" max="5" width="13.140625" style="245" customWidth="1"/>
    <col min="6" max="6" width="12.28515625" style="245" customWidth="1"/>
    <col min="7" max="7" width="12.28515625" style="247" customWidth="1"/>
    <col min="9" max="9" width="12.28515625" customWidth="1"/>
    <col min="10" max="10" width="11.7109375" customWidth="1"/>
    <col min="13" max="13" width="11.5703125" bestFit="1" customWidth="1"/>
    <col min="14" max="14" width="29.140625" bestFit="1" customWidth="1"/>
    <col min="15" max="15" width="16.140625" bestFit="1" customWidth="1"/>
    <col min="16" max="16" width="12.42578125" bestFit="1" customWidth="1"/>
    <col min="17" max="17" width="12.85546875" bestFit="1" customWidth="1"/>
    <col min="18" max="18" width="15.5703125" bestFit="1" customWidth="1"/>
    <col min="19" max="19" width="13.140625" bestFit="1" customWidth="1"/>
    <col min="20" max="20" width="10" bestFit="1" customWidth="1"/>
    <col min="21" max="21" width="12.140625" bestFit="1" customWidth="1"/>
    <col min="22" max="22" width="14.42578125" bestFit="1" customWidth="1"/>
    <col min="23" max="23" width="10.42578125" bestFit="1" customWidth="1"/>
    <col min="24" max="24" width="12.140625" bestFit="1" customWidth="1"/>
    <col min="25" max="25" width="9.5703125" bestFit="1" customWidth="1"/>
    <col min="26" max="26" width="16.7109375" bestFit="1" customWidth="1"/>
    <col min="27" max="27" width="17" bestFit="1" customWidth="1"/>
    <col min="28" max="28" width="11.42578125" bestFit="1" customWidth="1"/>
    <col min="29" max="29" width="12.42578125" bestFit="1" customWidth="1"/>
    <col min="30" max="30" width="16.28515625" bestFit="1" customWidth="1"/>
    <col min="31" max="31" width="16.42578125" bestFit="1" customWidth="1"/>
    <col min="32" max="32" width="21" bestFit="1" customWidth="1"/>
    <col min="33" max="33" width="18" bestFit="1" customWidth="1"/>
    <col min="34" max="35" width="10.85546875" bestFit="1" customWidth="1"/>
  </cols>
  <sheetData>
    <row r="1" spans="1:34" x14ac:dyDescent="0.25">
      <c r="A1" s="369" t="s">
        <v>3718</v>
      </c>
      <c r="M1" t="s">
        <v>3717</v>
      </c>
    </row>
    <row r="2" spans="1:34" ht="38.25" customHeight="1" x14ac:dyDescent="0.25">
      <c r="B2" s="253" t="s">
        <v>3557</v>
      </c>
      <c r="C2" s="248"/>
    </row>
    <row r="4" spans="1:34" ht="15.75" thickBot="1" x14ac:dyDescent="0.3">
      <c r="B4" s="257" t="s">
        <v>3489</v>
      </c>
      <c r="C4" s="258" t="s">
        <v>3550</v>
      </c>
      <c r="D4" s="258" t="s">
        <v>3558</v>
      </c>
      <c r="E4" s="258" t="s">
        <v>3553</v>
      </c>
      <c r="F4" s="258" t="s">
        <v>3552</v>
      </c>
      <c r="G4" s="258" t="s">
        <v>3601</v>
      </c>
      <c r="H4" s="258" t="s">
        <v>3554</v>
      </c>
      <c r="I4" s="258" t="s">
        <v>3555</v>
      </c>
      <c r="J4" s="259" t="s">
        <v>3556</v>
      </c>
      <c r="M4" t="s">
        <v>3489</v>
      </c>
      <c r="N4" t="s">
        <v>3495</v>
      </c>
      <c r="O4" t="s">
        <v>3504</v>
      </c>
      <c r="P4" t="s">
        <v>3490</v>
      </c>
      <c r="Q4" t="s">
        <v>3491</v>
      </c>
      <c r="R4" t="s">
        <v>3492</v>
      </c>
      <c r="S4" t="s">
        <v>3519</v>
      </c>
      <c r="T4" t="s">
        <v>3493</v>
      </c>
      <c r="U4" t="s">
        <v>3494</v>
      </c>
      <c r="V4" t="s">
        <v>3496</v>
      </c>
      <c r="W4" t="s">
        <v>3497</v>
      </c>
      <c r="X4" t="s">
        <v>3498</v>
      </c>
      <c r="Y4" t="s">
        <v>3503</v>
      </c>
      <c r="Z4" t="s">
        <v>3505</v>
      </c>
      <c r="AA4" t="s">
        <v>3506</v>
      </c>
      <c r="AB4" t="s">
        <v>3499</v>
      </c>
      <c r="AC4" t="s">
        <v>3500</v>
      </c>
      <c r="AD4" t="s">
        <v>3501</v>
      </c>
      <c r="AE4" t="s">
        <v>3525</v>
      </c>
      <c r="AF4" t="s">
        <v>3502</v>
      </c>
      <c r="AG4" t="s">
        <v>3524</v>
      </c>
      <c r="AH4" t="s">
        <v>3507</v>
      </c>
    </row>
    <row r="5" spans="1:34" x14ac:dyDescent="0.25">
      <c r="B5" s="250">
        <f>IF(ISBLANK(EmpProfileTable[[#This Row],[EmpIDNo]]),"",EmpProfileTable[[#This Row],[EmpIDNo]])</f>
        <v>1001</v>
      </c>
      <c r="C5" s="250" t="s">
        <v>3510</v>
      </c>
      <c r="D5" s="254">
        <f>E5*30</f>
        <v>18000</v>
      </c>
      <c r="E5" s="389">
        <v>600</v>
      </c>
      <c r="F5" s="389">
        <f>E5/8</f>
        <v>75</v>
      </c>
      <c r="G5" s="389">
        <v>80</v>
      </c>
      <c r="H5" s="390"/>
      <c r="I5" s="390"/>
      <c r="J5" s="390"/>
      <c r="M5">
        <v>1001</v>
      </c>
      <c r="N5" t="s">
        <v>3508</v>
      </c>
      <c r="O5" t="s">
        <v>3528</v>
      </c>
      <c r="P5" t="s">
        <v>3509</v>
      </c>
      <c r="Q5" t="s">
        <v>3510</v>
      </c>
      <c r="R5" t="s">
        <v>3511</v>
      </c>
      <c r="S5" t="s">
        <v>3545</v>
      </c>
      <c r="T5" t="s">
        <v>3512</v>
      </c>
      <c r="V5" s="246"/>
      <c r="AB5" t="s">
        <v>3514</v>
      </c>
      <c r="AC5" s="246" t="s">
        <v>3513</v>
      </c>
    </row>
    <row r="6" spans="1:34" x14ac:dyDescent="0.25">
      <c r="B6" s="249">
        <f>IF(ISBLANK(EmpProfileTable[[#This Row],[EmpIDNo]]),"",EmpProfileTable[[#This Row],[EmpIDNo]])</f>
        <v>1002</v>
      </c>
      <c r="C6" s="249" t="s">
        <v>3518</v>
      </c>
      <c r="D6" s="252">
        <f t="shared" ref="D6:D8" si="0">E6*30</f>
        <v>15000</v>
      </c>
      <c r="E6" s="391">
        <v>500</v>
      </c>
      <c r="F6" s="391">
        <f t="shared" ref="F6:F8" si="1">E6/8</f>
        <v>62.5</v>
      </c>
      <c r="G6" s="391">
        <v>70</v>
      </c>
      <c r="H6" s="392"/>
      <c r="I6" s="392"/>
      <c r="J6" s="392"/>
      <c r="M6">
        <v>1002</v>
      </c>
      <c r="N6" t="s">
        <v>3515</v>
      </c>
      <c r="O6" t="s">
        <v>3516</v>
      </c>
      <c r="P6" t="s">
        <v>3517</v>
      </c>
      <c r="Q6" t="s">
        <v>3518</v>
      </c>
      <c r="R6" t="s">
        <v>3520</v>
      </c>
      <c r="S6" t="s">
        <v>3546</v>
      </c>
      <c r="T6" t="s">
        <v>3512</v>
      </c>
      <c r="Y6" t="s">
        <v>3542</v>
      </c>
      <c r="Z6" t="s">
        <v>3521</v>
      </c>
      <c r="AA6" s="246" t="s">
        <v>3522</v>
      </c>
      <c r="AC6" s="246" t="s">
        <v>3523</v>
      </c>
    </row>
    <row r="7" spans="1:34" x14ac:dyDescent="0.25">
      <c r="B7" s="249">
        <f>IF(ISBLANK(EmpProfileTable[[#This Row],[EmpIDNo]]),"",EmpProfileTable[[#This Row],[EmpIDNo]])</f>
        <v>1003</v>
      </c>
      <c r="C7" s="249" t="s">
        <v>3530</v>
      </c>
      <c r="D7" s="252">
        <f t="shared" si="0"/>
        <v>10500</v>
      </c>
      <c r="E7" s="391">
        <v>350</v>
      </c>
      <c r="F7" s="391">
        <f t="shared" si="1"/>
        <v>43.75</v>
      </c>
      <c r="G7" s="391">
        <v>50</v>
      </c>
      <c r="H7" s="392"/>
      <c r="I7" s="392"/>
      <c r="J7" s="392"/>
      <c r="M7">
        <v>1003</v>
      </c>
      <c r="N7" t="s">
        <v>3526</v>
      </c>
      <c r="O7" t="s">
        <v>3527</v>
      </c>
      <c r="P7" t="s">
        <v>3529</v>
      </c>
      <c r="Q7" t="s">
        <v>3530</v>
      </c>
      <c r="R7" t="s">
        <v>3531</v>
      </c>
      <c r="S7" t="s">
        <v>3547</v>
      </c>
      <c r="T7" t="s">
        <v>3532</v>
      </c>
      <c r="Y7" t="s">
        <v>3543</v>
      </c>
      <c r="Z7" t="s">
        <v>3533</v>
      </c>
      <c r="AA7" s="246" t="s">
        <v>3534</v>
      </c>
      <c r="AC7" s="246" t="s">
        <v>3535</v>
      </c>
    </row>
    <row r="8" spans="1:34" x14ac:dyDescent="0.25">
      <c r="B8" s="255">
        <f>IF(ISBLANK(EmpProfileTable[[#This Row],[EmpIDNo]]),"",EmpProfileTable[[#This Row],[EmpIDNo]])</f>
        <v>1004</v>
      </c>
      <c r="C8" s="255" t="s">
        <v>3537</v>
      </c>
      <c r="D8" s="256">
        <f t="shared" si="0"/>
        <v>10500</v>
      </c>
      <c r="E8" s="393">
        <v>350</v>
      </c>
      <c r="F8" s="393">
        <f t="shared" si="1"/>
        <v>43.75</v>
      </c>
      <c r="G8" s="393">
        <v>50</v>
      </c>
      <c r="H8" s="394"/>
      <c r="I8" s="394"/>
      <c r="J8" s="394"/>
      <c r="M8">
        <v>1004</v>
      </c>
      <c r="N8" t="s">
        <v>3526</v>
      </c>
      <c r="O8" t="s">
        <v>3528</v>
      </c>
      <c r="P8" t="s">
        <v>3536</v>
      </c>
      <c r="Q8" t="s">
        <v>3537</v>
      </c>
      <c r="R8" t="s">
        <v>3538</v>
      </c>
      <c r="S8" t="s">
        <v>3548</v>
      </c>
      <c r="T8" t="s">
        <v>3532</v>
      </c>
      <c r="W8" t="s">
        <v>3549</v>
      </c>
      <c r="Y8" t="s">
        <v>3544</v>
      </c>
      <c r="Z8" t="s">
        <v>3539</v>
      </c>
      <c r="AA8" s="246" t="s">
        <v>3540</v>
      </c>
      <c r="AC8" s="246" t="s">
        <v>3541</v>
      </c>
    </row>
    <row r="9" spans="1:34" x14ac:dyDescent="0.25">
      <c r="B9" s="249"/>
      <c r="C9" s="249"/>
      <c r="D9" s="252"/>
      <c r="E9" s="391"/>
      <c r="F9" s="391"/>
      <c r="G9" s="391"/>
      <c r="H9" s="392"/>
      <c r="I9" s="392"/>
      <c r="J9" s="392"/>
    </row>
    <row r="10" spans="1:34" x14ac:dyDescent="0.25">
      <c r="B10" s="249"/>
      <c r="C10" s="249"/>
      <c r="D10" s="252"/>
      <c r="E10" s="391"/>
      <c r="F10" s="391"/>
      <c r="G10" s="391"/>
      <c r="H10" s="392"/>
      <c r="I10" s="392"/>
      <c r="J10" s="392"/>
    </row>
    <row r="11" spans="1:34" x14ac:dyDescent="0.25">
      <c r="B11" s="249"/>
      <c r="C11" s="249"/>
      <c r="D11" s="252"/>
      <c r="E11" s="391"/>
      <c r="F11" s="391"/>
      <c r="G11" s="391"/>
      <c r="H11" s="392"/>
      <c r="I11" s="392"/>
      <c r="J11" s="392"/>
    </row>
    <row r="12" spans="1:34" x14ac:dyDescent="0.25">
      <c r="B12" s="249"/>
      <c r="C12" s="249"/>
      <c r="D12" s="252"/>
      <c r="E12" s="391"/>
      <c r="F12" s="391"/>
      <c r="G12" s="391"/>
      <c r="H12" s="392"/>
      <c r="I12" s="392"/>
      <c r="J12" s="392"/>
    </row>
    <row r="13" spans="1:34" x14ac:dyDescent="0.25">
      <c r="B13" s="249"/>
      <c r="C13" s="249"/>
      <c r="D13" s="252"/>
      <c r="E13" s="391"/>
      <c r="F13" s="391"/>
      <c r="G13" s="391"/>
      <c r="H13" s="392"/>
      <c r="I13" s="392"/>
      <c r="J13" s="392"/>
    </row>
    <row r="14" spans="1:34" x14ac:dyDescent="0.25">
      <c r="B14" s="249"/>
      <c r="C14" s="249"/>
      <c r="D14" s="252"/>
      <c r="E14" s="391"/>
      <c r="F14" s="391"/>
      <c r="G14" s="391"/>
      <c r="H14" s="392"/>
      <c r="I14" s="392"/>
      <c r="J14" s="392"/>
    </row>
    <row r="15" spans="1:34" x14ac:dyDescent="0.25">
      <c r="B15" s="249"/>
      <c r="C15" s="249"/>
      <c r="D15" s="252"/>
      <c r="E15" s="391"/>
      <c r="F15" s="391"/>
      <c r="G15" s="391"/>
      <c r="H15" s="392"/>
      <c r="I15" s="392"/>
      <c r="J15" s="392"/>
    </row>
    <row r="20" spans="2:7" x14ac:dyDescent="0.25">
      <c r="B20" s="253" t="s">
        <v>3598</v>
      </c>
    </row>
    <row r="22" spans="2:7" x14ac:dyDescent="0.25">
      <c r="B22" s="245" t="s">
        <v>3617</v>
      </c>
      <c r="C22" s="245" t="s">
        <v>3551</v>
      </c>
      <c r="D22" s="245" t="s">
        <v>3599</v>
      </c>
      <c r="E22" s="245" t="s">
        <v>3600</v>
      </c>
      <c r="F22" s="245" t="s">
        <v>3585</v>
      </c>
      <c r="G22" s="247" t="s">
        <v>3601</v>
      </c>
    </row>
  </sheetData>
  <hyperlinks>
    <hyperlink ref="A1" location="MAIN_DASHBOARD!A1" display="&lt;&lt; baCK TO MAIN DASHBOARD" xr:uid="{305ABB3C-CF7E-4D8E-A710-6F14843C898D}"/>
  </hyperlinks>
  <pageMargins left="0.7" right="0.7" top="0.75" bottom="0.75" header="0.3" footer="0.3"/>
  <pageSetup paperSize="9" orientation="portrait" horizontalDpi="0" verticalDpi="0" r:id="rId1"/>
  <ignoredErrors>
    <ignoredError sqref="F5:F8" unlockedFormula="1"/>
  </ignoredErrors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BF77-6259-4435-888E-06F590175811}">
  <sheetPr codeName="Sheet18"/>
  <dimension ref="A1:AM27"/>
  <sheetViews>
    <sheetView showGridLines="0" workbookViewId="0">
      <pane xSplit="9" ySplit="18" topLeftCell="J19" activePane="bottomRight" state="frozen"/>
      <selection pane="topRight" activeCell="J1" sqref="J1"/>
      <selection pane="bottomLeft" activeCell="A19" sqref="A19"/>
      <selection pane="bottomRight" activeCell="F24" sqref="F24"/>
    </sheetView>
  </sheetViews>
  <sheetFormatPr defaultRowHeight="15" x14ac:dyDescent="0.25"/>
  <cols>
    <col min="2" max="2" width="0" hidden="1" customWidth="1"/>
    <col min="3" max="3" width="6.42578125" customWidth="1"/>
    <col min="4" max="4" width="7.7109375" style="1" customWidth="1"/>
    <col min="5" max="5" width="16.5703125" style="1" customWidth="1"/>
    <col min="6" max="6" width="8.42578125" customWidth="1"/>
    <col min="7" max="7" width="8" customWidth="1"/>
    <col min="8" max="39" width="4.5703125" style="288" customWidth="1"/>
  </cols>
  <sheetData>
    <row r="1" spans="1:39" ht="27" x14ac:dyDescent="0.35">
      <c r="D1" s="333" t="s">
        <v>3646</v>
      </c>
    </row>
    <row r="2" spans="1:39" x14ac:dyDescent="0.25">
      <c r="Z2" s="290"/>
      <c r="AA2" s="290"/>
      <c r="AB2" s="290"/>
      <c r="AC2" s="290"/>
    </row>
    <row r="3" spans="1:39" ht="15.75" thickBot="1" x14ac:dyDescent="0.3">
      <c r="Z3" s="290"/>
      <c r="AA3" s="290"/>
      <c r="AB3" s="290"/>
      <c r="AC3" s="290"/>
    </row>
    <row r="4" spans="1:39" ht="15.75" thickBot="1" x14ac:dyDescent="0.3">
      <c r="D4" s="625" t="s">
        <v>3623</v>
      </c>
      <c r="E4" s="625"/>
      <c r="G4" s="302" t="s">
        <v>3625</v>
      </c>
      <c r="H4" s="291" t="s">
        <v>3635</v>
      </c>
      <c r="I4" s="292" t="s">
        <v>3636</v>
      </c>
      <c r="J4" s="293"/>
      <c r="K4" s="291" t="s">
        <v>3626</v>
      </c>
      <c r="L4" s="292" t="s">
        <v>3627</v>
      </c>
      <c r="M4" s="294"/>
      <c r="N4" s="294"/>
      <c r="O4" s="291" t="s">
        <v>3630</v>
      </c>
      <c r="P4" s="292" t="s">
        <v>3631</v>
      </c>
      <c r="Q4" s="293"/>
      <c r="R4" s="293"/>
      <c r="S4" s="295"/>
    </row>
    <row r="5" spans="1:39" ht="15.75" thickBot="1" x14ac:dyDescent="0.3">
      <c r="D5" s="630" t="s">
        <v>3561</v>
      </c>
      <c r="E5" s="631"/>
      <c r="G5" s="296"/>
      <c r="H5" s="297" t="s">
        <v>3634</v>
      </c>
      <c r="I5" s="298" t="s">
        <v>3637</v>
      </c>
      <c r="J5" s="299"/>
      <c r="K5" s="297" t="s">
        <v>3629</v>
      </c>
      <c r="L5" s="298" t="s">
        <v>3628</v>
      </c>
      <c r="M5" s="299"/>
      <c r="N5" s="299"/>
      <c r="O5" s="297" t="s">
        <v>3632</v>
      </c>
      <c r="P5" s="298" t="s">
        <v>3633</v>
      </c>
      <c r="Q5" s="300"/>
      <c r="R5" s="300"/>
      <c r="S5" s="301"/>
    </row>
    <row r="6" spans="1:39" ht="15.75" thickBot="1" x14ac:dyDescent="0.3">
      <c r="A6" s="368">
        <f>LARGE(D9:D18,1)</f>
        <v>1004</v>
      </c>
    </row>
    <row r="7" spans="1:39" x14ac:dyDescent="0.25">
      <c r="A7" s="368">
        <f>RIGHT(A6,1)+1</f>
        <v>5</v>
      </c>
      <c r="D7" s="628" t="s">
        <v>3638</v>
      </c>
      <c r="E7" s="629"/>
      <c r="F7" s="626" t="str">
        <f>$D$5</f>
        <v>JAN 1 - 15</v>
      </c>
      <c r="G7" s="627"/>
      <c r="H7" s="622">
        <f>VLOOKUP($D$5,PayrollDateTable[],2,FALSE)</f>
        <v>1</v>
      </c>
      <c r="I7" s="623"/>
      <c r="J7" s="620">
        <f>H7+1</f>
        <v>2</v>
      </c>
      <c r="K7" s="621"/>
      <c r="L7" s="622">
        <f t="shared" ref="L7" si="0">J7+1</f>
        <v>3</v>
      </c>
      <c r="M7" s="623"/>
      <c r="N7" s="620">
        <f t="shared" ref="N7" si="1">L7+1</f>
        <v>4</v>
      </c>
      <c r="O7" s="621"/>
      <c r="P7" s="622">
        <f t="shared" ref="P7" si="2">N7+1</f>
        <v>5</v>
      </c>
      <c r="Q7" s="623"/>
      <c r="R7" s="620">
        <f t="shared" ref="R7" si="3">P7+1</f>
        <v>6</v>
      </c>
      <c r="S7" s="621"/>
      <c r="T7" s="622">
        <f t="shared" ref="T7" si="4">R7+1</f>
        <v>7</v>
      </c>
      <c r="U7" s="623"/>
      <c r="V7" s="620">
        <f t="shared" ref="V7" si="5">T7+1</f>
        <v>8</v>
      </c>
      <c r="W7" s="621"/>
      <c r="X7" s="622">
        <f t="shared" ref="X7" si="6">V7+1</f>
        <v>9</v>
      </c>
      <c r="Y7" s="623"/>
      <c r="Z7" s="620">
        <f t="shared" ref="Z7" si="7">X7+1</f>
        <v>10</v>
      </c>
      <c r="AA7" s="621"/>
      <c r="AB7" s="622">
        <f t="shared" ref="AB7" si="8">Z7+1</f>
        <v>11</v>
      </c>
      <c r="AC7" s="623"/>
      <c r="AD7" s="620">
        <f t="shared" ref="AD7" si="9">AB7+1</f>
        <v>12</v>
      </c>
      <c r="AE7" s="621"/>
      <c r="AF7" s="622">
        <f t="shared" ref="AF7" si="10">AD7+1</f>
        <v>13</v>
      </c>
      <c r="AG7" s="623"/>
      <c r="AH7" s="620">
        <f t="shared" ref="AH7" si="11">AF7+1</f>
        <v>14</v>
      </c>
      <c r="AI7" s="621"/>
      <c r="AJ7" s="620">
        <f>IF(OR(VLOOKUP($D$5,CodeTable!$AC$5:$AG$28,5,FALSE)="a",VLOOKUP($D$5,CodeTable!$AC$5:$AG$28,5,FALSE)="b",VLOOKUP($D$5,CodeTable!$AC$5:$AG$28,5,FALSE)="c"),AH7+1,"")</f>
        <v>15</v>
      </c>
      <c r="AK7" s="621"/>
      <c r="AL7" s="620" t="str">
        <f>IFERROR(IF(OR(VLOOKUP($D$5,CodeTable!$AC$5:$AG$28,5,FALSE)="c",VLOOKUP($D$5,CodeTable!$AC$5:$AG$28,5,FALSE)="d"),$AJ$7+1,""),"")</f>
        <v/>
      </c>
      <c r="AM7" s="624"/>
    </row>
    <row r="8" spans="1:39" s="289" customFormat="1" ht="25.5" customHeight="1" thickBot="1" x14ac:dyDescent="0.3">
      <c r="D8" s="303" t="s">
        <v>3489</v>
      </c>
      <c r="E8" s="304" t="s">
        <v>3550</v>
      </c>
      <c r="F8" s="306" t="s">
        <v>3624</v>
      </c>
      <c r="G8" s="305" t="s">
        <v>3620</v>
      </c>
      <c r="H8" s="315" t="s">
        <v>3621</v>
      </c>
      <c r="I8" s="316" t="s">
        <v>3622</v>
      </c>
      <c r="J8" s="324" t="s">
        <v>3621</v>
      </c>
      <c r="K8" s="325" t="s">
        <v>3622</v>
      </c>
      <c r="L8" s="324" t="s">
        <v>3621</v>
      </c>
      <c r="M8" s="325" t="s">
        <v>3622</v>
      </c>
      <c r="N8" s="315" t="s">
        <v>3621</v>
      </c>
      <c r="O8" s="316" t="s">
        <v>3622</v>
      </c>
      <c r="P8" s="324" t="s">
        <v>3621</v>
      </c>
      <c r="Q8" s="325" t="s">
        <v>3622</v>
      </c>
      <c r="R8" s="315" t="s">
        <v>3621</v>
      </c>
      <c r="S8" s="316" t="s">
        <v>3622</v>
      </c>
      <c r="T8" s="324" t="s">
        <v>3621</v>
      </c>
      <c r="U8" s="325" t="s">
        <v>3622</v>
      </c>
      <c r="V8" s="315" t="s">
        <v>3621</v>
      </c>
      <c r="W8" s="316" t="s">
        <v>3622</v>
      </c>
      <c r="X8" s="324" t="s">
        <v>3621</v>
      </c>
      <c r="Y8" s="325" t="s">
        <v>3622</v>
      </c>
      <c r="Z8" s="315" t="s">
        <v>3621</v>
      </c>
      <c r="AA8" s="316" t="s">
        <v>3622</v>
      </c>
      <c r="AB8" s="324" t="s">
        <v>3621</v>
      </c>
      <c r="AC8" s="325" t="s">
        <v>3622</v>
      </c>
      <c r="AD8" s="315" t="s">
        <v>3621</v>
      </c>
      <c r="AE8" s="316" t="s">
        <v>3622</v>
      </c>
      <c r="AF8" s="324" t="s">
        <v>3621</v>
      </c>
      <c r="AG8" s="325" t="s">
        <v>3622</v>
      </c>
      <c r="AH8" s="315" t="s">
        <v>3621</v>
      </c>
      <c r="AI8" s="316" t="s">
        <v>3622</v>
      </c>
      <c r="AJ8" s="324" t="s">
        <v>3621</v>
      </c>
      <c r="AK8" s="325" t="s">
        <v>3622</v>
      </c>
      <c r="AL8" s="324" t="s">
        <v>3621</v>
      </c>
      <c r="AM8" s="317" t="s">
        <v>3622</v>
      </c>
    </row>
    <row r="9" spans="1:39" x14ac:dyDescent="0.25">
      <c r="D9" s="307">
        <f>IF(ISBLANK(EmpProfile!$B5),"",EmpProfile!$B5)</f>
        <v>1001</v>
      </c>
      <c r="E9" s="308" t="str">
        <f>IF(ISBLANK(EmpProfile!$C5),"",EmpProfile!$C5)</f>
        <v>ABEGAIL</v>
      </c>
      <c r="F9" s="311">
        <f>_xlfn.IFNA((COUNTIF($H9:$AM9,"P")+COUNTIF($H9:$AM9,"VL")+COUNTIF($H9:$AM9,"SL")+COUNTIF($H9:$AM9,"EL"))*8+(INDEX(EmpSalTable[Rate/OT/Hr],MATCH($D9,EmpSalTable[EmpIDNo])))*$G9+COUNTIF($H$9:$AM$9,"HD")*4,0)</f>
        <v>0</v>
      </c>
      <c r="G9" s="312">
        <f>SUMIF($H9:$AM9,"&gt;0")</f>
        <v>0</v>
      </c>
      <c r="H9" s="319"/>
      <c r="I9" s="318"/>
      <c r="J9" s="326"/>
      <c r="K9" s="327"/>
      <c r="L9" s="326"/>
      <c r="M9" s="327"/>
      <c r="N9" s="319"/>
      <c r="O9" s="318"/>
      <c r="P9" s="326"/>
      <c r="Q9" s="327"/>
      <c r="R9" s="319"/>
      <c r="S9" s="318"/>
      <c r="T9" s="326"/>
      <c r="U9" s="327"/>
      <c r="V9" s="319"/>
      <c r="W9" s="318"/>
      <c r="X9" s="326"/>
      <c r="Y9" s="327"/>
      <c r="Z9" s="319"/>
      <c r="AA9" s="318"/>
      <c r="AB9" s="326"/>
      <c r="AC9" s="327"/>
      <c r="AD9" s="319"/>
      <c r="AE9" s="318"/>
      <c r="AF9" s="326"/>
      <c r="AG9" s="327"/>
      <c r="AH9" s="319"/>
      <c r="AI9" s="318"/>
      <c r="AJ9" s="326"/>
      <c r="AK9" s="327"/>
      <c r="AL9" s="326"/>
      <c r="AM9" s="320"/>
    </row>
    <row r="10" spans="1:39" x14ac:dyDescent="0.25">
      <c r="D10" s="309">
        <f>IF(ISBLANK(EmpProfile!$B6),"",EmpProfile!$B6)</f>
        <v>1002</v>
      </c>
      <c r="E10" s="310" t="str">
        <f>IF(ISBLANK(EmpProfile!$C6),"",EmpProfile!$C6)</f>
        <v>JOY</v>
      </c>
      <c r="F10" s="313">
        <f>_xlfn.IFNA((COUNTIF($H10:$AM10,"P")+COUNTIF($H10:$AM10,"VL")+COUNTIF($H10:$AM10,"SL")+COUNTIF($H10:$AM10,"EL"))*8+(INDEX(EmpSalTable[Rate/OT/Hr],MATCH($D10,EmpSalTable[EmpIDNo])))*$G10+COUNTIF($H$9:$AM$9,"HD")*4,0)</f>
        <v>0</v>
      </c>
      <c r="G10" s="314">
        <f t="shared" ref="G10:G18" si="12">SUMIF($H10:$AM10,"&gt;0")</f>
        <v>0</v>
      </c>
      <c r="H10" s="322"/>
      <c r="I10" s="321"/>
      <c r="J10" s="328"/>
      <c r="K10" s="329"/>
      <c r="L10" s="328"/>
      <c r="M10" s="329"/>
      <c r="N10" s="322"/>
      <c r="O10" s="321"/>
      <c r="P10" s="328"/>
      <c r="Q10" s="329"/>
      <c r="R10" s="322"/>
      <c r="S10" s="321"/>
      <c r="T10" s="328"/>
      <c r="U10" s="329"/>
      <c r="V10" s="322"/>
      <c r="W10" s="321"/>
      <c r="X10" s="328"/>
      <c r="Y10" s="329"/>
      <c r="Z10" s="322"/>
      <c r="AA10" s="321"/>
      <c r="AB10" s="328"/>
      <c r="AC10" s="329"/>
      <c r="AD10" s="322"/>
      <c r="AE10" s="321"/>
      <c r="AF10" s="328"/>
      <c r="AG10" s="329"/>
      <c r="AH10" s="322"/>
      <c r="AI10" s="321"/>
      <c r="AJ10" s="328"/>
      <c r="AK10" s="329"/>
      <c r="AL10" s="328"/>
      <c r="AM10" s="323"/>
    </row>
    <row r="11" spans="1:39" x14ac:dyDescent="0.25">
      <c r="D11" s="309">
        <f>IF(ISBLANK(EmpProfile!$B7),"",EmpProfile!$B7)</f>
        <v>1003</v>
      </c>
      <c r="E11" s="310" t="str">
        <f>IF(ISBLANK(EmpProfile!$C7),"",EmpProfile!$C7)</f>
        <v>EUGENE</v>
      </c>
      <c r="F11" s="313">
        <f>_xlfn.IFNA((COUNTIF($H11:$AM11,"P")+COUNTIF($H11:$AM11,"VL")+COUNTIF($H11:$AM11,"SL")+COUNTIF($H11:$AM11,"EL"))*8+(INDEX(EmpSalTable[Rate/OT/Hr],MATCH($D11,EmpSalTable[EmpIDNo])))*$G11+COUNTIF($H$9:$AM$9,"HD")*4,0)</f>
        <v>0</v>
      </c>
      <c r="G11" s="314">
        <f t="shared" si="12"/>
        <v>0</v>
      </c>
      <c r="H11" s="322"/>
      <c r="I11" s="321"/>
      <c r="J11" s="328"/>
      <c r="K11" s="329"/>
      <c r="L11" s="328"/>
      <c r="M11" s="329"/>
      <c r="N11" s="322"/>
      <c r="O11" s="321"/>
      <c r="P11" s="328"/>
      <c r="Q11" s="329"/>
      <c r="R11" s="322"/>
      <c r="S11" s="321"/>
      <c r="T11" s="328"/>
      <c r="U11" s="329"/>
      <c r="V11" s="322"/>
      <c r="W11" s="321"/>
      <c r="X11" s="328"/>
      <c r="Y11" s="329"/>
      <c r="Z11" s="322"/>
      <c r="AA11" s="321"/>
      <c r="AB11" s="328"/>
      <c r="AC11" s="329"/>
      <c r="AD11" s="322"/>
      <c r="AE11" s="321"/>
      <c r="AF11" s="328"/>
      <c r="AG11" s="329"/>
      <c r="AH11" s="322"/>
      <c r="AI11" s="321"/>
      <c r="AJ11" s="328"/>
      <c r="AK11" s="329"/>
      <c r="AL11" s="328"/>
      <c r="AM11" s="323"/>
    </row>
    <row r="12" spans="1:39" x14ac:dyDescent="0.25">
      <c r="D12" s="336">
        <f>IF(ISBLANK(EmpProfile!$B8),"",EmpProfile!$B8)</f>
        <v>1004</v>
      </c>
      <c r="E12" s="337" t="str">
        <f>IF(ISBLANK(EmpProfile!$C8),"",EmpProfile!$C8)</f>
        <v>MICHAEL</v>
      </c>
      <c r="F12" s="338">
        <f>_xlfn.IFNA((COUNTIF($H12:$AM12,"P")+COUNTIF($H12:$AM12,"VL")+COUNTIF($H12:$AM12,"SL")+COUNTIF($H12:$AM12,"EL"))*8+(INDEX(EmpSalTable[Rate/OT/Hr],MATCH($D12,EmpSalTable[EmpIDNo])))*$G12+COUNTIF($H$9:$AM$9,"HD")*4,0)</f>
        <v>0</v>
      </c>
      <c r="G12" s="339">
        <f t="shared" si="12"/>
        <v>0</v>
      </c>
      <c r="H12" s="343"/>
      <c r="I12" s="340"/>
      <c r="J12" s="341"/>
      <c r="K12" s="342"/>
      <c r="L12" s="341"/>
      <c r="M12" s="342"/>
      <c r="N12" s="343"/>
      <c r="O12" s="340"/>
      <c r="P12" s="341"/>
      <c r="Q12" s="342"/>
      <c r="R12" s="343"/>
      <c r="S12" s="340"/>
      <c r="T12" s="341"/>
      <c r="U12" s="342"/>
      <c r="V12" s="343"/>
      <c r="W12" s="340"/>
      <c r="X12" s="341"/>
      <c r="Y12" s="342"/>
      <c r="Z12" s="343"/>
      <c r="AA12" s="340"/>
      <c r="AB12" s="341"/>
      <c r="AC12" s="342"/>
      <c r="AD12" s="343"/>
      <c r="AE12" s="340"/>
      <c r="AF12" s="341"/>
      <c r="AG12" s="342"/>
      <c r="AH12" s="343"/>
      <c r="AI12" s="340"/>
      <c r="AJ12" s="341"/>
      <c r="AK12" s="342"/>
      <c r="AL12" s="341"/>
      <c r="AM12" s="344"/>
    </row>
    <row r="13" spans="1:39" x14ac:dyDescent="0.25">
      <c r="D13" s="345" t="str">
        <f>IF(ISBLANK(EmpProfile!$B9),"",EmpProfile!$B9)</f>
        <v/>
      </c>
      <c r="E13" s="355" t="str">
        <f>IF(ISBLANK(EmpProfile!$C9),"",EmpProfile!$C9)</f>
        <v/>
      </c>
      <c r="F13" s="357">
        <f>_xlfn.IFNA((COUNTIF($H13:$AM13,"P")+COUNTIF($H13:$AM13,"VL")+COUNTIF($H13:$AM13,"SL")+COUNTIF($H13:$AM13,"EL"))*8+(INDEX(EmpSalTable[Rate/OT/Hr],MATCH($D13,EmpSalTable[EmpIDNo])))*$G13+COUNTIF($H$9:$AM$9,"HD")*4,0)</f>
        <v>0</v>
      </c>
      <c r="G13" s="358">
        <f t="shared" si="12"/>
        <v>0</v>
      </c>
      <c r="H13" s="353"/>
      <c r="I13" s="347"/>
      <c r="J13" s="346"/>
      <c r="K13" s="361"/>
      <c r="L13" s="363"/>
      <c r="M13" s="364"/>
      <c r="N13" s="353"/>
      <c r="O13" s="361"/>
      <c r="P13" s="363"/>
      <c r="Q13" s="364"/>
      <c r="R13" s="353"/>
      <c r="S13" s="361"/>
      <c r="T13" s="363"/>
      <c r="U13" s="364"/>
      <c r="V13" s="353"/>
      <c r="W13" s="361"/>
      <c r="X13" s="363"/>
      <c r="Y13" s="364"/>
      <c r="Z13" s="353"/>
      <c r="AA13" s="361"/>
      <c r="AB13" s="363"/>
      <c r="AC13" s="364"/>
      <c r="AD13" s="353"/>
      <c r="AE13" s="361"/>
      <c r="AF13" s="363"/>
      <c r="AG13" s="364"/>
      <c r="AH13" s="353"/>
      <c r="AI13" s="361"/>
      <c r="AJ13" s="363"/>
      <c r="AK13" s="364"/>
      <c r="AL13" s="353"/>
      <c r="AM13" s="348"/>
    </row>
    <row r="14" spans="1:39" x14ac:dyDescent="0.25">
      <c r="D14" s="345" t="str">
        <f>IF(ISBLANK(EmpProfile!$B10),"",EmpProfile!$B10)</f>
        <v/>
      </c>
      <c r="E14" s="355" t="str">
        <f>IF(ISBLANK(EmpProfile!$C10),"",EmpProfile!$C10)</f>
        <v/>
      </c>
      <c r="F14" s="357">
        <f>_xlfn.IFNA((COUNTIF($H14:$AM14,"P")+COUNTIF($H14:$AM14,"VL")+COUNTIF($H14:$AM14,"SL")+COUNTIF($H14:$AM14,"EL"))*8+(INDEX(EmpSalTable[Rate/OT/Hr],MATCH($D14,EmpSalTable[EmpIDNo])))*$G14+COUNTIF($H$9:$AM$9,"HD")*4,0)</f>
        <v>0</v>
      </c>
      <c r="G14" s="358">
        <f t="shared" si="12"/>
        <v>0</v>
      </c>
      <c r="H14" s="353"/>
      <c r="I14" s="347"/>
      <c r="J14" s="346"/>
      <c r="K14" s="361"/>
      <c r="L14" s="363"/>
      <c r="M14" s="364"/>
      <c r="N14" s="353"/>
      <c r="O14" s="361"/>
      <c r="P14" s="363"/>
      <c r="Q14" s="364"/>
      <c r="R14" s="353"/>
      <c r="S14" s="361"/>
      <c r="T14" s="363"/>
      <c r="U14" s="364"/>
      <c r="V14" s="353"/>
      <c r="W14" s="361"/>
      <c r="X14" s="363"/>
      <c r="Y14" s="364"/>
      <c r="Z14" s="353"/>
      <c r="AA14" s="361"/>
      <c r="AB14" s="363"/>
      <c r="AC14" s="364"/>
      <c r="AD14" s="353"/>
      <c r="AE14" s="361"/>
      <c r="AF14" s="363"/>
      <c r="AG14" s="364"/>
      <c r="AH14" s="353"/>
      <c r="AI14" s="361"/>
      <c r="AJ14" s="363"/>
      <c r="AK14" s="364"/>
      <c r="AL14" s="353"/>
      <c r="AM14" s="348"/>
    </row>
    <row r="15" spans="1:39" x14ac:dyDescent="0.25">
      <c r="D15" s="345" t="str">
        <f>IF(ISBLANK(EmpProfile!$B11),"",EmpProfile!$B11)</f>
        <v/>
      </c>
      <c r="E15" s="355" t="str">
        <f>IF(ISBLANK(EmpProfile!$C11),"",EmpProfile!$C11)</f>
        <v/>
      </c>
      <c r="F15" s="357">
        <f>_xlfn.IFNA((COUNTIF($H15:$AM15,"P")+COUNTIF($H15:$AM15,"VL")+COUNTIF($H15:$AM15,"SL")+COUNTIF($H15:$AM15,"EL"))*8+(INDEX(EmpSalTable[Rate/OT/Hr],MATCH($D15,EmpSalTable[EmpIDNo])))*$G15+COUNTIF($H$9:$AM$9,"HD")*4,0)</f>
        <v>0</v>
      </c>
      <c r="G15" s="358">
        <f t="shared" si="12"/>
        <v>0</v>
      </c>
      <c r="H15" s="353"/>
      <c r="I15" s="347"/>
      <c r="J15" s="346"/>
      <c r="K15" s="361"/>
      <c r="L15" s="363"/>
      <c r="M15" s="364"/>
      <c r="N15" s="353"/>
      <c r="O15" s="361"/>
      <c r="P15" s="363"/>
      <c r="Q15" s="364"/>
      <c r="R15" s="353"/>
      <c r="S15" s="361"/>
      <c r="T15" s="363"/>
      <c r="U15" s="364"/>
      <c r="V15" s="353"/>
      <c r="W15" s="361"/>
      <c r="X15" s="363"/>
      <c r="Y15" s="364"/>
      <c r="Z15" s="353"/>
      <c r="AA15" s="361"/>
      <c r="AB15" s="363"/>
      <c r="AC15" s="364"/>
      <c r="AD15" s="353"/>
      <c r="AE15" s="361"/>
      <c r="AF15" s="363"/>
      <c r="AG15" s="364"/>
      <c r="AH15" s="353"/>
      <c r="AI15" s="361"/>
      <c r="AJ15" s="363"/>
      <c r="AK15" s="364"/>
      <c r="AL15" s="353"/>
      <c r="AM15" s="348"/>
    </row>
    <row r="16" spans="1:39" x14ac:dyDescent="0.25">
      <c r="D16" s="345" t="str">
        <f>IF(ISBLANK(EmpProfile!$B12),"",EmpProfile!$B12)</f>
        <v/>
      </c>
      <c r="E16" s="355" t="str">
        <f>IF(ISBLANK(EmpProfile!$C12),"",EmpProfile!$C12)</f>
        <v/>
      </c>
      <c r="F16" s="357">
        <f>_xlfn.IFNA((COUNTIF($H16:$AM16,"P")+COUNTIF($H16:$AM16,"VL")+COUNTIF($H16:$AM16,"SL")+COUNTIF($H16:$AM16,"EL"))*8+(INDEX(EmpSalTable[Rate/OT/Hr],MATCH($D16,EmpSalTable[EmpIDNo])))*$G16+COUNTIF($H$9:$AM$9,"HD")*4,0)</f>
        <v>0</v>
      </c>
      <c r="G16" s="358">
        <f t="shared" si="12"/>
        <v>0</v>
      </c>
      <c r="H16" s="353"/>
      <c r="I16" s="347"/>
      <c r="J16" s="346"/>
      <c r="K16" s="361"/>
      <c r="L16" s="363"/>
      <c r="M16" s="364"/>
      <c r="N16" s="353"/>
      <c r="O16" s="361"/>
      <c r="P16" s="363"/>
      <c r="Q16" s="364"/>
      <c r="R16" s="353"/>
      <c r="S16" s="361"/>
      <c r="T16" s="363"/>
      <c r="U16" s="364"/>
      <c r="V16" s="353"/>
      <c r="W16" s="361"/>
      <c r="X16" s="363"/>
      <c r="Y16" s="364"/>
      <c r="Z16" s="353"/>
      <c r="AA16" s="361"/>
      <c r="AB16" s="363"/>
      <c r="AC16" s="364"/>
      <c r="AD16" s="353"/>
      <c r="AE16" s="361"/>
      <c r="AF16" s="363"/>
      <c r="AG16" s="364"/>
      <c r="AH16" s="353"/>
      <c r="AI16" s="361"/>
      <c r="AJ16" s="363"/>
      <c r="AK16" s="364"/>
      <c r="AL16" s="353"/>
      <c r="AM16" s="348"/>
    </row>
    <row r="17" spans="1:39" x14ac:dyDescent="0.25">
      <c r="D17" s="345" t="str">
        <f>IF(ISBLANK(EmpProfile!$B13),"",EmpProfile!$B13)</f>
        <v/>
      </c>
      <c r="E17" s="355" t="str">
        <f>IF(ISBLANK(EmpProfile!$C13),"",EmpProfile!$C13)</f>
        <v/>
      </c>
      <c r="F17" s="357">
        <f>_xlfn.IFNA((COUNTIF($H17:$AM17,"P")+COUNTIF($H17:$AM17,"VL")+COUNTIF($H17:$AM17,"SL")+COUNTIF($H17:$AM17,"EL"))*8+(INDEX(EmpSalTable[Rate/OT/Hr],MATCH($D17,EmpSalTable[EmpIDNo])))*$G17+COUNTIF($H$9:$AM$9,"HD")*4,0)</f>
        <v>0</v>
      </c>
      <c r="G17" s="358">
        <f t="shared" si="12"/>
        <v>0</v>
      </c>
      <c r="H17" s="353"/>
      <c r="I17" s="347"/>
      <c r="J17" s="346"/>
      <c r="K17" s="361"/>
      <c r="L17" s="363"/>
      <c r="M17" s="364"/>
      <c r="N17" s="353"/>
      <c r="O17" s="361"/>
      <c r="P17" s="363"/>
      <c r="Q17" s="364"/>
      <c r="R17" s="353"/>
      <c r="S17" s="361"/>
      <c r="T17" s="363"/>
      <c r="U17" s="364"/>
      <c r="V17" s="353"/>
      <c r="W17" s="361"/>
      <c r="X17" s="363"/>
      <c r="Y17" s="364"/>
      <c r="Z17" s="353"/>
      <c r="AA17" s="361"/>
      <c r="AB17" s="363"/>
      <c r="AC17" s="364"/>
      <c r="AD17" s="353"/>
      <c r="AE17" s="361"/>
      <c r="AF17" s="363"/>
      <c r="AG17" s="364"/>
      <c r="AH17" s="353"/>
      <c r="AI17" s="361"/>
      <c r="AJ17" s="363"/>
      <c r="AK17" s="364"/>
      <c r="AL17" s="353"/>
      <c r="AM17" s="348"/>
    </row>
    <row r="18" spans="1:39" ht="15.75" thickBot="1" x14ac:dyDescent="0.3">
      <c r="D18" s="349" t="str">
        <f>IF(ISBLANK(EmpProfile!$B14),"",EmpProfile!$B14)</f>
        <v/>
      </c>
      <c r="E18" s="356" t="str">
        <f>IF(ISBLANK(EmpProfile!$C14),"",EmpProfile!$C14)</f>
        <v/>
      </c>
      <c r="F18" s="359">
        <f>_xlfn.IFNA((COUNTIF($H18:$AM18,"P")+COUNTIF($H18:$AM18,"VL")+COUNTIF($H18:$AM18,"SL")+COUNTIF($H18:$AM18,"EL"))*8+(INDEX(EmpSalTable[Rate/OT/Hr],MATCH($D18,EmpSalTable[EmpIDNo])))*$G18+COUNTIF($H$9:$AM$9,"HD")*4,0)</f>
        <v>0</v>
      </c>
      <c r="G18" s="360">
        <f t="shared" si="12"/>
        <v>0</v>
      </c>
      <c r="H18" s="354"/>
      <c r="I18" s="351"/>
      <c r="J18" s="350"/>
      <c r="K18" s="362"/>
      <c r="L18" s="365"/>
      <c r="M18" s="366"/>
      <c r="N18" s="354"/>
      <c r="O18" s="362"/>
      <c r="P18" s="365"/>
      <c r="Q18" s="366"/>
      <c r="R18" s="354"/>
      <c r="S18" s="362"/>
      <c r="T18" s="365"/>
      <c r="U18" s="366"/>
      <c r="V18" s="354"/>
      <c r="W18" s="362"/>
      <c r="X18" s="365"/>
      <c r="Y18" s="366"/>
      <c r="Z18" s="354"/>
      <c r="AA18" s="362"/>
      <c r="AB18" s="365"/>
      <c r="AC18" s="366"/>
      <c r="AD18" s="354"/>
      <c r="AE18" s="362"/>
      <c r="AF18" s="365"/>
      <c r="AG18" s="366"/>
      <c r="AH18" s="354"/>
      <c r="AI18" s="362"/>
      <c r="AJ18" s="365"/>
      <c r="AK18" s="366"/>
      <c r="AL18" s="354"/>
      <c r="AM18" s="352"/>
    </row>
    <row r="19" spans="1:39" x14ac:dyDescent="0.25">
      <c r="D19" s="334"/>
      <c r="E19" s="334"/>
      <c r="F19" s="187"/>
      <c r="G19" s="187"/>
      <c r="H19" s="335"/>
      <c r="I19" s="335"/>
      <c r="J19" s="335"/>
      <c r="K19" s="335"/>
      <c r="L19" s="335"/>
      <c r="M19" s="335"/>
      <c r="N19" s="335"/>
      <c r="O19" s="335"/>
      <c r="P19" s="335"/>
      <c r="Q19" s="335"/>
      <c r="R19" s="335"/>
      <c r="S19" s="335"/>
      <c r="T19" s="335"/>
      <c r="U19" s="335"/>
      <c r="V19" s="335"/>
      <c r="W19" s="335"/>
      <c r="X19" s="335"/>
      <c r="Y19" s="335"/>
      <c r="Z19" s="335"/>
      <c r="AA19" s="335"/>
      <c r="AB19" s="335"/>
      <c r="AC19" s="335"/>
      <c r="AD19" s="335"/>
      <c r="AE19" s="335"/>
      <c r="AF19" s="335"/>
      <c r="AG19" s="335"/>
      <c r="AH19" s="335"/>
      <c r="AI19" s="335"/>
      <c r="AJ19" s="335"/>
      <c r="AK19" s="335"/>
      <c r="AL19" s="335"/>
      <c r="AM19" s="335"/>
    </row>
    <row r="20" spans="1:39" x14ac:dyDescent="0.25">
      <c r="D20" s="334"/>
      <c r="E20" s="334"/>
      <c r="F20" s="187"/>
      <c r="G20" s="187"/>
      <c r="H20" s="335"/>
      <c r="I20" s="335"/>
      <c r="J20" s="335"/>
      <c r="K20" s="335"/>
      <c r="L20" s="335"/>
      <c r="M20" s="335"/>
      <c r="N20" s="335"/>
      <c r="O20" s="335"/>
      <c r="P20" s="335"/>
      <c r="Q20" s="335"/>
      <c r="R20" s="335"/>
      <c r="S20" s="335"/>
      <c r="T20" s="335"/>
      <c r="U20" s="335"/>
      <c r="V20" s="335"/>
      <c r="W20" s="335"/>
      <c r="X20" s="335"/>
      <c r="Y20" s="335"/>
      <c r="Z20" s="335"/>
      <c r="AA20" s="335"/>
      <c r="AB20" s="335"/>
      <c r="AC20" s="335"/>
      <c r="AD20" s="335"/>
      <c r="AE20" s="335"/>
      <c r="AF20" s="335"/>
      <c r="AG20" s="335"/>
      <c r="AH20" s="335"/>
      <c r="AI20" s="335"/>
      <c r="AJ20" s="335"/>
      <c r="AK20" s="335"/>
      <c r="AL20" s="335"/>
      <c r="AM20" s="335"/>
    </row>
    <row r="21" spans="1:39" x14ac:dyDescent="0.25">
      <c r="A21" s="367" t="s">
        <v>3647</v>
      </c>
      <c r="D21" s="334"/>
      <c r="E21" s="334"/>
      <c r="F21" s="187"/>
      <c r="G21" s="187"/>
      <c r="H21" s="335"/>
      <c r="I21" s="335"/>
      <c r="J21" s="335"/>
      <c r="K21" s="335"/>
      <c r="L21" s="335"/>
      <c r="M21" s="335"/>
      <c r="N21" s="335"/>
      <c r="O21" s="335"/>
      <c r="P21" s="335"/>
      <c r="Q21" s="335"/>
      <c r="R21" s="335"/>
      <c r="S21" s="335"/>
      <c r="T21" s="335"/>
      <c r="U21" s="335"/>
      <c r="V21" s="335"/>
      <c r="W21" s="335"/>
      <c r="X21" s="335"/>
      <c r="Y21" s="335"/>
      <c r="Z21" s="335"/>
      <c r="AA21" s="335"/>
      <c r="AB21" s="335"/>
      <c r="AC21" s="335"/>
      <c r="AD21" s="335"/>
      <c r="AE21" s="335"/>
      <c r="AF21" s="335"/>
      <c r="AG21" s="335"/>
      <c r="AH21" s="335"/>
      <c r="AI21" s="335"/>
      <c r="AJ21" s="335"/>
      <c r="AK21" s="335"/>
      <c r="AL21" s="335"/>
      <c r="AM21" s="335"/>
    </row>
    <row r="22" spans="1:39" x14ac:dyDescent="0.25">
      <c r="D22" s="334"/>
      <c r="E22" s="334"/>
      <c r="F22" s="187"/>
      <c r="G22" s="187"/>
      <c r="H22" s="335"/>
      <c r="I22" s="335"/>
      <c r="J22" s="335"/>
      <c r="K22" s="335"/>
      <c r="L22" s="335"/>
      <c r="M22" s="335"/>
      <c r="N22" s="335"/>
      <c r="O22" s="335"/>
      <c r="P22" s="335"/>
      <c r="Q22" s="335"/>
      <c r="R22" s="335"/>
      <c r="S22" s="335"/>
      <c r="T22" s="335"/>
      <c r="U22" s="335"/>
      <c r="V22" s="335"/>
      <c r="W22" s="335"/>
      <c r="X22" s="335"/>
      <c r="Y22" s="335"/>
      <c r="Z22" s="335"/>
      <c r="AA22" s="335"/>
      <c r="AB22" s="335"/>
      <c r="AC22" s="335"/>
      <c r="AD22" s="335"/>
      <c r="AE22" s="335"/>
      <c r="AF22" s="335"/>
      <c r="AG22" s="335"/>
      <c r="AH22" s="335"/>
      <c r="AI22" s="335"/>
      <c r="AJ22" s="335"/>
      <c r="AK22" s="335"/>
      <c r="AL22" s="335"/>
      <c r="AM22" s="335"/>
    </row>
    <row r="23" spans="1:39" x14ac:dyDescent="0.25">
      <c r="D23" s="334"/>
      <c r="E23" s="334"/>
      <c r="F23" s="187"/>
      <c r="G23" s="187"/>
      <c r="H23" s="335"/>
      <c r="I23" s="335"/>
      <c r="J23" s="335"/>
      <c r="K23" s="335"/>
      <c r="L23" s="335"/>
      <c r="M23" s="335"/>
      <c r="N23" s="335"/>
      <c r="O23" s="335"/>
      <c r="P23" s="335"/>
      <c r="Q23" s="335"/>
      <c r="R23" s="335"/>
      <c r="S23" s="335"/>
      <c r="T23" s="335"/>
      <c r="U23" s="335"/>
      <c r="V23" s="335"/>
      <c r="W23" s="335"/>
      <c r="X23" s="335"/>
      <c r="Y23" s="335"/>
      <c r="Z23" s="335"/>
      <c r="AA23" s="335"/>
      <c r="AB23" s="335"/>
      <c r="AC23" s="335"/>
      <c r="AD23" s="335"/>
      <c r="AE23" s="335"/>
      <c r="AF23" s="335"/>
      <c r="AG23" s="335"/>
      <c r="AH23" s="335"/>
      <c r="AI23" s="335"/>
      <c r="AJ23" s="335"/>
      <c r="AK23" s="335"/>
      <c r="AL23" s="335"/>
      <c r="AM23" s="335"/>
    </row>
    <row r="24" spans="1:39" x14ac:dyDescent="0.25">
      <c r="D24" s="334"/>
      <c r="E24" s="334"/>
      <c r="F24" s="187"/>
      <c r="G24" s="187"/>
      <c r="H24" s="335"/>
      <c r="I24" s="335"/>
      <c r="J24" s="335"/>
      <c r="K24" s="335"/>
      <c r="L24" s="335"/>
      <c r="M24" s="335"/>
      <c r="N24" s="335"/>
      <c r="O24" s="335"/>
      <c r="P24" s="335"/>
      <c r="Q24" s="335"/>
      <c r="R24" s="335"/>
      <c r="S24" s="335"/>
      <c r="T24" s="335"/>
      <c r="U24" s="335"/>
      <c r="V24" s="335"/>
      <c r="W24" s="335"/>
      <c r="X24" s="335"/>
      <c r="Y24" s="335"/>
      <c r="Z24" s="335"/>
      <c r="AA24" s="335"/>
      <c r="AB24" s="335"/>
      <c r="AC24" s="335"/>
      <c r="AD24" s="335"/>
      <c r="AE24" s="335"/>
      <c r="AF24" s="335"/>
      <c r="AG24" s="335"/>
      <c r="AH24" s="335"/>
      <c r="AI24" s="335"/>
      <c r="AJ24" s="335"/>
      <c r="AK24" s="335"/>
      <c r="AL24" s="335"/>
      <c r="AM24" s="335"/>
    </row>
    <row r="25" spans="1:39" x14ac:dyDescent="0.25">
      <c r="D25" s="334"/>
      <c r="E25" s="334"/>
      <c r="F25" s="187"/>
      <c r="G25" s="187"/>
      <c r="H25" s="335"/>
      <c r="I25" s="335"/>
      <c r="J25" s="335"/>
      <c r="K25" s="335"/>
      <c r="L25" s="335"/>
      <c r="M25" s="335"/>
      <c r="N25" s="335"/>
      <c r="O25" s="335"/>
      <c r="P25" s="335"/>
      <c r="Q25" s="335"/>
      <c r="R25" s="335"/>
      <c r="S25" s="335"/>
      <c r="T25" s="335"/>
      <c r="U25" s="335"/>
      <c r="V25" s="335"/>
      <c r="W25" s="335"/>
      <c r="X25" s="335"/>
      <c r="Y25" s="335"/>
      <c r="Z25" s="335"/>
      <c r="AA25" s="335"/>
      <c r="AB25" s="335"/>
      <c r="AC25" s="335"/>
      <c r="AD25" s="335"/>
      <c r="AE25" s="335"/>
      <c r="AF25" s="335"/>
      <c r="AG25" s="335"/>
      <c r="AH25" s="335"/>
      <c r="AI25" s="335"/>
      <c r="AJ25" s="335"/>
      <c r="AK25" s="335"/>
      <c r="AL25" s="335"/>
      <c r="AM25" s="335"/>
    </row>
    <row r="26" spans="1:39" x14ac:dyDescent="0.25">
      <c r="D26" s="334"/>
      <c r="E26" s="334"/>
      <c r="F26" s="187"/>
      <c r="G26" s="187"/>
      <c r="H26" s="335"/>
      <c r="I26" s="335"/>
      <c r="J26" s="335"/>
      <c r="K26" s="335"/>
      <c r="L26" s="335"/>
      <c r="M26" s="335"/>
      <c r="N26" s="335"/>
      <c r="O26" s="335"/>
      <c r="P26" s="335"/>
      <c r="Q26" s="335"/>
      <c r="R26" s="335"/>
      <c r="S26" s="335"/>
      <c r="T26" s="335"/>
      <c r="U26" s="335"/>
      <c r="V26" s="335"/>
      <c r="W26" s="335"/>
      <c r="X26" s="335"/>
      <c r="Y26" s="335"/>
      <c r="Z26" s="335"/>
      <c r="AA26" s="335"/>
      <c r="AB26" s="335"/>
      <c r="AC26" s="335"/>
      <c r="AD26" s="335"/>
      <c r="AE26" s="335"/>
      <c r="AF26" s="335"/>
      <c r="AG26" s="335"/>
      <c r="AH26" s="335"/>
      <c r="AI26" s="335"/>
      <c r="AJ26" s="335"/>
      <c r="AK26" s="335"/>
      <c r="AL26" s="335"/>
      <c r="AM26" s="335"/>
    </row>
    <row r="27" spans="1:39" x14ac:dyDescent="0.25">
      <c r="D27" s="334"/>
      <c r="E27" s="334"/>
      <c r="F27" s="187"/>
      <c r="G27" s="187"/>
      <c r="H27" s="335"/>
      <c r="I27" s="335"/>
      <c r="J27" s="335"/>
      <c r="K27" s="335"/>
      <c r="L27" s="335"/>
      <c r="M27" s="335"/>
      <c r="N27" s="335"/>
      <c r="O27" s="335"/>
      <c r="P27" s="335"/>
      <c r="Q27" s="335"/>
      <c r="R27" s="335"/>
      <c r="S27" s="335"/>
      <c r="T27" s="335"/>
      <c r="U27" s="335"/>
      <c r="V27" s="335"/>
      <c r="W27" s="335"/>
      <c r="X27" s="335"/>
      <c r="Y27" s="335"/>
      <c r="Z27" s="335"/>
      <c r="AA27" s="335"/>
      <c r="AB27" s="335"/>
      <c r="AC27" s="335"/>
      <c r="AD27" s="335"/>
      <c r="AE27" s="335"/>
      <c r="AF27" s="335"/>
      <c r="AG27" s="335"/>
      <c r="AH27" s="335"/>
      <c r="AI27" s="335"/>
      <c r="AJ27" s="335"/>
      <c r="AK27" s="335"/>
      <c r="AL27" s="335"/>
      <c r="AM27" s="335"/>
    </row>
  </sheetData>
  <mergeCells count="20">
    <mergeCell ref="V7:W7"/>
    <mergeCell ref="X7:Y7"/>
    <mergeCell ref="Z7:AA7"/>
    <mergeCell ref="AB7:AC7"/>
    <mergeCell ref="D5:E5"/>
    <mergeCell ref="H7:I7"/>
    <mergeCell ref="J7:K7"/>
    <mergeCell ref="L7:M7"/>
    <mergeCell ref="N7:O7"/>
    <mergeCell ref="P7:Q7"/>
    <mergeCell ref="D4:E4"/>
    <mergeCell ref="F7:G7"/>
    <mergeCell ref="D7:E7"/>
    <mergeCell ref="R7:S7"/>
    <mergeCell ref="T7:U7"/>
    <mergeCell ref="AJ7:AK7"/>
    <mergeCell ref="AD7:AE7"/>
    <mergeCell ref="AF7:AG7"/>
    <mergeCell ref="AH7:AI7"/>
    <mergeCell ref="AL7:AM7"/>
  </mergeCells>
  <dataValidations disablePrompts="1" count="1">
    <dataValidation type="list" allowBlank="1" showInputMessage="1" showErrorMessage="1" sqref="D5:E5" xr:uid="{E67B9959-545B-4832-9524-268EBF8D7DE4}">
      <formula1>INDIRECT("PayrollDateTable[PayrollDate]")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9E6B-3E5C-49E2-ACCB-1786998EC938}">
  <sheetPr codeName="Sheet17"/>
  <dimension ref="D1:W26"/>
  <sheetViews>
    <sheetView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H3" sqref="H3"/>
    </sheetView>
  </sheetViews>
  <sheetFormatPr defaultRowHeight="15" x14ac:dyDescent="0.25"/>
  <cols>
    <col min="4" max="4" width="15.5703125" customWidth="1"/>
    <col min="6" max="6" width="12.28515625" customWidth="1"/>
    <col min="7" max="7" width="12.42578125" customWidth="1"/>
    <col min="8" max="8" width="10" customWidth="1"/>
    <col min="9" max="9" width="11.28515625" customWidth="1"/>
    <col min="10" max="10" width="12.42578125" customWidth="1"/>
    <col min="11" max="11" width="13.28515625" customWidth="1"/>
    <col min="12" max="12" width="9.28515625" customWidth="1"/>
    <col min="13" max="13" width="11.5703125" customWidth="1"/>
    <col min="14" max="17" width="14.140625" customWidth="1"/>
    <col min="20" max="20" width="10.140625" customWidth="1"/>
    <col min="21" max="21" width="11.7109375" customWidth="1"/>
    <col min="23" max="23" width="11.5703125" customWidth="1"/>
  </cols>
  <sheetData>
    <row r="1" spans="4:23" x14ac:dyDescent="0.25">
      <c r="D1" t="s">
        <v>3613</v>
      </c>
    </row>
    <row r="6" spans="4:23" x14ac:dyDescent="0.25">
      <c r="D6" s="247">
        <f>COUNTA(PayrollTable[CoverageDate])</f>
        <v>16</v>
      </c>
    </row>
    <row r="7" spans="4:23" x14ac:dyDescent="0.25">
      <c r="D7" s="285" t="s">
        <v>3602</v>
      </c>
      <c r="E7" s="285" t="s">
        <v>3551</v>
      </c>
      <c r="F7" s="285" t="s">
        <v>3559</v>
      </c>
      <c r="G7" s="285" t="s">
        <v>3603</v>
      </c>
      <c r="H7" s="285" t="s">
        <v>3585</v>
      </c>
      <c r="I7" s="285" t="s">
        <v>3604</v>
      </c>
      <c r="J7" s="285" t="s">
        <v>3606</v>
      </c>
      <c r="K7" s="285" t="s">
        <v>3601</v>
      </c>
      <c r="L7" s="285" t="s">
        <v>3605</v>
      </c>
      <c r="M7" s="285" t="s">
        <v>3607</v>
      </c>
      <c r="N7" s="285" t="s">
        <v>3608</v>
      </c>
      <c r="O7" s="285" t="s">
        <v>3629</v>
      </c>
      <c r="P7" s="285" t="s">
        <v>3632</v>
      </c>
      <c r="Q7" s="285" t="s">
        <v>3630</v>
      </c>
      <c r="R7" s="285" t="s">
        <v>3609</v>
      </c>
      <c r="S7" s="285" t="s">
        <v>3610</v>
      </c>
      <c r="T7" s="285" t="s">
        <v>3611</v>
      </c>
      <c r="U7" s="285" t="s">
        <v>3556</v>
      </c>
      <c r="V7" s="285" t="s">
        <v>3591</v>
      </c>
      <c r="W7" s="285" t="s">
        <v>3612</v>
      </c>
    </row>
    <row r="8" spans="4:23" x14ac:dyDescent="0.25">
      <c r="D8" t="s">
        <v>3561</v>
      </c>
      <c r="E8">
        <v>1001</v>
      </c>
      <c r="F8" t="s">
        <v>3510</v>
      </c>
      <c r="G8">
        <v>8900</v>
      </c>
      <c r="H8">
        <v>75</v>
      </c>
      <c r="I8">
        <v>120</v>
      </c>
      <c r="J8">
        <v>9000</v>
      </c>
      <c r="K8">
        <v>80</v>
      </c>
      <c r="L8">
        <v>5</v>
      </c>
      <c r="M8">
        <v>400</v>
      </c>
      <c r="N8">
        <v>9400</v>
      </c>
      <c r="R8">
        <v>500</v>
      </c>
      <c r="S8">
        <v>0</v>
      </c>
      <c r="T8">
        <v>0</v>
      </c>
      <c r="U8">
        <v>0</v>
      </c>
      <c r="V8">
        <v>0</v>
      </c>
      <c r="W8">
        <v>500</v>
      </c>
    </row>
    <row r="9" spans="4:23" x14ac:dyDescent="0.25">
      <c r="D9" t="s">
        <v>3561</v>
      </c>
      <c r="E9">
        <v>1002</v>
      </c>
      <c r="F9" t="s">
        <v>3518</v>
      </c>
      <c r="G9">
        <v>6300</v>
      </c>
      <c r="H9">
        <v>62.5</v>
      </c>
      <c r="I9">
        <v>100</v>
      </c>
      <c r="J9">
        <v>6250</v>
      </c>
      <c r="K9">
        <v>70</v>
      </c>
      <c r="L9">
        <v>5</v>
      </c>
      <c r="M9">
        <v>350</v>
      </c>
      <c r="N9">
        <v>6600</v>
      </c>
      <c r="R9">
        <v>300</v>
      </c>
      <c r="S9">
        <v>0</v>
      </c>
      <c r="T9">
        <v>0</v>
      </c>
      <c r="U9">
        <v>0</v>
      </c>
      <c r="V9">
        <v>0</v>
      </c>
      <c r="W9">
        <v>300</v>
      </c>
    </row>
    <row r="10" spans="4:23" x14ac:dyDescent="0.25">
      <c r="D10" t="s">
        <v>3561</v>
      </c>
      <c r="E10">
        <v>1003</v>
      </c>
      <c r="F10" t="s">
        <v>3530</v>
      </c>
      <c r="G10">
        <v>4325</v>
      </c>
      <c r="H10">
        <v>43.75</v>
      </c>
      <c r="I10">
        <v>100</v>
      </c>
      <c r="J10">
        <v>4375</v>
      </c>
      <c r="K10">
        <v>50</v>
      </c>
      <c r="L10">
        <v>5</v>
      </c>
      <c r="M10">
        <v>250</v>
      </c>
      <c r="N10">
        <v>4625</v>
      </c>
      <c r="R10">
        <v>300</v>
      </c>
      <c r="S10">
        <v>0</v>
      </c>
      <c r="T10">
        <v>0</v>
      </c>
      <c r="U10">
        <v>0</v>
      </c>
      <c r="V10">
        <v>0</v>
      </c>
      <c r="W10">
        <v>300</v>
      </c>
    </row>
    <row r="11" spans="4:23" x14ac:dyDescent="0.25">
      <c r="D11" t="s">
        <v>3561</v>
      </c>
      <c r="E11">
        <v>1004</v>
      </c>
      <c r="F11" t="s">
        <v>3537</v>
      </c>
      <c r="G11">
        <v>5200</v>
      </c>
      <c r="H11">
        <v>43.75</v>
      </c>
      <c r="I11">
        <v>120</v>
      </c>
      <c r="J11">
        <v>5250</v>
      </c>
      <c r="K11">
        <v>50</v>
      </c>
      <c r="L11">
        <v>5</v>
      </c>
      <c r="M11">
        <v>250</v>
      </c>
      <c r="N11">
        <v>5500</v>
      </c>
      <c r="R11">
        <v>300</v>
      </c>
      <c r="S11">
        <v>0</v>
      </c>
      <c r="T11">
        <v>0</v>
      </c>
      <c r="U11">
        <v>0</v>
      </c>
      <c r="V11">
        <v>0</v>
      </c>
      <c r="W11">
        <v>300</v>
      </c>
    </row>
    <row r="12" spans="4:23" x14ac:dyDescent="0.25">
      <c r="D12" t="s">
        <v>3562</v>
      </c>
      <c r="E12">
        <v>1001</v>
      </c>
      <c r="F12" t="s">
        <v>3510</v>
      </c>
      <c r="G12">
        <v>8160</v>
      </c>
      <c r="H12">
        <v>75</v>
      </c>
      <c r="I12">
        <v>108</v>
      </c>
      <c r="J12">
        <v>8100</v>
      </c>
      <c r="K12">
        <v>80</v>
      </c>
      <c r="L12">
        <v>5</v>
      </c>
      <c r="M12">
        <v>400</v>
      </c>
      <c r="N12">
        <v>8500</v>
      </c>
      <c r="R12">
        <v>0</v>
      </c>
      <c r="S12">
        <v>340</v>
      </c>
      <c r="T12">
        <v>0</v>
      </c>
      <c r="U12">
        <v>0</v>
      </c>
      <c r="V12">
        <v>0</v>
      </c>
      <c r="W12">
        <v>340</v>
      </c>
    </row>
    <row r="13" spans="4:23" x14ac:dyDescent="0.25">
      <c r="D13" t="s">
        <v>3562</v>
      </c>
      <c r="E13">
        <v>1002</v>
      </c>
      <c r="F13" t="s">
        <v>3518</v>
      </c>
      <c r="G13">
        <v>7860</v>
      </c>
      <c r="H13">
        <v>62.5</v>
      </c>
      <c r="I13">
        <v>120</v>
      </c>
      <c r="J13">
        <v>7500</v>
      </c>
      <c r="K13">
        <v>70</v>
      </c>
      <c r="L13">
        <v>10</v>
      </c>
      <c r="M13">
        <v>700</v>
      </c>
      <c r="N13">
        <v>8200</v>
      </c>
      <c r="R13">
        <v>0</v>
      </c>
      <c r="S13">
        <v>340</v>
      </c>
      <c r="T13">
        <v>0</v>
      </c>
      <c r="U13">
        <v>0</v>
      </c>
      <c r="V13">
        <v>0</v>
      </c>
      <c r="W13">
        <v>340</v>
      </c>
    </row>
    <row r="14" spans="4:23" x14ac:dyDescent="0.25">
      <c r="D14" t="s">
        <v>3562</v>
      </c>
      <c r="E14">
        <v>1003</v>
      </c>
      <c r="F14" t="s">
        <v>3530</v>
      </c>
      <c r="G14">
        <v>5410</v>
      </c>
      <c r="H14">
        <v>43.75</v>
      </c>
      <c r="I14">
        <v>120</v>
      </c>
      <c r="J14">
        <v>5250</v>
      </c>
      <c r="K14">
        <v>50</v>
      </c>
      <c r="L14">
        <v>10</v>
      </c>
      <c r="M14">
        <v>500</v>
      </c>
      <c r="N14">
        <v>5750</v>
      </c>
      <c r="R14">
        <v>0</v>
      </c>
      <c r="S14">
        <v>340</v>
      </c>
      <c r="T14">
        <v>0</v>
      </c>
      <c r="U14">
        <v>0</v>
      </c>
      <c r="V14">
        <v>0</v>
      </c>
      <c r="W14">
        <v>340</v>
      </c>
    </row>
    <row r="15" spans="4:23" x14ac:dyDescent="0.25">
      <c r="D15" t="s">
        <v>3562</v>
      </c>
      <c r="E15">
        <v>1004</v>
      </c>
      <c r="F15" t="s">
        <v>3537</v>
      </c>
      <c r="G15">
        <v>5410</v>
      </c>
      <c r="H15">
        <v>43.75</v>
      </c>
      <c r="I15">
        <v>120</v>
      </c>
      <c r="J15">
        <v>5250</v>
      </c>
      <c r="K15">
        <v>50</v>
      </c>
      <c r="L15">
        <v>10</v>
      </c>
      <c r="M15">
        <v>500</v>
      </c>
      <c r="N15">
        <v>5750</v>
      </c>
      <c r="R15">
        <v>0</v>
      </c>
      <c r="S15">
        <v>340</v>
      </c>
      <c r="T15">
        <v>0</v>
      </c>
      <c r="U15">
        <v>0</v>
      </c>
      <c r="V15">
        <v>0</v>
      </c>
      <c r="W15">
        <v>340</v>
      </c>
    </row>
    <row r="16" spans="4:23" x14ac:dyDescent="0.25">
      <c r="D16" t="s">
        <v>3567</v>
      </c>
      <c r="E16">
        <v>1001</v>
      </c>
      <c r="F16" t="s">
        <v>3510</v>
      </c>
      <c r="G16">
        <v>8760</v>
      </c>
      <c r="H16">
        <v>75</v>
      </c>
      <c r="I16">
        <v>108</v>
      </c>
      <c r="J16">
        <v>8100</v>
      </c>
      <c r="K16">
        <v>80</v>
      </c>
      <c r="L16">
        <v>5</v>
      </c>
      <c r="M16">
        <v>400</v>
      </c>
      <c r="N16">
        <v>8500</v>
      </c>
      <c r="R16">
        <v>0</v>
      </c>
      <c r="S16">
        <v>340</v>
      </c>
      <c r="T16">
        <v>0</v>
      </c>
      <c r="U16">
        <v>0</v>
      </c>
      <c r="V16">
        <v>0</v>
      </c>
      <c r="W16">
        <v>340</v>
      </c>
    </row>
    <row r="17" spans="4:23" x14ac:dyDescent="0.25">
      <c r="D17" t="s">
        <v>3567</v>
      </c>
      <c r="E17">
        <v>1002</v>
      </c>
      <c r="F17" t="s">
        <v>3518</v>
      </c>
      <c r="G17">
        <v>8360</v>
      </c>
      <c r="H17">
        <v>62.5</v>
      </c>
      <c r="I17">
        <v>120</v>
      </c>
      <c r="J17">
        <v>7500</v>
      </c>
      <c r="K17">
        <v>70</v>
      </c>
      <c r="L17">
        <v>10</v>
      </c>
      <c r="M17">
        <v>700</v>
      </c>
      <c r="N17">
        <v>8200</v>
      </c>
      <c r="R17">
        <v>0</v>
      </c>
      <c r="S17">
        <v>340</v>
      </c>
      <c r="T17">
        <v>0</v>
      </c>
      <c r="U17">
        <v>0</v>
      </c>
      <c r="V17">
        <v>0</v>
      </c>
      <c r="W17">
        <v>340</v>
      </c>
    </row>
    <row r="18" spans="4:23" x14ac:dyDescent="0.25">
      <c r="D18" t="s">
        <v>3567</v>
      </c>
      <c r="E18">
        <v>1003</v>
      </c>
      <c r="F18" t="s">
        <v>3530</v>
      </c>
      <c r="G18">
        <v>5410</v>
      </c>
      <c r="H18">
        <v>43.75</v>
      </c>
      <c r="I18">
        <v>120</v>
      </c>
      <c r="J18">
        <v>5250</v>
      </c>
      <c r="K18">
        <v>50</v>
      </c>
      <c r="L18">
        <v>10</v>
      </c>
      <c r="M18">
        <v>500</v>
      </c>
      <c r="N18">
        <v>5750</v>
      </c>
      <c r="R18">
        <v>0</v>
      </c>
      <c r="S18">
        <v>340</v>
      </c>
      <c r="T18">
        <v>0</v>
      </c>
      <c r="U18">
        <v>0</v>
      </c>
      <c r="V18">
        <v>0</v>
      </c>
      <c r="W18">
        <v>340</v>
      </c>
    </row>
    <row r="19" spans="4:23" x14ac:dyDescent="0.25">
      <c r="D19" t="s">
        <v>3567</v>
      </c>
      <c r="E19">
        <v>1004</v>
      </c>
      <c r="F19" t="s">
        <v>3537</v>
      </c>
      <c r="G19">
        <v>5410</v>
      </c>
      <c r="H19">
        <v>43.75</v>
      </c>
      <c r="I19">
        <v>120</v>
      </c>
      <c r="J19">
        <v>5250</v>
      </c>
      <c r="K19">
        <v>50</v>
      </c>
      <c r="L19">
        <v>10</v>
      </c>
      <c r="M19">
        <v>500</v>
      </c>
      <c r="N19">
        <v>5750</v>
      </c>
      <c r="R19">
        <v>0</v>
      </c>
      <c r="S19">
        <v>340</v>
      </c>
      <c r="T19">
        <v>0</v>
      </c>
      <c r="U19">
        <v>0</v>
      </c>
      <c r="V19">
        <v>0</v>
      </c>
      <c r="W19">
        <v>340</v>
      </c>
    </row>
    <row r="20" spans="4:23" x14ac:dyDescent="0.25">
      <c r="D20" t="s">
        <v>3567</v>
      </c>
      <c r="E20">
        <v>1001</v>
      </c>
      <c r="F20" t="s">
        <v>3510</v>
      </c>
      <c r="G20">
        <v>8760</v>
      </c>
      <c r="H20">
        <v>75</v>
      </c>
      <c r="I20">
        <v>108</v>
      </c>
      <c r="J20">
        <v>8100</v>
      </c>
      <c r="K20">
        <v>80</v>
      </c>
      <c r="L20">
        <v>5</v>
      </c>
      <c r="M20">
        <v>400</v>
      </c>
      <c r="N20">
        <v>8500</v>
      </c>
      <c r="O20">
        <v>8</v>
      </c>
      <c r="P20">
        <v>0</v>
      </c>
      <c r="Q20">
        <v>0</v>
      </c>
      <c r="R20">
        <v>0</v>
      </c>
      <c r="S20">
        <v>340</v>
      </c>
      <c r="T20">
        <v>0</v>
      </c>
      <c r="U20">
        <v>0</v>
      </c>
      <c r="V20">
        <v>0</v>
      </c>
      <c r="W20">
        <v>340</v>
      </c>
    </row>
    <row r="21" spans="4:23" x14ac:dyDescent="0.25">
      <c r="D21" t="s">
        <v>3567</v>
      </c>
      <c r="E21">
        <v>1002</v>
      </c>
      <c r="F21" t="s">
        <v>3518</v>
      </c>
      <c r="G21">
        <v>8360</v>
      </c>
      <c r="H21">
        <v>62.5</v>
      </c>
      <c r="I21">
        <v>120</v>
      </c>
      <c r="J21">
        <v>7500</v>
      </c>
      <c r="K21">
        <v>70</v>
      </c>
      <c r="L21">
        <v>10</v>
      </c>
      <c r="M21">
        <v>700</v>
      </c>
      <c r="N21">
        <v>8200</v>
      </c>
      <c r="O21">
        <v>0</v>
      </c>
      <c r="P21">
        <v>8</v>
      </c>
      <c r="Q21">
        <v>0</v>
      </c>
      <c r="R21">
        <v>0</v>
      </c>
      <c r="S21">
        <v>340</v>
      </c>
      <c r="T21">
        <v>0</v>
      </c>
      <c r="U21">
        <v>0</v>
      </c>
      <c r="V21">
        <v>0</v>
      </c>
      <c r="W21">
        <v>340</v>
      </c>
    </row>
    <row r="22" spans="4:23" x14ac:dyDescent="0.25">
      <c r="D22" t="s">
        <v>3567</v>
      </c>
      <c r="E22">
        <v>1003</v>
      </c>
      <c r="F22" t="s">
        <v>3530</v>
      </c>
      <c r="G22">
        <v>5847.5</v>
      </c>
      <c r="H22">
        <v>43.75</v>
      </c>
      <c r="I22">
        <v>120</v>
      </c>
      <c r="J22">
        <v>5250</v>
      </c>
      <c r="K22">
        <v>50</v>
      </c>
      <c r="L22">
        <v>10</v>
      </c>
      <c r="M22">
        <v>500</v>
      </c>
      <c r="N22">
        <v>5750</v>
      </c>
      <c r="O22">
        <v>0</v>
      </c>
      <c r="P22">
        <v>0</v>
      </c>
      <c r="Q22">
        <v>10</v>
      </c>
      <c r="R22">
        <v>0</v>
      </c>
      <c r="S22">
        <v>340</v>
      </c>
      <c r="T22">
        <v>0</v>
      </c>
      <c r="U22">
        <v>0</v>
      </c>
      <c r="V22">
        <v>0</v>
      </c>
      <c r="W22">
        <v>340</v>
      </c>
    </row>
    <row r="23" spans="4:23" x14ac:dyDescent="0.25">
      <c r="D23" t="s">
        <v>3567</v>
      </c>
      <c r="E23">
        <v>1004</v>
      </c>
      <c r="F23" t="s">
        <v>3537</v>
      </c>
      <c r="G23">
        <v>5847.5</v>
      </c>
      <c r="H23">
        <v>43.75</v>
      </c>
      <c r="I23">
        <v>120</v>
      </c>
      <c r="J23">
        <v>5250</v>
      </c>
      <c r="K23">
        <v>50</v>
      </c>
      <c r="L23">
        <v>10</v>
      </c>
      <c r="M23">
        <v>500</v>
      </c>
      <c r="N23">
        <v>5750</v>
      </c>
      <c r="O23">
        <v>0</v>
      </c>
      <c r="P23">
        <v>0</v>
      </c>
      <c r="Q23">
        <v>10</v>
      </c>
      <c r="R23">
        <v>0</v>
      </c>
      <c r="S23">
        <v>340</v>
      </c>
      <c r="T23">
        <v>0</v>
      </c>
      <c r="U23">
        <v>0</v>
      </c>
      <c r="V23">
        <v>0</v>
      </c>
      <c r="W23">
        <v>340</v>
      </c>
    </row>
    <row r="26" spans="4:23" x14ac:dyDescent="0.25">
      <c r="D26">
        <f>23-19</f>
        <v>4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54CD1-5F3A-4207-A82F-1940B05B324E}">
  <sheetPr codeName="Sheet10"/>
  <dimension ref="A4:K90"/>
  <sheetViews>
    <sheetView showGridLines="0" workbookViewId="0">
      <selection activeCell="J22" sqref="J22"/>
    </sheetView>
  </sheetViews>
  <sheetFormatPr defaultRowHeight="15" x14ac:dyDescent="0.25"/>
  <cols>
    <col min="1" max="1" width="18.42578125" customWidth="1"/>
    <col min="2" max="2" width="1.42578125" customWidth="1"/>
    <col min="3" max="3" width="9.140625" customWidth="1"/>
    <col min="4" max="4" width="41.42578125" customWidth="1"/>
    <col min="5" max="5" width="9.140625" customWidth="1"/>
    <col min="6" max="6" width="11.42578125" customWidth="1"/>
    <col min="7" max="7" width="24.28515625" customWidth="1"/>
    <col min="8" max="8" width="1.7109375" customWidth="1"/>
  </cols>
  <sheetData>
    <row r="4" spans="1:11" x14ac:dyDescent="0.25">
      <c r="A4" t="s">
        <v>3452</v>
      </c>
    </row>
    <row r="7" spans="1:11" ht="24.75" customHeight="1" x14ac:dyDescent="0.25"/>
    <row r="8" spans="1:11" x14ac:dyDescent="0.25">
      <c r="C8" s="637" t="s">
        <v>3440</v>
      </c>
      <c r="D8" s="637"/>
      <c r="E8" s="637"/>
      <c r="F8" s="637"/>
      <c r="G8" s="637"/>
    </row>
    <row r="9" spans="1:11" x14ac:dyDescent="0.25">
      <c r="C9" s="637"/>
      <c r="D9" s="637"/>
      <c r="E9" s="637"/>
      <c r="F9" s="637"/>
      <c r="G9" s="637"/>
    </row>
    <row r="10" spans="1:11" ht="9.75" customHeight="1" x14ac:dyDescent="0.25"/>
    <row r="11" spans="1:11" x14ac:dyDescent="0.25">
      <c r="C11" s="185" t="s">
        <v>3441</v>
      </c>
      <c r="D11" s="186" t="s">
        <v>3453</v>
      </c>
      <c r="E11" s="635" t="s">
        <v>3443</v>
      </c>
      <c r="F11" s="635"/>
      <c r="G11" s="186"/>
      <c r="H11" s="187"/>
      <c r="I11" s="188"/>
      <c r="J11" s="187"/>
      <c r="K11" s="187"/>
    </row>
    <row r="12" spans="1:11" x14ac:dyDescent="0.25">
      <c r="C12" s="185" t="s">
        <v>3442</v>
      </c>
      <c r="D12" s="186"/>
      <c r="E12" s="635" t="s">
        <v>3444</v>
      </c>
      <c r="F12" s="635"/>
      <c r="G12" s="186"/>
      <c r="H12" s="187"/>
      <c r="I12" s="188"/>
      <c r="J12" s="187"/>
      <c r="K12" s="187"/>
    </row>
    <row r="13" spans="1:11" x14ac:dyDescent="0.25">
      <c r="D13" s="186"/>
      <c r="E13" s="636" t="s">
        <v>3445</v>
      </c>
      <c r="F13" s="636"/>
      <c r="G13" s="186"/>
      <c r="H13" s="187"/>
      <c r="I13" s="187"/>
      <c r="J13" s="187"/>
      <c r="K13" s="187"/>
    </row>
    <row r="14" spans="1:11" x14ac:dyDescent="0.25">
      <c r="D14" s="186"/>
      <c r="E14" s="187"/>
      <c r="F14" s="187"/>
      <c r="G14" s="187"/>
      <c r="H14" s="187"/>
      <c r="I14" s="187"/>
      <c r="J14" s="187"/>
      <c r="K14" s="187"/>
    </row>
    <row r="16" spans="1:11" x14ac:dyDescent="0.25">
      <c r="A16" s="11"/>
      <c r="C16" s="196" t="s">
        <v>0</v>
      </c>
      <c r="D16" s="196"/>
      <c r="E16" s="196" t="s">
        <v>3447</v>
      </c>
      <c r="F16" s="191" t="s">
        <v>3448</v>
      </c>
      <c r="G16" s="191" t="s">
        <v>3449</v>
      </c>
    </row>
    <row r="17" spans="3:10" x14ac:dyDescent="0.25">
      <c r="C17" s="193"/>
      <c r="D17" s="193"/>
      <c r="E17" s="193"/>
      <c r="F17" s="192"/>
      <c r="G17" s="192"/>
      <c r="H17" s="187"/>
      <c r="I17" s="187"/>
      <c r="J17" s="187"/>
    </row>
    <row r="18" spans="3:10" x14ac:dyDescent="0.25">
      <c r="C18" s="193"/>
      <c r="D18" s="193"/>
      <c r="E18" s="193"/>
      <c r="F18" s="192"/>
      <c r="G18" s="192"/>
      <c r="H18" s="187"/>
      <c r="I18" s="187"/>
      <c r="J18" s="187"/>
    </row>
    <row r="19" spans="3:10" x14ac:dyDescent="0.25">
      <c r="C19" s="236"/>
      <c r="D19" s="236"/>
      <c r="E19" s="236"/>
      <c r="F19" s="218"/>
      <c r="G19" s="218"/>
      <c r="H19" s="187"/>
      <c r="I19" s="187"/>
      <c r="J19" s="187"/>
    </row>
    <row r="20" spans="3:10" ht="17.25" x14ac:dyDescent="0.25">
      <c r="C20" s="194"/>
      <c r="D20" s="194"/>
      <c r="E20" s="194"/>
      <c r="F20" s="232"/>
      <c r="G20" s="233"/>
      <c r="H20" s="187"/>
      <c r="I20" s="187"/>
      <c r="J20" s="187"/>
    </row>
    <row r="21" spans="3:10" x14ac:dyDescent="0.25">
      <c r="C21" s="230"/>
      <c r="D21" s="198"/>
      <c r="E21" s="198"/>
      <c r="F21" s="229"/>
      <c r="G21" s="234"/>
      <c r="H21" s="187"/>
      <c r="I21" s="187"/>
      <c r="J21" s="187"/>
    </row>
    <row r="22" spans="3:10" ht="15.75" x14ac:dyDescent="0.25">
      <c r="C22" s="231"/>
      <c r="D22" s="195"/>
      <c r="E22" s="199"/>
      <c r="F22" s="228"/>
      <c r="G22" s="235"/>
      <c r="H22" s="187"/>
      <c r="I22" s="187"/>
      <c r="J22" s="187"/>
    </row>
    <row r="23" spans="3:10" x14ac:dyDescent="0.25">
      <c r="C23" s="231"/>
      <c r="D23" s="632"/>
      <c r="E23" s="633"/>
      <c r="F23" s="633"/>
      <c r="G23" s="634"/>
      <c r="H23" s="187"/>
      <c r="I23" s="187"/>
      <c r="J23" s="187"/>
    </row>
    <row r="24" spans="3:10" x14ac:dyDescent="0.25">
      <c r="C24" s="231"/>
      <c r="D24" s="633"/>
      <c r="E24" s="633"/>
      <c r="F24" s="633"/>
      <c r="G24" s="634"/>
      <c r="H24" s="187"/>
      <c r="I24" s="187"/>
      <c r="J24" s="187"/>
    </row>
    <row r="25" spans="3:10" x14ac:dyDescent="0.25">
      <c r="C25" s="231"/>
      <c r="D25" s="633"/>
      <c r="E25" s="633"/>
      <c r="F25" s="633"/>
      <c r="G25" s="634"/>
      <c r="H25" s="187"/>
      <c r="I25" s="187"/>
      <c r="J25" s="187"/>
    </row>
    <row r="26" spans="3:10" x14ac:dyDescent="0.25">
      <c r="C26" s="231"/>
      <c r="D26" s="199"/>
      <c r="E26" s="199"/>
      <c r="F26" s="228"/>
      <c r="G26" s="235"/>
      <c r="H26" s="187"/>
      <c r="I26" s="187"/>
      <c r="J26" s="187"/>
    </row>
    <row r="27" spans="3:10" x14ac:dyDescent="0.25">
      <c r="C27" s="231"/>
      <c r="D27" s="199"/>
      <c r="E27" s="199"/>
      <c r="F27" s="228"/>
      <c r="G27" s="235"/>
      <c r="H27" s="187"/>
      <c r="I27" s="187"/>
      <c r="J27" s="187"/>
    </row>
    <row r="28" spans="3:10" ht="15.75" x14ac:dyDescent="0.25">
      <c r="C28" s="231"/>
      <c r="D28" s="197"/>
      <c r="E28" s="197"/>
      <c r="F28" s="228"/>
      <c r="G28" s="235"/>
      <c r="H28" s="187"/>
      <c r="I28" s="187"/>
      <c r="J28" s="187"/>
    </row>
    <row r="29" spans="3:10" x14ac:dyDescent="0.25">
      <c r="C29" s="222"/>
      <c r="D29" s="220"/>
      <c r="E29" s="187"/>
      <c r="F29" s="221"/>
      <c r="G29" s="225"/>
      <c r="H29" s="187"/>
      <c r="I29" s="187"/>
      <c r="J29" s="187"/>
    </row>
    <row r="30" spans="3:10" x14ac:dyDescent="0.25">
      <c r="C30" s="223"/>
      <c r="D30" s="186"/>
      <c r="E30" s="186"/>
      <c r="F30" s="224"/>
      <c r="G30" s="226"/>
      <c r="H30" s="187"/>
      <c r="I30" s="187"/>
      <c r="J30" s="187"/>
    </row>
    <row r="31" spans="3:10" x14ac:dyDescent="0.25">
      <c r="C31" s="187"/>
      <c r="D31" s="187"/>
      <c r="E31" s="187"/>
      <c r="F31" s="190"/>
      <c r="G31" s="190"/>
      <c r="H31" s="187"/>
      <c r="I31" s="187"/>
      <c r="J31" s="187"/>
    </row>
    <row r="32" spans="3:10" x14ac:dyDescent="0.25">
      <c r="C32" s="187"/>
      <c r="D32" s="187"/>
      <c r="E32" s="187"/>
      <c r="F32" s="190"/>
      <c r="G32" s="190"/>
      <c r="H32" s="187"/>
      <c r="I32" s="187"/>
      <c r="J32" s="187"/>
    </row>
    <row r="33" spans="3:10" x14ac:dyDescent="0.25">
      <c r="C33" s="187"/>
      <c r="D33" s="187"/>
      <c r="E33" s="187"/>
      <c r="F33" s="190"/>
      <c r="G33" s="190"/>
      <c r="H33" s="187"/>
      <c r="I33" s="187"/>
      <c r="J33" s="187"/>
    </row>
    <row r="34" spans="3:10" x14ac:dyDescent="0.25">
      <c r="C34" s="187"/>
      <c r="D34" s="187"/>
      <c r="E34" s="187"/>
      <c r="F34" s="190"/>
      <c r="G34" s="190"/>
      <c r="H34" s="187"/>
      <c r="I34" s="187"/>
      <c r="J34" s="187"/>
    </row>
    <row r="35" spans="3:10" x14ac:dyDescent="0.25">
      <c r="C35" s="187"/>
      <c r="D35" s="187"/>
      <c r="E35" s="187"/>
      <c r="F35" s="190"/>
      <c r="G35" s="190"/>
      <c r="H35" s="187"/>
      <c r="I35" s="187"/>
      <c r="J35" s="187"/>
    </row>
    <row r="36" spans="3:10" x14ac:dyDescent="0.25">
      <c r="F36" s="189"/>
      <c r="G36" s="189"/>
    </row>
    <row r="37" spans="3:10" x14ac:dyDescent="0.25">
      <c r="F37" s="189"/>
      <c r="G37" s="189"/>
    </row>
    <row r="38" spans="3:10" x14ac:dyDescent="0.25">
      <c r="F38" s="189"/>
      <c r="G38" s="189"/>
    </row>
    <row r="39" spans="3:10" x14ac:dyDescent="0.25">
      <c r="F39" s="189"/>
      <c r="G39" s="189"/>
    </row>
    <row r="40" spans="3:10" x14ac:dyDescent="0.25">
      <c r="F40" s="189"/>
      <c r="G40" s="189"/>
    </row>
    <row r="41" spans="3:10" x14ac:dyDescent="0.25">
      <c r="F41" s="189"/>
      <c r="G41" s="189"/>
    </row>
    <row r="42" spans="3:10" x14ac:dyDescent="0.25">
      <c r="F42" s="189"/>
      <c r="G42" s="189"/>
    </row>
    <row r="43" spans="3:10" x14ac:dyDescent="0.25">
      <c r="F43" s="189"/>
      <c r="G43" s="189"/>
    </row>
    <row r="44" spans="3:10" x14ac:dyDescent="0.25">
      <c r="F44" s="189"/>
      <c r="G44" s="189"/>
    </row>
    <row r="45" spans="3:10" x14ac:dyDescent="0.25">
      <c r="F45" s="189"/>
      <c r="G45" s="189"/>
    </row>
    <row r="46" spans="3:10" x14ac:dyDescent="0.25">
      <c r="F46" s="189"/>
      <c r="G46" s="189"/>
    </row>
    <row r="47" spans="3:10" x14ac:dyDescent="0.25">
      <c r="F47" s="189"/>
      <c r="G47" s="189"/>
    </row>
    <row r="48" spans="3:10" x14ac:dyDescent="0.25">
      <c r="F48" s="189"/>
      <c r="G48" s="189"/>
    </row>
    <row r="49" spans="6:7" x14ac:dyDescent="0.25">
      <c r="F49" s="189"/>
      <c r="G49" s="189"/>
    </row>
    <row r="50" spans="6:7" x14ac:dyDescent="0.25">
      <c r="F50" s="189"/>
      <c r="G50" s="189"/>
    </row>
    <row r="51" spans="6:7" x14ac:dyDescent="0.25">
      <c r="F51" s="189"/>
      <c r="G51" s="189"/>
    </row>
    <row r="52" spans="6:7" x14ac:dyDescent="0.25">
      <c r="F52" s="189"/>
      <c r="G52" s="189"/>
    </row>
    <row r="53" spans="6:7" x14ac:dyDescent="0.25">
      <c r="F53" s="189"/>
      <c r="G53" s="189"/>
    </row>
    <row r="54" spans="6:7" x14ac:dyDescent="0.25">
      <c r="F54" s="189"/>
      <c r="G54" s="189"/>
    </row>
    <row r="55" spans="6:7" x14ac:dyDescent="0.25">
      <c r="F55" s="189"/>
      <c r="G55" s="189"/>
    </row>
    <row r="56" spans="6:7" x14ac:dyDescent="0.25">
      <c r="F56" s="189"/>
      <c r="G56" s="189"/>
    </row>
    <row r="57" spans="6:7" x14ac:dyDescent="0.25">
      <c r="F57" s="189"/>
      <c r="G57" s="189"/>
    </row>
    <row r="58" spans="6:7" x14ac:dyDescent="0.25">
      <c r="F58" s="189"/>
      <c r="G58" s="189"/>
    </row>
    <row r="59" spans="6:7" x14ac:dyDescent="0.25">
      <c r="F59" s="189"/>
      <c r="G59" s="189"/>
    </row>
    <row r="60" spans="6:7" x14ac:dyDescent="0.25">
      <c r="F60" s="189"/>
      <c r="G60" s="189"/>
    </row>
    <row r="61" spans="6:7" x14ac:dyDescent="0.25">
      <c r="F61" s="189"/>
      <c r="G61" s="189"/>
    </row>
    <row r="62" spans="6:7" x14ac:dyDescent="0.25">
      <c r="F62" s="189"/>
      <c r="G62" s="189"/>
    </row>
    <row r="63" spans="6:7" x14ac:dyDescent="0.25">
      <c r="F63" s="189"/>
      <c r="G63" s="189"/>
    </row>
    <row r="64" spans="6:7" x14ac:dyDescent="0.25">
      <c r="F64" s="189"/>
      <c r="G64" s="189"/>
    </row>
    <row r="65" spans="6:7" x14ac:dyDescent="0.25">
      <c r="F65" s="189"/>
      <c r="G65" s="189"/>
    </row>
    <row r="66" spans="6:7" x14ac:dyDescent="0.25">
      <c r="F66" s="189"/>
      <c r="G66" s="189"/>
    </row>
    <row r="67" spans="6:7" x14ac:dyDescent="0.25">
      <c r="F67" s="189"/>
      <c r="G67" s="189"/>
    </row>
    <row r="68" spans="6:7" x14ac:dyDescent="0.25">
      <c r="F68" s="189"/>
      <c r="G68" s="189"/>
    </row>
    <row r="69" spans="6:7" x14ac:dyDescent="0.25">
      <c r="F69" s="189"/>
      <c r="G69" s="189"/>
    </row>
    <row r="70" spans="6:7" x14ac:dyDescent="0.25">
      <c r="F70" s="189"/>
      <c r="G70" s="189"/>
    </row>
    <row r="71" spans="6:7" x14ac:dyDescent="0.25">
      <c r="F71" s="189"/>
      <c r="G71" s="189"/>
    </row>
    <row r="72" spans="6:7" x14ac:dyDescent="0.25">
      <c r="F72" s="189"/>
      <c r="G72" s="189"/>
    </row>
    <row r="73" spans="6:7" x14ac:dyDescent="0.25">
      <c r="F73" s="189"/>
      <c r="G73" s="189"/>
    </row>
    <row r="74" spans="6:7" x14ac:dyDescent="0.25">
      <c r="F74" s="189"/>
      <c r="G74" s="189"/>
    </row>
    <row r="75" spans="6:7" x14ac:dyDescent="0.25">
      <c r="F75" s="189"/>
      <c r="G75" s="189"/>
    </row>
    <row r="76" spans="6:7" x14ac:dyDescent="0.25">
      <c r="F76" s="189"/>
      <c r="G76" s="189"/>
    </row>
    <row r="77" spans="6:7" x14ac:dyDescent="0.25">
      <c r="F77" s="189"/>
      <c r="G77" s="189"/>
    </row>
    <row r="78" spans="6:7" x14ac:dyDescent="0.25">
      <c r="F78" s="189"/>
      <c r="G78" s="189"/>
    </row>
    <row r="79" spans="6:7" x14ac:dyDescent="0.25">
      <c r="F79" s="189"/>
      <c r="G79" s="189"/>
    </row>
    <row r="80" spans="6:7" x14ac:dyDescent="0.25">
      <c r="F80" s="189"/>
      <c r="G80" s="189"/>
    </row>
    <row r="81" spans="6:7" x14ac:dyDescent="0.25">
      <c r="F81" s="189"/>
      <c r="G81" s="189"/>
    </row>
    <row r="82" spans="6:7" x14ac:dyDescent="0.25">
      <c r="F82" s="189"/>
      <c r="G82" s="189"/>
    </row>
    <row r="83" spans="6:7" x14ac:dyDescent="0.25">
      <c r="F83" s="189"/>
      <c r="G83" s="189"/>
    </row>
    <row r="84" spans="6:7" x14ac:dyDescent="0.25">
      <c r="F84" s="189"/>
      <c r="G84" s="189"/>
    </row>
    <row r="85" spans="6:7" x14ac:dyDescent="0.25">
      <c r="F85" s="189"/>
      <c r="G85" s="189"/>
    </row>
    <row r="86" spans="6:7" x14ac:dyDescent="0.25">
      <c r="F86" s="189"/>
      <c r="G86" s="189"/>
    </row>
    <row r="87" spans="6:7" x14ac:dyDescent="0.25">
      <c r="F87" s="189"/>
      <c r="G87" s="189"/>
    </row>
    <row r="88" spans="6:7" x14ac:dyDescent="0.25">
      <c r="F88" s="189"/>
      <c r="G88" s="189"/>
    </row>
    <row r="89" spans="6:7" x14ac:dyDescent="0.25">
      <c r="F89" s="189"/>
      <c r="G89" s="189"/>
    </row>
    <row r="90" spans="6:7" x14ac:dyDescent="0.25">
      <c r="F90" s="189"/>
      <c r="G90" s="189"/>
    </row>
  </sheetData>
  <mergeCells count="5">
    <mergeCell ref="D23:G25"/>
    <mergeCell ref="E12:F12"/>
    <mergeCell ref="E11:F11"/>
    <mergeCell ref="E13:F13"/>
    <mergeCell ref="C8:G9"/>
  </mergeCells>
  <pageMargins left="0.5" right="0.5" top="0.5" bottom="0.5" header="0.3" footer="0.3"/>
  <pageSetup paperSize="9" scale="95"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5184-D663-4B61-9E14-5E415559D67F}">
  <sheetPr codeName="Sheet12"/>
  <dimension ref="A4:G35"/>
  <sheetViews>
    <sheetView showGridLines="0" workbookViewId="0">
      <selection activeCell="K19" sqref="K19"/>
    </sheetView>
  </sheetViews>
  <sheetFormatPr defaultRowHeight="15" x14ac:dyDescent="0.25"/>
  <cols>
    <col min="1" max="1" width="18.42578125" customWidth="1"/>
    <col min="2" max="2" width="1.42578125" customWidth="1"/>
    <col min="3" max="3" width="7" bestFit="1" customWidth="1"/>
    <col min="4" max="4" width="41.42578125" customWidth="1"/>
    <col min="5" max="5" width="9.140625" customWidth="1"/>
    <col min="6" max="6" width="11.42578125" customWidth="1"/>
    <col min="7" max="7" width="24.28515625" customWidth="1"/>
    <col min="8" max="8" width="1.7109375" customWidth="1"/>
  </cols>
  <sheetData>
    <row r="4" spans="1:7" x14ac:dyDescent="0.25">
      <c r="A4" t="s">
        <v>3452</v>
      </c>
    </row>
    <row r="7" spans="1:7" ht="29.25" customHeight="1" x14ac:dyDescent="0.35">
      <c r="G7" s="201" t="s">
        <v>3454</v>
      </c>
    </row>
    <row r="8" spans="1:7" ht="3" customHeight="1" x14ac:dyDescent="0.25">
      <c r="C8" s="200"/>
      <c r="D8" s="200"/>
      <c r="E8" s="200"/>
      <c r="F8" s="200"/>
      <c r="G8" s="200"/>
    </row>
    <row r="9" spans="1:7" ht="15" customHeight="1" x14ac:dyDescent="0.25">
      <c r="C9" s="200"/>
      <c r="D9" s="200"/>
      <c r="E9" s="638" t="s">
        <v>3456</v>
      </c>
      <c r="F9" s="638"/>
      <c r="G9" s="211" t="s">
        <v>3455</v>
      </c>
    </row>
    <row r="10" spans="1:7" ht="3" customHeight="1" x14ac:dyDescent="0.25">
      <c r="C10" s="200"/>
      <c r="D10" s="200"/>
      <c r="E10" s="200"/>
      <c r="F10" s="200"/>
      <c r="G10" s="200"/>
    </row>
    <row r="11" spans="1:7" ht="15" customHeight="1" x14ac:dyDescent="0.25">
      <c r="C11" s="200"/>
      <c r="D11" s="200"/>
      <c r="E11" s="640"/>
      <c r="F11" s="640"/>
      <c r="G11" s="202"/>
    </row>
    <row r="12" spans="1:7" ht="3" customHeight="1" x14ac:dyDescent="0.25">
      <c r="C12" s="204"/>
      <c r="D12" s="204"/>
      <c r="E12" s="200"/>
      <c r="F12" s="200"/>
      <c r="G12" s="200"/>
    </row>
    <row r="13" spans="1:7" ht="15" customHeight="1" x14ac:dyDescent="0.25">
      <c r="C13" s="212" t="s">
        <v>3457</v>
      </c>
      <c r="D13" s="213"/>
      <c r="E13" s="200"/>
      <c r="F13" s="200"/>
      <c r="G13" s="200"/>
    </row>
    <row r="14" spans="1:7" ht="3" customHeight="1" x14ac:dyDescent="0.25">
      <c r="C14" s="203"/>
      <c r="D14" s="203"/>
      <c r="E14" s="200"/>
      <c r="F14" s="200"/>
      <c r="G14" s="200"/>
    </row>
    <row r="15" spans="1:7" ht="15" customHeight="1" x14ac:dyDescent="0.25">
      <c r="C15" s="209"/>
      <c r="D15" s="210" t="s">
        <v>3453</v>
      </c>
      <c r="E15" s="200"/>
      <c r="F15" s="200"/>
      <c r="G15" s="200"/>
    </row>
    <row r="16" spans="1:7" ht="15" customHeight="1" x14ac:dyDescent="0.25">
      <c r="C16" s="215"/>
      <c r="D16" s="216"/>
      <c r="E16" s="217"/>
      <c r="F16" s="200"/>
      <c r="G16" s="200"/>
    </row>
    <row r="17" spans="1:7" ht="15" customHeight="1" x14ac:dyDescent="0.25">
      <c r="C17" s="215"/>
      <c r="D17" s="216"/>
      <c r="E17" s="217"/>
      <c r="F17" s="200"/>
      <c r="G17" s="200"/>
    </row>
    <row r="18" spans="1:7" ht="15" customHeight="1" x14ac:dyDescent="0.25">
      <c r="C18" s="207"/>
      <c r="D18" s="208"/>
      <c r="E18" s="200"/>
      <c r="F18" s="200"/>
      <c r="G18" s="200"/>
    </row>
    <row r="19" spans="1:7" ht="15" customHeight="1" x14ac:dyDescent="0.25">
      <c r="C19" s="205"/>
      <c r="D19" s="206"/>
      <c r="E19" s="200"/>
      <c r="F19" s="200"/>
      <c r="G19" s="200"/>
    </row>
    <row r="21" spans="1:7" x14ac:dyDescent="0.25">
      <c r="A21" s="11"/>
      <c r="C21" s="196" t="s">
        <v>0</v>
      </c>
      <c r="D21" s="196" t="s">
        <v>3446</v>
      </c>
      <c r="E21" s="196" t="s">
        <v>3447</v>
      </c>
      <c r="F21" s="191" t="s">
        <v>3448</v>
      </c>
      <c r="G21" s="191" t="s">
        <v>3449</v>
      </c>
    </row>
    <row r="22" spans="1:7" x14ac:dyDescent="0.25">
      <c r="C22" s="194"/>
      <c r="D22" s="194"/>
      <c r="E22" s="194"/>
      <c r="F22" s="218"/>
      <c r="G22" s="218"/>
    </row>
    <row r="23" spans="1:7" x14ac:dyDescent="0.25">
      <c r="C23" s="194"/>
      <c r="D23" s="194"/>
      <c r="E23" s="194"/>
      <c r="F23" s="218"/>
      <c r="G23" s="218"/>
    </row>
    <row r="24" spans="1:7" x14ac:dyDescent="0.25">
      <c r="C24" s="194"/>
      <c r="D24" s="194"/>
      <c r="E24" s="194"/>
      <c r="F24" s="218"/>
      <c r="G24" s="218"/>
    </row>
    <row r="25" spans="1:7" x14ac:dyDescent="0.25">
      <c r="C25" s="194"/>
      <c r="D25" s="194"/>
      <c r="E25" s="194"/>
      <c r="F25" s="218"/>
      <c r="G25" s="218"/>
    </row>
    <row r="26" spans="1:7" ht="15.75" x14ac:dyDescent="0.25">
      <c r="C26" s="214"/>
      <c r="D26" s="237"/>
      <c r="E26" s="214"/>
      <c r="F26" s="219"/>
      <c r="G26" s="227"/>
    </row>
    <row r="27" spans="1:7" x14ac:dyDescent="0.25">
      <c r="C27" s="199"/>
      <c r="D27" s="199"/>
      <c r="E27" s="199"/>
      <c r="F27" s="228"/>
      <c r="G27" s="228"/>
    </row>
    <row r="28" spans="1:7" x14ac:dyDescent="0.25">
      <c r="C28" s="639"/>
      <c r="D28" s="639"/>
      <c r="E28" s="639"/>
      <c r="F28" s="639"/>
      <c r="G28" s="639"/>
    </row>
    <row r="29" spans="1:7" x14ac:dyDescent="0.25">
      <c r="C29" s="639"/>
      <c r="D29" s="639"/>
      <c r="E29" s="639"/>
      <c r="F29" s="639"/>
      <c r="G29" s="639"/>
    </row>
    <row r="30" spans="1:7" x14ac:dyDescent="0.25">
      <c r="C30" s="639"/>
      <c r="D30" s="639"/>
      <c r="E30" s="639"/>
      <c r="F30" s="639"/>
      <c r="G30" s="639"/>
    </row>
    <row r="31" spans="1:7" x14ac:dyDescent="0.25">
      <c r="C31" s="639"/>
      <c r="D31" s="639"/>
      <c r="E31" s="639"/>
      <c r="F31" s="639"/>
      <c r="G31" s="639"/>
    </row>
    <row r="32" spans="1:7" x14ac:dyDescent="0.25">
      <c r="C32" s="199"/>
      <c r="D32" s="199"/>
      <c r="E32" s="199"/>
      <c r="F32" s="228"/>
      <c r="G32" s="228"/>
    </row>
    <row r="33" spans="3:7" x14ac:dyDescent="0.25">
      <c r="C33" s="199"/>
      <c r="D33" s="199"/>
      <c r="E33" s="199"/>
      <c r="F33" s="228"/>
      <c r="G33" s="228"/>
    </row>
    <row r="34" spans="3:7" x14ac:dyDescent="0.25">
      <c r="C34" s="199"/>
      <c r="D34" s="199"/>
      <c r="E34" s="199"/>
      <c r="F34" s="228"/>
      <c r="G34" s="228"/>
    </row>
    <row r="35" spans="3:7" x14ac:dyDescent="0.25">
      <c r="C35" s="199"/>
      <c r="D35" s="199"/>
      <c r="E35" s="199"/>
      <c r="F35" s="228"/>
      <c r="G35" s="228"/>
    </row>
  </sheetData>
  <mergeCells count="6">
    <mergeCell ref="E9:F9"/>
    <mergeCell ref="C31:G31"/>
    <mergeCell ref="C28:G28"/>
    <mergeCell ref="C29:G29"/>
    <mergeCell ref="C30:G30"/>
    <mergeCell ref="E11:F11"/>
  </mergeCells>
  <pageMargins left="0.5" right="0.5" top="0.5" bottom="0.5" header="0.3" footer="0.3"/>
  <pageSetup paperSize="9" scale="95"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7129-34D3-4E6A-9899-29CECEBDBA9E}">
  <sheetPr codeName="Sheet2">
    <tabColor theme="5" tint="0.79998168889431442"/>
  </sheetPr>
  <dimension ref="A1:R1563"/>
  <sheetViews>
    <sheetView workbookViewId="0">
      <pane xSplit="4" ySplit="5" topLeftCell="E6" activePane="bottomRight" state="frozen"/>
      <selection pane="topRight" activeCell="E1" sqref="E1"/>
      <selection pane="bottomLeft" activeCell="A5" sqref="A5"/>
      <selection pane="bottomRight" activeCell="E15" sqref="E15"/>
    </sheetView>
  </sheetViews>
  <sheetFormatPr defaultRowHeight="15" x14ac:dyDescent="0.25"/>
  <cols>
    <col min="1" max="1" width="33.140625" customWidth="1"/>
    <col min="2" max="2" width="6.5703125" customWidth="1"/>
    <col min="3" max="3" width="6.7109375" customWidth="1"/>
    <col min="4" max="4" width="39.7109375" style="1" customWidth="1"/>
    <col min="5" max="5" width="17.7109375" bestFit="1" customWidth="1"/>
    <col min="6" max="6" width="19" bestFit="1" customWidth="1"/>
    <col min="7" max="7" width="11.7109375" customWidth="1"/>
    <col min="8" max="8" width="13.5703125" customWidth="1"/>
    <col min="9" max="9" width="13.140625" customWidth="1"/>
    <col min="10" max="10" width="11.85546875" customWidth="1"/>
    <col min="11" max="11" width="8.140625" customWidth="1"/>
    <col min="12" max="12" width="18.5703125" customWidth="1"/>
  </cols>
  <sheetData>
    <row r="1" spans="1:18" x14ac:dyDescent="0.25">
      <c r="A1" t="s">
        <v>3357</v>
      </c>
    </row>
    <row r="2" spans="1:18" x14ac:dyDescent="0.25">
      <c r="A2" t="s">
        <v>3357</v>
      </c>
    </row>
    <row r="3" spans="1:18" x14ac:dyDescent="0.25">
      <c r="A3" t="s">
        <v>3357</v>
      </c>
      <c r="B3">
        <f>LARGE(ItemTable[SEQ],1)</f>
        <v>1559</v>
      </c>
      <c r="C3">
        <f>+B3+5</f>
        <v>1564</v>
      </c>
    </row>
    <row r="4" spans="1:18" x14ac:dyDescent="0.25">
      <c r="A4" s="4" t="s">
        <v>1771</v>
      </c>
      <c r="B4" s="5" t="s">
        <v>0</v>
      </c>
      <c r="C4" s="5" t="s">
        <v>13</v>
      </c>
      <c r="D4" s="6" t="s">
        <v>14</v>
      </c>
      <c r="E4" s="5" t="s">
        <v>15</v>
      </c>
      <c r="F4" s="5" t="s">
        <v>16</v>
      </c>
      <c r="G4" s="5" t="s">
        <v>17</v>
      </c>
      <c r="H4" s="5" t="s">
        <v>18</v>
      </c>
      <c r="I4" s="5" t="s">
        <v>19</v>
      </c>
      <c r="J4" s="5" t="s">
        <v>20</v>
      </c>
      <c r="K4" s="5" t="s">
        <v>21</v>
      </c>
      <c r="L4" s="5" t="s">
        <v>22</v>
      </c>
      <c r="M4" s="5" t="s">
        <v>3363</v>
      </c>
      <c r="N4" s="5" t="s">
        <v>3383</v>
      </c>
      <c r="Q4" t="s">
        <v>3363</v>
      </c>
      <c r="R4" t="s">
        <v>3379</v>
      </c>
    </row>
    <row r="5" spans="1:18" x14ac:dyDescent="0.25">
      <c r="A5" t="s">
        <v>1773</v>
      </c>
      <c r="B5">
        <v>1</v>
      </c>
      <c r="C5">
        <v>1001</v>
      </c>
      <c r="D5" s="1" t="s">
        <v>23</v>
      </c>
      <c r="G5" t="s">
        <v>24</v>
      </c>
      <c r="I5">
        <v>330</v>
      </c>
      <c r="J5">
        <v>430</v>
      </c>
      <c r="K5">
        <v>100</v>
      </c>
      <c r="L5">
        <v>0.30299999999999999</v>
      </c>
      <c r="M5" t="s">
        <v>3367</v>
      </c>
      <c r="N5">
        <v>5</v>
      </c>
      <c r="Q5" t="s">
        <v>3367</v>
      </c>
      <c r="R5">
        <f t="array" ref="R5">MAX(IF(ItemTable[LOCATION]=Q5,ItemTable[SKU]))</f>
        <v>1170</v>
      </c>
    </row>
    <row r="6" spans="1:18" x14ac:dyDescent="0.25">
      <c r="A6" t="s">
        <v>1774</v>
      </c>
      <c r="B6">
        <v>2</v>
      </c>
      <c r="C6">
        <v>1002</v>
      </c>
      <c r="D6" s="1" t="s">
        <v>25</v>
      </c>
      <c r="G6" t="s">
        <v>24</v>
      </c>
      <c r="I6">
        <v>455</v>
      </c>
      <c r="J6">
        <v>565</v>
      </c>
      <c r="K6">
        <v>110</v>
      </c>
      <c r="L6">
        <v>0.24179999999999999</v>
      </c>
      <c r="M6" t="s">
        <v>3367</v>
      </c>
      <c r="N6">
        <v>6</v>
      </c>
      <c r="Q6" t="s">
        <v>3368</v>
      </c>
      <c r="R6">
        <f t="array" ref="R6">MAX(IF(ItemTable[LOCATION]=Q6,ItemTable[SKU]))</f>
        <v>1388</v>
      </c>
    </row>
    <row r="7" spans="1:18" x14ac:dyDescent="0.25">
      <c r="A7" t="s">
        <v>1775</v>
      </c>
      <c r="B7">
        <v>3</v>
      </c>
      <c r="C7">
        <v>1003</v>
      </c>
      <c r="D7" s="1" t="s">
        <v>26</v>
      </c>
      <c r="G7" t="s">
        <v>24</v>
      </c>
      <c r="I7">
        <v>490</v>
      </c>
      <c r="J7">
        <v>605</v>
      </c>
      <c r="K7">
        <v>115</v>
      </c>
      <c r="L7">
        <v>0.23469999999999999</v>
      </c>
      <c r="M7" t="s">
        <v>3367</v>
      </c>
      <c r="N7">
        <v>7</v>
      </c>
      <c r="Q7" t="s">
        <v>3369</v>
      </c>
      <c r="R7">
        <f t="array" ref="R7">MAX(IF(ItemTable[LOCATION]=Q7,ItemTable[SKU]))</f>
        <v>1486</v>
      </c>
    </row>
    <row r="8" spans="1:18" x14ac:dyDescent="0.25">
      <c r="A8" t="s">
        <v>1776</v>
      </c>
      <c r="B8">
        <v>4</v>
      </c>
      <c r="C8">
        <v>1004</v>
      </c>
      <c r="D8" s="1" t="s">
        <v>27</v>
      </c>
      <c r="G8" t="s">
        <v>24</v>
      </c>
      <c r="I8">
        <v>620</v>
      </c>
      <c r="J8">
        <v>745</v>
      </c>
      <c r="K8">
        <v>125</v>
      </c>
      <c r="L8">
        <v>0.2016</v>
      </c>
      <c r="M8" t="s">
        <v>3367</v>
      </c>
      <c r="N8">
        <v>8</v>
      </c>
      <c r="Q8" t="s">
        <v>3370</v>
      </c>
      <c r="R8">
        <f t="array" ref="R8">MAX(IF(ItemTable[LOCATION]=Q8,ItemTable[SKU]))</f>
        <v>1656</v>
      </c>
    </row>
    <row r="9" spans="1:18" x14ac:dyDescent="0.25">
      <c r="A9" t="s">
        <v>1777</v>
      </c>
      <c r="B9">
        <v>5</v>
      </c>
      <c r="C9">
        <v>1005</v>
      </c>
      <c r="D9" s="1" t="s">
        <v>28</v>
      </c>
      <c r="G9" t="s">
        <v>24</v>
      </c>
      <c r="I9">
        <v>690</v>
      </c>
      <c r="J9">
        <v>820</v>
      </c>
      <c r="K9">
        <v>130</v>
      </c>
      <c r="L9">
        <v>0.18840000000000001</v>
      </c>
      <c r="M9" t="s">
        <v>3367</v>
      </c>
      <c r="N9">
        <v>9</v>
      </c>
      <c r="Q9" t="s">
        <v>3371</v>
      </c>
      <c r="R9">
        <f t="array" ref="R9">MAX(IF(ItemTable[LOCATION]=Q9,ItemTable[SKU]))</f>
        <v>1850</v>
      </c>
    </row>
    <row r="10" spans="1:18" x14ac:dyDescent="0.25">
      <c r="A10" t="s">
        <v>1778</v>
      </c>
      <c r="B10">
        <v>6</v>
      </c>
      <c r="C10">
        <v>1006</v>
      </c>
      <c r="D10" s="1" t="s">
        <v>29</v>
      </c>
      <c r="G10" t="s">
        <v>24</v>
      </c>
      <c r="I10">
        <v>820</v>
      </c>
      <c r="J10">
        <v>960</v>
      </c>
      <c r="K10">
        <v>140</v>
      </c>
      <c r="L10">
        <v>0.17069999999999999</v>
      </c>
      <c r="M10" t="s">
        <v>3367</v>
      </c>
      <c r="N10">
        <v>10</v>
      </c>
      <c r="Q10" t="s">
        <v>3372</v>
      </c>
      <c r="R10">
        <f t="array" ref="R10">MAX(IF(ItemTable[LOCATION]=Q10,ItemTable[SKU]))</f>
        <v>2068</v>
      </c>
    </row>
    <row r="11" spans="1:18" x14ac:dyDescent="0.25">
      <c r="A11" t="s">
        <v>1779</v>
      </c>
      <c r="B11">
        <v>7</v>
      </c>
      <c r="C11">
        <v>1007</v>
      </c>
      <c r="D11" s="1" t="s">
        <v>30</v>
      </c>
      <c r="G11" t="s">
        <v>24</v>
      </c>
      <c r="I11">
        <v>205</v>
      </c>
      <c r="J11">
        <v>315</v>
      </c>
      <c r="K11">
        <v>110</v>
      </c>
      <c r="L11">
        <v>0.53659999999999997</v>
      </c>
      <c r="M11" t="s">
        <v>3367</v>
      </c>
      <c r="N11">
        <v>11</v>
      </c>
      <c r="Q11" t="s">
        <v>3373</v>
      </c>
      <c r="R11">
        <f t="array" ref="R11">MAX(IF(ItemTable[LOCATION]=Q11,ItemTable[SKU]))</f>
        <v>2142</v>
      </c>
    </row>
    <row r="12" spans="1:18" x14ac:dyDescent="0.25">
      <c r="A12" t="s">
        <v>1780</v>
      </c>
      <c r="B12">
        <v>8</v>
      </c>
      <c r="C12">
        <v>1008</v>
      </c>
      <c r="D12" s="1" t="s">
        <v>31</v>
      </c>
      <c r="G12" t="s">
        <v>24</v>
      </c>
      <c r="I12">
        <v>284</v>
      </c>
      <c r="J12">
        <v>395</v>
      </c>
      <c r="K12">
        <v>111</v>
      </c>
      <c r="L12">
        <v>0.39079999999999998</v>
      </c>
      <c r="M12" t="s">
        <v>3367</v>
      </c>
      <c r="N12">
        <v>12</v>
      </c>
      <c r="Q12" t="s">
        <v>3374</v>
      </c>
      <c r="R12">
        <f t="array" ref="R12">MAX(IF(ItemTable[LOCATION]=Q12,ItemTable[SKU]))</f>
        <v>2312</v>
      </c>
    </row>
    <row r="13" spans="1:18" x14ac:dyDescent="0.25">
      <c r="A13" t="s">
        <v>1781</v>
      </c>
      <c r="B13">
        <v>9</v>
      </c>
      <c r="C13">
        <v>1009</v>
      </c>
      <c r="D13" s="1" t="s">
        <v>32</v>
      </c>
      <c r="G13" t="s">
        <v>24</v>
      </c>
      <c r="I13">
        <v>382</v>
      </c>
      <c r="J13">
        <v>495</v>
      </c>
      <c r="K13">
        <v>113</v>
      </c>
      <c r="L13">
        <v>0.29580000000000001</v>
      </c>
      <c r="M13" t="s">
        <v>3367</v>
      </c>
      <c r="N13">
        <v>13</v>
      </c>
      <c r="Q13" t="s">
        <v>3375</v>
      </c>
      <c r="R13">
        <f t="array" ref="R13">MAX(IF(ItemTable[LOCATION]=Q13,ItemTable[SKU]))</f>
        <v>2530</v>
      </c>
    </row>
    <row r="14" spans="1:18" x14ac:dyDescent="0.25">
      <c r="A14" t="s">
        <v>1782</v>
      </c>
      <c r="B14">
        <v>10</v>
      </c>
      <c r="C14">
        <v>1010</v>
      </c>
      <c r="D14" s="1" t="s">
        <v>33</v>
      </c>
      <c r="G14" t="s">
        <v>24</v>
      </c>
      <c r="I14">
        <v>502</v>
      </c>
      <c r="J14">
        <v>645</v>
      </c>
      <c r="K14">
        <v>143</v>
      </c>
      <c r="L14">
        <v>0.28489999999999999</v>
      </c>
      <c r="M14" t="s">
        <v>3367</v>
      </c>
      <c r="N14">
        <v>14</v>
      </c>
      <c r="Q14" t="s">
        <v>3376</v>
      </c>
      <c r="R14">
        <f t="array" ref="R14">MAX(IF(ItemTable[LOCATION]=Q14,ItemTable[SKU]))</f>
        <v>2559</v>
      </c>
    </row>
    <row r="15" spans="1:18" x14ac:dyDescent="0.25">
      <c r="A15" t="s">
        <v>1783</v>
      </c>
      <c r="B15">
        <v>11</v>
      </c>
      <c r="C15">
        <v>1011</v>
      </c>
      <c r="D15" s="1" t="s">
        <v>34</v>
      </c>
      <c r="G15" t="s">
        <v>24</v>
      </c>
      <c r="I15">
        <v>577</v>
      </c>
      <c r="J15">
        <v>710</v>
      </c>
      <c r="K15">
        <v>133</v>
      </c>
      <c r="L15">
        <v>0.23050000000000001</v>
      </c>
      <c r="M15" t="s">
        <v>3367</v>
      </c>
      <c r="N15">
        <v>15</v>
      </c>
    </row>
    <row r="16" spans="1:18" x14ac:dyDescent="0.25">
      <c r="A16" t="s">
        <v>1784</v>
      </c>
      <c r="B16">
        <v>12</v>
      </c>
      <c r="C16">
        <v>1012</v>
      </c>
      <c r="D16" s="1" t="s">
        <v>35</v>
      </c>
      <c r="G16" t="s">
        <v>24</v>
      </c>
      <c r="H16">
        <v>26</v>
      </c>
      <c r="I16">
        <v>800</v>
      </c>
      <c r="J16">
        <v>1280</v>
      </c>
      <c r="K16">
        <v>480</v>
      </c>
      <c r="L16">
        <v>0.6</v>
      </c>
      <c r="M16" t="s">
        <v>3367</v>
      </c>
      <c r="N16">
        <v>16</v>
      </c>
    </row>
    <row r="17" spans="1:14" x14ac:dyDescent="0.25">
      <c r="A17" t="s">
        <v>1785</v>
      </c>
      <c r="B17">
        <v>13</v>
      </c>
      <c r="C17">
        <v>1013</v>
      </c>
      <c r="D17" s="1" t="s">
        <v>36</v>
      </c>
      <c r="G17" t="s">
        <v>24</v>
      </c>
      <c r="H17">
        <v>27</v>
      </c>
      <c r="I17">
        <v>1200</v>
      </c>
      <c r="J17">
        <v>1500</v>
      </c>
      <c r="K17">
        <v>300</v>
      </c>
      <c r="L17">
        <v>0.25</v>
      </c>
      <c r="M17" t="s">
        <v>3367</v>
      </c>
      <c r="N17">
        <v>17</v>
      </c>
    </row>
    <row r="18" spans="1:14" x14ac:dyDescent="0.25">
      <c r="A18" t="s">
        <v>1786</v>
      </c>
      <c r="B18">
        <v>14</v>
      </c>
      <c r="C18">
        <v>1014</v>
      </c>
      <c r="D18" s="1" t="s">
        <v>37</v>
      </c>
      <c r="G18" t="s">
        <v>24</v>
      </c>
      <c r="H18">
        <v>25</v>
      </c>
      <c r="I18">
        <v>1500</v>
      </c>
      <c r="J18">
        <v>1950</v>
      </c>
      <c r="K18">
        <v>450</v>
      </c>
      <c r="L18">
        <v>0.3</v>
      </c>
      <c r="M18" t="s">
        <v>3367</v>
      </c>
      <c r="N18">
        <v>18</v>
      </c>
    </row>
    <row r="19" spans="1:14" x14ac:dyDescent="0.25">
      <c r="A19" t="s">
        <v>1787</v>
      </c>
      <c r="B19">
        <v>15</v>
      </c>
      <c r="C19">
        <v>1015</v>
      </c>
      <c r="D19" s="1" t="s">
        <v>38</v>
      </c>
      <c r="G19" t="s">
        <v>24</v>
      </c>
      <c r="I19">
        <v>246</v>
      </c>
      <c r="J19">
        <v>355</v>
      </c>
      <c r="K19">
        <v>109</v>
      </c>
      <c r="L19">
        <v>0.44309999999999999</v>
      </c>
      <c r="M19" t="s">
        <v>3367</v>
      </c>
      <c r="N19">
        <v>19</v>
      </c>
    </row>
    <row r="20" spans="1:14" x14ac:dyDescent="0.25">
      <c r="A20" t="s">
        <v>1788</v>
      </c>
      <c r="B20">
        <v>16</v>
      </c>
      <c r="C20">
        <v>1016</v>
      </c>
      <c r="D20" s="1" t="s">
        <v>39</v>
      </c>
      <c r="G20" t="s">
        <v>24</v>
      </c>
      <c r="I20">
        <v>332</v>
      </c>
      <c r="J20">
        <v>445</v>
      </c>
      <c r="K20">
        <v>113</v>
      </c>
      <c r="L20">
        <v>0.34039999999999998</v>
      </c>
      <c r="M20" t="s">
        <v>3367</v>
      </c>
      <c r="N20">
        <v>20</v>
      </c>
    </row>
    <row r="21" spans="1:14" x14ac:dyDescent="0.25">
      <c r="A21" t="s">
        <v>1789</v>
      </c>
      <c r="B21">
        <v>17</v>
      </c>
      <c r="C21">
        <v>1017</v>
      </c>
      <c r="D21" s="1" t="s">
        <v>40</v>
      </c>
      <c r="G21" t="s">
        <v>24</v>
      </c>
      <c r="I21">
        <v>437</v>
      </c>
      <c r="J21">
        <v>565</v>
      </c>
      <c r="K21">
        <v>128</v>
      </c>
      <c r="L21">
        <v>0.29289999999999999</v>
      </c>
      <c r="M21" t="s">
        <v>3367</v>
      </c>
      <c r="N21">
        <v>21</v>
      </c>
    </row>
    <row r="22" spans="1:14" x14ac:dyDescent="0.25">
      <c r="A22" t="s">
        <v>1790</v>
      </c>
      <c r="B22">
        <v>18</v>
      </c>
      <c r="C22">
        <v>1018</v>
      </c>
      <c r="D22" s="1" t="s">
        <v>41</v>
      </c>
      <c r="G22" t="s">
        <v>24</v>
      </c>
      <c r="I22">
        <v>662</v>
      </c>
      <c r="J22">
        <v>785</v>
      </c>
      <c r="K22">
        <v>123</v>
      </c>
      <c r="L22">
        <v>0.18579999999999999</v>
      </c>
      <c r="M22" t="s">
        <v>3367</v>
      </c>
      <c r="N22">
        <v>22</v>
      </c>
    </row>
    <row r="23" spans="1:14" x14ac:dyDescent="0.25">
      <c r="A23" t="s">
        <v>1791</v>
      </c>
      <c r="B23">
        <v>19</v>
      </c>
      <c r="C23">
        <v>1019</v>
      </c>
      <c r="D23" s="1" t="s">
        <v>42</v>
      </c>
      <c r="G23" t="s">
        <v>24</v>
      </c>
      <c r="I23">
        <v>730</v>
      </c>
      <c r="J23">
        <v>865</v>
      </c>
      <c r="K23">
        <v>135</v>
      </c>
      <c r="L23">
        <v>0.18490000000000001</v>
      </c>
      <c r="M23" t="s">
        <v>3367</v>
      </c>
      <c r="N23">
        <v>23</v>
      </c>
    </row>
    <row r="24" spans="1:14" x14ac:dyDescent="0.25">
      <c r="A24" t="s">
        <v>1792</v>
      </c>
      <c r="B24">
        <v>20</v>
      </c>
      <c r="C24">
        <v>1020</v>
      </c>
      <c r="D24" s="1" t="s">
        <v>43</v>
      </c>
      <c r="G24" t="s">
        <v>24</v>
      </c>
      <c r="I24">
        <v>1055</v>
      </c>
      <c r="J24">
        <v>1265</v>
      </c>
      <c r="K24">
        <v>210</v>
      </c>
      <c r="L24">
        <v>0.1991</v>
      </c>
      <c r="M24" t="s">
        <v>3367</v>
      </c>
      <c r="N24">
        <v>24</v>
      </c>
    </row>
    <row r="25" spans="1:14" x14ac:dyDescent="0.25">
      <c r="A25" t="s">
        <v>1793</v>
      </c>
      <c r="B25">
        <v>21</v>
      </c>
      <c r="C25">
        <v>1021</v>
      </c>
      <c r="D25" s="1" t="s">
        <v>44</v>
      </c>
      <c r="G25" t="s">
        <v>24</v>
      </c>
      <c r="I25">
        <v>1557</v>
      </c>
      <c r="J25">
        <v>1785</v>
      </c>
      <c r="K25">
        <v>228</v>
      </c>
      <c r="L25">
        <v>0.1464</v>
      </c>
      <c r="M25" t="s">
        <v>3367</v>
      </c>
      <c r="N25">
        <v>25</v>
      </c>
    </row>
    <row r="26" spans="1:14" x14ac:dyDescent="0.25">
      <c r="A26" t="s">
        <v>1794</v>
      </c>
      <c r="B26">
        <v>22</v>
      </c>
      <c r="C26">
        <v>1022</v>
      </c>
      <c r="D26" s="1" t="s">
        <v>45</v>
      </c>
      <c r="G26" t="s">
        <v>24</v>
      </c>
      <c r="I26">
        <v>1530</v>
      </c>
      <c r="J26">
        <v>1885</v>
      </c>
      <c r="K26">
        <v>355</v>
      </c>
      <c r="L26">
        <v>0.23200000000000001</v>
      </c>
      <c r="M26" t="s">
        <v>3367</v>
      </c>
      <c r="N26">
        <v>26</v>
      </c>
    </row>
    <row r="27" spans="1:14" x14ac:dyDescent="0.25">
      <c r="A27" t="s">
        <v>1795</v>
      </c>
      <c r="B27">
        <v>23</v>
      </c>
      <c r="C27">
        <v>1023</v>
      </c>
      <c r="D27" s="1" t="s">
        <v>46</v>
      </c>
      <c r="G27" t="s">
        <v>24</v>
      </c>
      <c r="I27">
        <v>175</v>
      </c>
      <c r="J27">
        <v>250</v>
      </c>
      <c r="K27">
        <v>75</v>
      </c>
      <c r="L27">
        <v>0.42859999999999998</v>
      </c>
      <c r="M27" t="s">
        <v>3367</v>
      </c>
      <c r="N27">
        <v>27</v>
      </c>
    </row>
    <row r="28" spans="1:14" x14ac:dyDescent="0.25">
      <c r="A28" t="s">
        <v>1796</v>
      </c>
      <c r="B28">
        <v>24</v>
      </c>
      <c r="C28">
        <v>1024</v>
      </c>
      <c r="D28" s="1" t="s">
        <v>47</v>
      </c>
      <c r="G28" t="s">
        <v>24</v>
      </c>
      <c r="I28">
        <v>228</v>
      </c>
      <c r="J28">
        <v>270</v>
      </c>
      <c r="K28">
        <v>42</v>
      </c>
      <c r="L28">
        <v>0.1842</v>
      </c>
      <c r="M28" t="s">
        <v>3367</v>
      </c>
      <c r="N28">
        <v>28</v>
      </c>
    </row>
    <row r="29" spans="1:14" x14ac:dyDescent="0.25">
      <c r="A29" t="s">
        <v>1797</v>
      </c>
      <c r="B29">
        <v>25</v>
      </c>
      <c r="C29">
        <v>1025</v>
      </c>
      <c r="D29" s="1" t="s">
        <v>48</v>
      </c>
      <c r="G29" t="s">
        <v>24</v>
      </c>
      <c r="I29">
        <v>300</v>
      </c>
      <c r="J29">
        <v>420</v>
      </c>
      <c r="K29">
        <v>120</v>
      </c>
      <c r="L29">
        <v>0.4</v>
      </c>
      <c r="M29" t="s">
        <v>3367</v>
      </c>
      <c r="N29">
        <v>29</v>
      </c>
    </row>
    <row r="30" spans="1:14" x14ac:dyDescent="0.25">
      <c r="A30" t="s">
        <v>1798</v>
      </c>
      <c r="B30">
        <v>26</v>
      </c>
      <c r="C30">
        <v>1026</v>
      </c>
      <c r="D30" s="1" t="s">
        <v>49</v>
      </c>
      <c r="G30" t="s">
        <v>24</v>
      </c>
      <c r="I30">
        <v>362</v>
      </c>
      <c r="J30">
        <v>435</v>
      </c>
      <c r="K30">
        <v>73</v>
      </c>
      <c r="L30">
        <v>0.20169999999999999</v>
      </c>
      <c r="M30" t="s">
        <v>3367</v>
      </c>
      <c r="N30">
        <v>30</v>
      </c>
    </row>
    <row r="31" spans="1:14" x14ac:dyDescent="0.25">
      <c r="A31" t="s">
        <v>1799</v>
      </c>
      <c r="B31">
        <v>27</v>
      </c>
      <c r="C31">
        <v>1027</v>
      </c>
      <c r="D31" s="1" t="s">
        <v>50</v>
      </c>
      <c r="G31" t="s">
        <v>24</v>
      </c>
      <c r="I31">
        <v>455</v>
      </c>
      <c r="J31">
        <v>550</v>
      </c>
      <c r="K31">
        <v>95</v>
      </c>
      <c r="L31">
        <v>0.20880000000000001</v>
      </c>
      <c r="M31" t="s">
        <v>3367</v>
      </c>
      <c r="N31">
        <v>31</v>
      </c>
    </row>
    <row r="32" spans="1:14" x14ac:dyDescent="0.25">
      <c r="A32" t="s">
        <v>1800</v>
      </c>
      <c r="B32">
        <v>28</v>
      </c>
      <c r="C32">
        <v>1028</v>
      </c>
      <c r="D32" s="1" t="s">
        <v>51</v>
      </c>
      <c r="G32" t="s">
        <v>24</v>
      </c>
      <c r="I32">
        <v>785</v>
      </c>
      <c r="J32">
        <v>890</v>
      </c>
      <c r="K32">
        <v>105</v>
      </c>
      <c r="L32">
        <v>0.1338</v>
      </c>
      <c r="M32" t="s">
        <v>3367</v>
      </c>
      <c r="N32">
        <v>32</v>
      </c>
    </row>
    <row r="33" spans="1:14" x14ac:dyDescent="0.25">
      <c r="A33" t="s">
        <v>1801</v>
      </c>
      <c r="B33">
        <v>29</v>
      </c>
      <c r="C33">
        <v>1029</v>
      </c>
      <c r="D33" s="1" t="s">
        <v>52</v>
      </c>
      <c r="G33" t="s">
        <v>24</v>
      </c>
      <c r="I33">
        <v>889</v>
      </c>
      <c r="J33">
        <v>1030</v>
      </c>
      <c r="K33">
        <v>141</v>
      </c>
      <c r="L33">
        <v>0.15859999999999999</v>
      </c>
      <c r="M33" t="s">
        <v>3367</v>
      </c>
      <c r="N33">
        <v>33</v>
      </c>
    </row>
    <row r="34" spans="1:14" x14ac:dyDescent="0.25">
      <c r="A34" t="s">
        <v>1802</v>
      </c>
      <c r="B34">
        <v>30</v>
      </c>
      <c r="C34">
        <v>1030</v>
      </c>
      <c r="D34" s="1" t="s">
        <v>53</v>
      </c>
      <c r="G34" t="s">
        <v>24</v>
      </c>
      <c r="I34">
        <v>1101</v>
      </c>
      <c r="J34">
        <v>1310</v>
      </c>
      <c r="K34">
        <v>209</v>
      </c>
      <c r="L34">
        <v>0.1898</v>
      </c>
      <c r="M34" t="s">
        <v>3367</v>
      </c>
      <c r="N34">
        <v>34</v>
      </c>
    </row>
    <row r="35" spans="1:14" x14ac:dyDescent="0.25">
      <c r="A35" t="s">
        <v>1803</v>
      </c>
      <c r="B35">
        <v>31</v>
      </c>
      <c r="C35">
        <v>1031</v>
      </c>
      <c r="D35" s="1" t="s">
        <v>54</v>
      </c>
      <c r="G35" t="s">
        <v>55</v>
      </c>
      <c r="I35">
        <v>63.5</v>
      </c>
      <c r="J35">
        <v>80</v>
      </c>
      <c r="K35">
        <v>16.5</v>
      </c>
      <c r="L35">
        <v>0.25979999999999998</v>
      </c>
      <c r="M35" t="s">
        <v>3367</v>
      </c>
      <c r="N35">
        <v>35</v>
      </c>
    </row>
    <row r="36" spans="1:14" x14ac:dyDescent="0.25">
      <c r="A36" t="s">
        <v>1804</v>
      </c>
      <c r="B36">
        <v>32</v>
      </c>
      <c r="C36">
        <v>1032</v>
      </c>
      <c r="D36" s="1" t="s">
        <v>56</v>
      </c>
      <c r="G36" t="s">
        <v>55</v>
      </c>
      <c r="I36">
        <v>61</v>
      </c>
      <c r="J36">
        <v>80</v>
      </c>
      <c r="K36">
        <v>19</v>
      </c>
      <c r="L36">
        <v>0.3115</v>
      </c>
      <c r="M36" t="s">
        <v>3367</v>
      </c>
      <c r="N36">
        <v>36</v>
      </c>
    </row>
    <row r="37" spans="1:14" x14ac:dyDescent="0.25">
      <c r="A37" t="s">
        <v>1805</v>
      </c>
      <c r="B37">
        <v>33</v>
      </c>
      <c r="C37">
        <v>1033</v>
      </c>
      <c r="D37" s="1" t="s">
        <v>57</v>
      </c>
      <c r="G37" t="s">
        <v>24</v>
      </c>
      <c r="I37">
        <v>210</v>
      </c>
      <c r="J37">
        <v>310</v>
      </c>
      <c r="K37">
        <v>100</v>
      </c>
      <c r="L37">
        <v>0.47620000000000001</v>
      </c>
      <c r="M37" t="s">
        <v>3367</v>
      </c>
      <c r="N37">
        <v>37</v>
      </c>
    </row>
    <row r="38" spans="1:14" x14ac:dyDescent="0.25">
      <c r="A38" t="s">
        <v>1806</v>
      </c>
      <c r="B38">
        <v>34</v>
      </c>
      <c r="C38">
        <v>1034</v>
      </c>
      <c r="D38" s="1" t="s">
        <v>58</v>
      </c>
      <c r="G38" t="s">
        <v>24</v>
      </c>
      <c r="I38">
        <v>24</v>
      </c>
      <c r="J38">
        <v>45</v>
      </c>
      <c r="K38">
        <v>21</v>
      </c>
      <c r="L38">
        <v>0.875</v>
      </c>
      <c r="M38" t="s">
        <v>3367</v>
      </c>
      <c r="N38">
        <v>38</v>
      </c>
    </row>
    <row r="39" spans="1:14" x14ac:dyDescent="0.25">
      <c r="A39" t="s">
        <v>1807</v>
      </c>
      <c r="B39">
        <v>35</v>
      </c>
      <c r="C39">
        <v>1035</v>
      </c>
      <c r="D39" s="1" t="s">
        <v>59</v>
      </c>
      <c r="G39" t="s">
        <v>55</v>
      </c>
      <c r="I39">
        <v>56</v>
      </c>
      <c r="J39">
        <v>85</v>
      </c>
      <c r="K39">
        <v>29</v>
      </c>
      <c r="L39">
        <v>0.51790000000000003</v>
      </c>
      <c r="M39" t="s">
        <v>3367</v>
      </c>
      <c r="N39">
        <v>39</v>
      </c>
    </row>
    <row r="40" spans="1:14" x14ac:dyDescent="0.25">
      <c r="A40" t="s">
        <v>1808</v>
      </c>
      <c r="B40">
        <v>36</v>
      </c>
      <c r="C40">
        <v>1036</v>
      </c>
      <c r="D40" s="1" t="s">
        <v>60</v>
      </c>
      <c r="G40" t="s">
        <v>55</v>
      </c>
      <c r="I40">
        <v>64.400000000000006</v>
      </c>
      <c r="J40">
        <v>95</v>
      </c>
      <c r="K40">
        <v>30.6</v>
      </c>
      <c r="L40">
        <v>0.47520000000000001</v>
      </c>
      <c r="M40" t="s">
        <v>3367</v>
      </c>
      <c r="N40">
        <v>40</v>
      </c>
    </row>
    <row r="41" spans="1:14" x14ac:dyDescent="0.25">
      <c r="A41" t="s">
        <v>1809</v>
      </c>
      <c r="B41">
        <v>37</v>
      </c>
      <c r="C41">
        <v>1037</v>
      </c>
      <c r="D41" s="1" t="s">
        <v>61</v>
      </c>
      <c r="G41" t="s">
        <v>55</v>
      </c>
      <c r="I41">
        <v>58</v>
      </c>
      <c r="J41">
        <v>95</v>
      </c>
      <c r="K41">
        <v>37</v>
      </c>
      <c r="L41">
        <v>0.63790000000000002</v>
      </c>
      <c r="M41" t="s">
        <v>3367</v>
      </c>
      <c r="N41">
        <v>41</v>
      </c>
    </row>
    <row r="42" spans="1:14" x14ac:dyDescent="0.25">
      <c r="A42" t="s">
        <v>1810</v>
      </c>
      <c r="B42">
        <v>38</v>
      </c>
      <c r="C42">
        <v>1038</v>
      </c>
      <c r="D42" s="1" t="s">
        <v>62</v>
      </c>
      <c r="G42" t="s">
        <v>55</v>
      </c>
      <c r="I42">
        <v>57.6</v>
      </c>
      <c r="J42">
        <v>85</v>
      </c>
      <c r="K42">
        <v>27.4</v>
      </c>
      <c r="L42">
        <v>0.47570000000000001</v>
      </c>
      <c r="M42" t="s">
        <v>3367</v>
      </c>
      <c r="N42">
        <v>42</v>
      </c>
    </row>
    <row r="43" spans="1:14" x14ac:dyDescent="0.25">
      <c r="A43" t="s">
        <v>1811</v>
      </c>
      <c r="B43">
        <v>39</v>
      </c>
      <c r="C43">
        <v>1039</v>
      </c>
      <c r="D43" s="1" t="s">
        <v>63</v>
      </c>
      <c r="G43" t="s">
        <v>55</v>
      </c>
      <c r="I43">
        <v>57.6</v>
      </c>
      <c r="J43">
        <v>85</v>
      </c>
      <c r="K43">
        <v>27.4</v>
      </c>
      <c r="L43">
        <v>0.47570000000000001</v>
      </c>
      <c r="M43" t="s">
        <v>3367</v>
      </c>
      <c r="N43">
        <v>43</v>
      </c>
    </row>
    <row r="44" spans="1:14" x14ac:dyDescent="0.25">
      <c r="A44" t="s">
        <v>1812</v>
      </c>
      <c r="B44">
        <v>40</v>
      </c>
      <c r="C44">
        <v>1040</v>
      </c>
      <c r="D44" s="1" t="s">
        <v>64</v>
      </c>
      <c r="G44" t="s">
        <v>55</v>
      </c>
      <c r="I44">
        <v>52.8</v>
      </c>
      <c r="J44">
        <v>80</v>
      </c>
      <c r="K44">
        <v>27.2</v>
      </c>
      <c r="L44">
        <v>0.51519999999999999</v>
      </c>
      <c r="M44" t="s">
        <v>3367</v>
      </c>
      <c r="N44">
        <v>44</v>
      </c>
    </row>
    <row r="45" spans="1:14" x14ac:dyDescent="0.25">
      <c r="A45" t="s">
        <v>1813</v>
      </c>
      <c r="B45">
        <v>41</v>
      </c>
      <c r="C45">
        <v>1041</v>
      </c>
      <c r="D45" s="1" t="s">
        <v>65</v>
      </c>
      <c r="G45" t="s">
        <v>55</v>
      </c>
      <c r="I45">
        <v>52</v>
      </c>
      <c r="J45">
        <v>85</v>
      </c>
      <c r="K45">
        <v>33</v>
      </c>
      <c r="L45">
        <v>0.63460000000000005</v>
      </c>
      <c r="M45" t="s">
        <v>3367</v>
      </c>
      <c r="N45">
        <v>45</v>
      </c>
    </row>
    <row r="46" spans="1:14" x14ac:dyDescent="0.25">
      <c r="A46" t="s">
        <v>1814</v>
      </c>
      <c r="B46">
        <v>42</v>
      </c>
      <c r="C46">
        <v>1042</v>
      </c>
      <c r="D46" s="1" t="s">
        <v>66</v>
      </c>
      <c r="G46" t="s">
        <v>24</v>
      </c>
      <c r="I46">
        <v>137.5</v>
      </c>
      <c r="J46">
        <v>165</v>
      </c>
      <c r="K46">
        <v>27.5</v>
      </c>
      <c r="L46">
        <v>0.2</v>
      </c>
      <c r="M46" t="s">
        <v>3367</v>
      </c>
      <c r="N46">
        <v>46</v>
      </c>
    </row>
    <row r="47" spans="1:14" x14ac:dyDescent="0.25">
      <c r="A47" t="s">
        <v>1815</v>
      </c>
      <c r="B47">
        <v>43</v>
      </c>
      <c r="C47">
        <v>1043</v>
      </c>
      <c r="D47" s="1" t="s">
        <v>67</v>
      </c>
      <c r="G47" t="s">
        <v>24</v>
      </c>
      <c r="I47">
        <v>110</v>
      </c>
      <c r="J47">
        <v>135</v>
      </c>
      <c r="K47">
        <v>25</v>
      </c>
      <c r="L47">
        <v>0.2273</v>
      </c>
      <c r="M47" t="s">
        <v>3367</v>
      </c>
      <c r="N47">
        <v>47</v>
      </c>
    </row>
    <row r="48" spans="1:14" x14ac:dyDescent="0.25">
      <c r="A48" t="s">
        <v>1816</v>
      </c>
      <c r="B48">
        <v>44</v>
      </c>
      <c r="C48">
        <v>1044</v>
      </c>
      <c r="D48" s="1" t="s">
        <v>68</v>
      </c>
      <c r="G48" t="s">
        <v>24</v>
      </c>
      <c r="I48">
        <v>70</v>
      </c>
      <c r="J48">
        <v>100</v>
      </c>
      <c r="K48">
        <v>30</v>
      </c>
      <c r="L48">
        <v>0.42859999999999998</v>
      </c>
      <c r="M48" t="s">
        <v>3367</v>
      </c>
      <c r="N48">
        <v>48</v>
      </c>
    </row>
    <row r="49" spans="1:14" x14ac:dyDescent="0.25">
      <c r="A49" t="s">
        <v>1817</v>
      </c>
      <c r="B49">
        <v>45</v>
      </c>
      <c r="C49">
        <v>1045</v>
      </c>
      <c r="D49" s="1" t="s">
        <v>69</v>
      </c>
      <c r="E49" t="s">
        <v>70</v>
      </c>
      <c r="G49" t="s">
        <v>24</v>
      </c>
      <c r="I49">
        <v>315</v>
      </c>
      <c r="J49">
        <v>465</v>
      </c>
      <c r="K49">
        <v>150</v>
      </c>
      <c r="L49">
        <v>0.47620000000000001</v>
      </c>
      <c r="M49" t="s">
        <v>3367</v>
      </c>
      <c r="N49">
        <v>49</v>
      </c>
    </row>
    <row r="50" spans="1:14" x14ac:dyDescent="0.25">
      <c r="A50" t="s">
        <v>1818</v>
      </c>
      <c r="B50">
        <v>46</v>
      </c>
      <c r="C50">
        <v>1046</v>
      </c>
      <c r="D50" s="1" t="s">
        <v>71</v>
      </c>
      <c r="E50" t="s">
        <v>72</v>
      </c>
      <c r="G50" t="s">
        <v>24</v>
      </c>
      <c r="I50">
        <v>248</v>
      </c>
      <c r="J50">
        <v>355</v>
      </c>
      <c r="K50">
        <v>107</v>
      </c>
      <c r="L50">
        <v>0.43149999999999999</v>
      </c>
      <c r="M50" t="s">
        <v>3367</v>
      </c>
      <c r="N50">
        <v>50</v>
      </c>
    </row>
    <row r="51" spans="1:14" x14ac:dyDescent="0.25">
      <c r="A51" t="s">
        <v>1819</v>
      </c>
      <c r="B51">
        <v>47</v>
      </c>
      <c r="C51">
        <v>1047</v>
      </c>
      <c r="D51" s="1" t="s">
        <v>73</v>
      </c>
      <c r="E51" t="s">
        <v>72</v>
      </c>
      <c r="G51" t="s">
        <v>24</v>
      </c>
      <c r="I51">
        <v>310</v>
      </c>
      <c r="J51">
        <v>415</v>
      </c>
      <c r="K51">
        <v>105</v>
      </c>
      <c r="L51">
        <v>0.3387</v>
      </c>
      <c r="M51" t="s">
        <v>3367</v>
      </c>
      <c r="N51">
        <v>51</v>
      </c>
    </row>
    <row r="52" spans="1:14" x14ac:dyDescent="0.25">
      <c r="A52" t="s">
        <v>1820</v>
      </c>
      <c r="B52">
        <v>48</v>
      </c>
      <c r="C52">
        <v>1048</v>
      </c>
      <c r="D52" s="1" t="s">
        <v>74</v>
      </c>
      <c r="E52" t="s">
        <v>72</v>
      </c>
      <c r="G52" t="s">
        <v>24</v>
      </c>
      <c r="I52">
        <v>400</v>
      </c>
      <c r="J52">
        <v>510</v>
      </c>
      <c r="K52">
        <v>110</v>
      </c>
      <c r="L52">
        <v>0.27500000000000002</v>
      </c>
      <c r="M52" t="s">
        <v>3367</v>
      </c>
      <c r="N52">
        <v>52</v>
      </c>
    </row>
    <row r="53" spans="1:14" x14ac:dyDescent="0.25">
      <c r="A53" t="s">
        <v>1821</v>
      </c>
      <c r="B53">
        <v>49</v>
      </c>
      <c r="C53">
        <v>1049</v>
      </c>
      <c r="D53" s="1" t="s">
        <v>75</v>
      </c>
      <c r="E53" t="s">
        <v>76</v>
      </c>
      <c r="G53" t="s">
        <v>24</v>
      </c>
      <c r="I53">
        <v>368</v>
      </c>
      <c r="J53">
        <v>475</v>
      </c>
      <c r="K53">
        <v>107</v>
      </c>
      <c r="L53">
        <v>0.2908</v>
      </c>
      <c r="M53" t="s">
        <v>3367</v>
      </c>
      <c r="N53">
        <v>53</v>
      </c>
    </row>
    <row r="54" spans="1:14" x14ac:dyDescent="0.25">
      <c r="A54" t="s">
        <v>1822</v>
      </c>
      <c r="B54">
        <v>50</v>
      </c>
      <c r="C54">
        <v>1050</v>
      </c>
      <c r="D54" s="1" t="s">
        <v>77</v>
      </c>
      <c r="E54" t="s">
        <v>76</v>
      </c>
      <c r="G54" t="s">
        <v>24</v>
      </c>
      <c r="I54">
        <v>460</v>
      </c>
      <c r="J54">
        <v>585</v>
      </c>
      <c r="K54">
        <v>125</v>
      </c>
      <c r="L54">
        <v>0.2717</v>
      </c>
      <c r="M54" t="s">
        <v>3367</v>
      </c>
      <c r="N54">
        <v>54</v>
      </c>
    </row>
    <row r="55" spans="1:14" x14ac:dyDescent="0.25">
      <c r="A55" t="s">
        <v>1823</v>
      </c>
      <c r="B55">
        <v>51</v>
      </c>
      <c r="C55">
        <v>1051</v>
      </c>
      <c r="D55" s="1" t="s">
        <v>78</v>
      </c>
      <c r="E55" t="s">
        <v>76</v>
      </c>
      <c r="G55" t="s">
        <v>24</v>
      </c>
      <c r="I55">
        <v>552</v>
      </c>
      <c r="J55">
        <v>685</v>
      </c>
      <c r="K55">
        <v>133</v>
      </c>
      <c r="L55">
        <v>0.2409</v>
      </c>
      <c r="M55" t="s">
        <v>3367</v>
      </c>
      <c r="N55">
        <v>55</v>
      </c>
    </row>
    <row r="56" spans="1:14" x14ac:dyDescent="0.25">
      <c r="A56" t="s">
        <v>1824</v>
      </c>
      <c r="B56">
        <v>52</v>
      </c>
      <c r="C56">
        <v>1052</v>
      </c>
      <c r="D56" s="1" t="s">
        <v>79</v>
      </c>
      <c r="G56" t="s">
        <v>24</v>
      </c>
      <c r="I56">
        <v>255</v>
      </c>
      <c r="J56">
        <v>295</v>
      </c>
      <c r="K56">
        <v>40</v>
      </c>
      <c r="L56">
        <v>0.15690000000000001</v>
      </c>
      <c r="M56" t="s">
        <v>3367</v>
      </c>
      <c r="N56">
        <v>56</v>
      </c>
    </row>
    <row r="57" spans="1:14" x14ac:dyDescent="0.25">
      <c r="A57" t="s">
        <v>1825</v>
      </c>
      <c r="B57">
        <v>53</v>
      </c>
      <c r="C57">
        <v>1053</v>
      </c>
      <c r="D57" s="1" t="s">
        <v>80</v>
      </c>
      <c r="G57" t="s">
        <v>24</v>
      </c>
      <c r="I57">
        <v>780</v>
      </c>
      <c r="J57">
        <v>960</v>
      </c>
      <c r="K57">
        <v>180</v>
      </c>
      <c r="L57">
        <v>0.23080000000000001</v>
      </c>
      <c r="M57" t="s">
        <v>3367</v>
      </c>
      <c r="N57">
        <v>57</v>
      </c>
    </row>
    <row r="58" spans="1:14" x14ac:dyDescent="0.25">
      <c r="A58" t="s">
        <v>1826</v>
      </c>
      <c r="B58">
        <v>54</v>
      </c>
      <c r="C58">
        <v>1054</v>
      </c>
      <c r="D58" s="1" t="s">
        <v>81</v>
      </c>
      <c r="G58" t="s">
        <v>24</v>
      </c>
      <c r="I58">
        <v>565</v>
      </c>
      <c r="J58">
        <v>650</v>
      </c>
      <c r="K58">
        <v>85</v>
      </c>
      <c r="L58">
        <v>0.15040000000000001</v>
      </c>
      <c r="M58" t="s">
        <v>3367</v>
      </c>
      <c r="N58">
        <v>58</v>
      </c>
    </row>
    <row r="59" spans="1:14" x14ac:dyDescent="0.25">
      <c r="A59" t="s">
        <v>1827</v>
      </c>
      <c r="B59">
        <v>55</v>
      </c>
      <c r="C59">
        <v>1055</v>
      </c>
      <c r="D59" s="1" t="s">
        <v>82</v>
      </c>
      <c r="G59" t="s">
        <v>24</v>
      </c>
      <c r="I59">
        <v>715</v>
      </c>
      <c r="J59">
        <v>800</v>
      </c>
      <c r="K59">
        <v>85</v>
      </c>
      <c r="L59">
        <v>0.11890000000000001</v>
      </c>
      <c r="M59" t="s">
        <v>3367</v>
      </c>
      <c r="N59">
        <v>59</v>
      </c>
    </row>
    <row r="60" spans="1:14" x14ac:dyDescent="0.25">
      <c r="A60" t="s">
        <v>1828</v>
      </c>
      <c r="B60">
        <v>56</v>
      </c>
      <c r="C60">
        <v>1056</v>
      </c>
      <c r="D60" s="1" t="s">
        <v>83</v>
      </c>
      <c r="E60" t="s">
        <v>84</v>
      </c>
      <c r="G60" t="s">
        <v>24</v>
      </c>
      <c r="I60">
        <v>55</v>
      </c>
      <c r="J60">
        <v>75</v>
      </c>
      <c r="K60">
        <v>20</v>
      </c>
      <c r="L60">
        <v>0.36359999999999998</v>
      </c>
      <c r="M60" t="s">
        <v>3367</v>
      </c>
      <c r="N60">
        <v>60</v>
      </c>
    </row>
    <row r="61" spans="1:14" x14ac:dyDescent="0.25">
      <c r="A61" t="s">
        <v>1829</v>
      </c>
      <c r="B61">
        <v>57</v>
      </c>
      <c r="C61">
        <v>1057</v>
      </c>
      <c r="D61" s="1" t="s">
        <v>85</v>
      </c>
      <c r="E61" t="s">
        <v>84</v>
      </c>
      <c r="G61" t="s">
        <v>24</v>
      </c>
      <c r="I61">
        <v>158</v>
      </c>
      <c r="J61">
        <v>225</v>
      </c>
      <c r="K61">
        <v>67</v>
      </c>
      <c r="L61">
        <v>0.42409999999999998</v>
      </c>
      <c r="M61" t="s">
        <v>3367</v>
      </c>
      <c r="N61">
        <v>61</v>
      </c>
    </row>
    <row r="62" spans="1:14" x14ac:dyDescent="0.25">
      <c r="A62" t="s">
        <v>1830</v>
      </c>
      <c r="B62">
        <v>58</v>
      </c>
      <c r="C62">
        <v>1058</v>
      </c>
      <c r="D62" s="1" t="s">
        <v>86</v>
      </c>
      <c r="E62" t="s">
        <v>84</v>
      </c>
      <c r="G62" t="s">
        <v>24</v>
      </c>
      <c r="I62">
        <v>41</v>
      </c>
      <c r="J62">
        <v>75</v>
      </c>
      <c r="K62">
        <v>34</v>
      </c>
      <c r="L62">
        <v>0.82930000000000004</v>
      </c>
      <c r="M62" t="s">
        <v>3367</v>
      </c>
      <c r="N62">
        <v>62</v>
      </c>
    </row>
    <row r="63" spans="1:14" x14ac:dyDescent="0.25">
      <c r="A63" t="s">
        <v>1831</v>
      </c>
      <c r="B63">
        <v>59</v>
      </c>
      <c r="C63">
        <v>1059</v>
      </c>
      <c r="D63" s="1" t="s">
        <v>87</v>
      </c>
      <c r="E63" t="s">
        <v>84</v>
      </c>
      <c r="G63" t="s">
        <v>24</v>
      </c>
      <c r="I63">
        <v>120</v>
      </c>
      <c r="J63">
        <v>190</v>
      </c>
      <c r="K63">
        <v>70</v>
      </c>
      <c r="L63">
        <v>0.58330000000000004</v>
      </c>
      <c r="M63" t="s">
        <v>3367</v>
      </c>
      <c r="N63">
        <v>63</v>
      </c>
    </row>
    <row r="64" spans="1:14" x14ac:dyDescent="0.25">
      <c r="A64" t="s">
        <v>1832</v>
      </c>
      <c r="B64">
        <v>60</v>
      </c>
      <c r="C64">
        <v>1060</v>
      </c>
      <c r="D64" s="1" t="s">
        <v>88</v>
      </c>
      <c r="E64" t="s">
        <v>84</v>
      </c>
      <c r="G64" t="s">
        <v>24</v>
      </c>
      <c r="I64">
        <v>506</v>
      </c>
      <c r="J64">
        <v>665</v>
      </c>
      <c r="K64">
        <v>159</v>
      </c>
      <c r="L64">
        <v>0.31419999999999998</v>
      </c>
      <c r="M64" t="s">
        <v>3367</v>
      </c>
      <c r="N64">
        <v>64</v>
      </c>
    </row>
    <row r="65" spans="1:14" x14ac:dyDescent="0.25">
      <c r="A65" t="s">
        <v>1833</v>
      </c>
      <c r="B65">
        <v>61</v>
      </c>
      <c r="C65">
        <v>1061</v>
      </c>
      <c r="D65" s="1" t="s">
        <v>89</v>
      </c>
      <c r="E65" t="s">
        <v>90</v>
      </c>
      <c r="G65" t="s">
        <v>24</v>
      </c>
      <c r="I65">
        <v>104</v>
      </c>
      <c r="J65">
        <v>160</v>
      </c>
      <c r="K65">
        <v>56</v>
      </c>
      <c r="L65">
        <v>0.53849999999999998</v>
      </c>
      <c r="M65" t="s">
        <v>3367</v>
      </c>
      <c r="N65">
        <v>65</v>
      </c>
    </row>
    <row r="66" spans="1:14" x14ac:dyDescent="0.25">
      <c r="A66" t="s">
        <v>1834</v>
      </c>
      <c r="B66">
        <v>62</v>
      </c>
      <c r="C66">
        <v>1062</v>
      </c>
      <c r="D66" s="1" t="s">
        <v>91</v>
      </c>
      <c r="E66" t="s">
        <v>90</v>
      </c>
      <c r="G66" t="s">
        <v>24</v>
      </c>
      <c r="I66">
        <v>370</v>
      </c>
      <c r="J66">
        <v>520</v>
      </c>
      <c r="K66">
        <v>150</v>
      </c>
      <c r="L66">
        <v>0.40539999999999998</v>
      </c>
      <c r="M66" t="s">
        <v>3367</v>
      </c>
      <c r="N66">
        <v>66</v>
      </c>
    </row>
    <row r="67" spans="1:14" x14ac:dyDescent="0.25">
      <c r="A67" t="s">
        <v>1835</v>
      </c>
      <c r="B67">
        <v>63</v>
      </c>
      <c r="C67">
        <v>1063</v>
      </c>
      <c r="D67" s="1" t="s">
        <v>92</v>
      </c>
      <c r="G67" t="s">
        <v>93</v>
      </c>
      <c r="I67">
        <v>27</v>
      </c>
      <c r="J67">
        <v>60</v>
      </c>
      <c r="K67">
        <v>33</v>
      </c>
      <c r="L67">
        <v>1.2222</v>
      </c>
      <c r="M67" t="s">
        <v>3367</v>
      </c>
      <c r="N67">
        <v>67</v>
      </c>
    </row>
    <row r="68" spans="1:14" x14ac:dyDescent="0.25">
      <c r="A68" t="s">
        <v>1836</v>
      </c>
      <c r="B68">
        <v>64</v>
      </c>
      <c r="C68">
        <v>1064</v>
      </c>
      <c r="D68" s="1" t="s">
        <v>94</v>
      </c>
      <c r="G68" t="s">
        <v>93</v>
      </c>
      <c r="I68">
        <v>37</v>
      </c>
      <c r="J68">
        <v>80</v>
      </c>
      <c r="K68">
        <v>43</v>
      </c>
      <c r="L68">
        <v>1.1621999999999999</v>
      </c>
      <c r="M68" t="s">
        <v>3367</v>
      </c>
      <c r="N68">
        <v>68</v>
      </c>
    </row>
    <row r="69" spans="1:14" x14ac:dyDescent="0.25">
      <c r="A69" t="s">
        <v>1837</v>
      </c>
      <c r="B69">
        <v>65</v>
      </c>
      <c r="C69">
        <v>1065</v>
      </c>
      <c r="D69" s="1" t="s">
        <v>95</v>
      </c>
      <c r="G69" t="s">
        <v>24</v>
      </c>
      <c r="I69">
        <v>980</v>
      </c>
      <c r="J69">
        <v>1175</v>
      </c>
      <c r="K69">
        <v>195</v>
      </c>
      <c r="L69">
        <v>0.19900000000000001</v>
      </c>
      <c r="M69" t="s">
        <v>3367</v>
      </c>
      <c r="N69">
        <v>69</v>
      </c>
    </row>
    <row r="70" spans="1:14" x14ac:dyDescent="0.25">
      <c r="A70" t="s">
        <v>1838</v>
      </c>
      <c r="B70">
        <v>66</v>
      </c>
      <c r="C70">
        <v>1066</v>
      </c>
      <c r="D70" s="1" t="s">
        <v>96</v>
      </c>
      <c r="G70" t="s">
        <v>24</v>
      </c>
      <c r="I70">
        <v>640</v>
      </c>
      <c r="J70">
        <v>770</v>
      </c>
      <c r="K70">
        <v>130</v>
      </c>
      <c r="L70">
        <v>0.2031</v>
      </c>
      <c r="M70" t="s">
        <v>3367</v>
      </c>
      <c r="N70">
        <v>70</v>
      </c>
    </row>
    <row r="71" spans="1:14" x14ac:dyDescent="0.25">
      <c r="A71" t="s">
        <v>1839</v>
      </c>
      <c r="B71">
        <v>67</v>
      </c>
      <c r="C71">
        <v>1067</v>
      </c>
      <c r="D71" s="1" t="s">
        <v>97</v>
      </c>
      <c r="G71" t="s">
        <v>24</v>
      </c>
      <c r="I71">
        <v>675</v>
      </c>
      <c r="J71">
        <v>805</v>
      </c>
      <c r="K71">
        <v>130</v>
      </c>
      <c r="L71">
        <v>0.19259999999999999</v>
      </c>
      <c r="M71" t="s">
        <v>3367</v>
      </c>
      <c r="N71">
        <v>71</v>
      </c>
    </row>
    <row r="72" spans="1:14" x14ac:dyDescent="0.25">
      <c r="A72" t="s">
        <v>1840</v>
      </c>
      <c r="B72">
        <v>68</v>
      </c>
      <c r="C72">
        <v>1068</v>
      </c>
      <c r="D72" s="1" t="s">
        <v>98</v>
      </c>
      <c r="G72" t="s">
        <v>24</v>
      </c>
      <c r="I72">
        <v>1100</v>
      </c>
      <c r="J72">
        <v>1310</v>
      </c>
      <c r="K72">
        <v>210</v>
      </c>
      <c r="L72">
        <v>0.19089999999999999</v>
      </c>
      <c r="M72" t="s">
        <v>3367</v>
      </c>
      <c r="N72">
        <v>72</v>
      </c>
    </row>
    <row r="73" spans="1:14" x14ac:dyDescent="0.25">
      <c r="A73" t="s">
        <v>1841</v>
      </c>
      <c r="B73">
        <v>69</v>
      </c>
      <c r="C73">
        <v>1069</v>
      </c>
      <c r="D73" s="1" t="s">
        <v>99</v>
      </c>
      <c r="G73" t="s">
        <v>24</v>
      </c>
      <c r="I73">
        <v>730</v>
      </c>
      <c r="J73">
        <v>870</v>
      </c>
      <c r="K73">
        <v>140</v>
      </c>
      <c r="L73">
        <v>0.1918</v>
      </c>
      <c r="M73" t="s">
        <v>3367</v>
      </c>
      <c r="N73">
        <v>73</v>
      </c>
    </row>
    <row r="74" spans="1:14" x14ac:dyDescent="0.25">
      <c r="A74" t="s">
        <v>1842</v>
      </c>
      <c r="B74">
        <v>70</v>
      </c>
      <c r="C74">
        <v>1070</v>
      </c>
      <c r="D74" s="1" t="s">
        <v>100</v>
      </c>
      <c r="G74" t="s">
        <v>24</v>
      </c>
      <c r="H74">
        <v>80</v>
      </c>
      <c r="I74">
        <v>980</v>
      </c>
      <c r="J74">
        <v>1274</v>
      </c>
      <c r="K74">
        <v>294</v>
      </c>
      <c r="L74">
        <v>0.3</v>
      </c>
      <c r="M74" t="s">
        <v>3367</v>
      </c>
      <c r="N74">
        <v>74</v>
      </c>
    </row>
    <row r="75" spans="1:14" x14ac:dyDescent="0.25">
      <c r="A75" t="s">
        <v>1843</v>
      </c>
      <c r="B75">
        <v>71</v>
      </c>
      <c r="C75">
        <v>1071</v>
      </c>
      <c r="D75" s="1" t="s">
        <v>101</v>
      </c>
      <c r="G75" t="s">
        <v>24</v>
      </c>
      <c r="I75">
        <v>350</v>
      </c>
      <c r="J75">
        <v>475</v>
      </c>
      <c r="K75">
        <v>125</v>
      </c>
      <c r="L75">
        <v>0.35709999999999997</v>
      </c>
      <c r="M75" t="s">
        <v>3367</v>
      </c>
      <c r="N75">
        <v>75</v>
      </c>
    </row>
    <row r="76" spans="1:14" x14ac:dyDescent="0.25">
      <c r="A76" t="s">
        <v>1844</v>
      </c>
      <c r="B76">
        <v>72</v>
      </c>
      <c r="C76">
        <v>1072</v>
      </c>
      <c r="D76" s="1" t="s">
        <v>102</v>
      </c>
      <c r="G76" t="s">
        <v>24</v>
      </c>
      <c r="I76">
        <v>765</v>
      </c>
      <c r="J76">
        <v>985</v>
      </c>
      <c r="K76">
        <v>220</v>
      </c>
      <c r="L76">
        <v>0.28760000000000002</v>
      </c>
      <c r="M76" t="s">
        <v>3367</v>
      </c>
      <c r="N76">
        <v>76</v>
      </c>
    </row>
    <row r="77" spans="1:14" x14ac:dyDescent="0.25">
      <c r="A77" t="s">
        <v>1845</v>
      </c>
      <c r="B77">
        <v>73</v>
      </c>
      <c r="C77">
        <v>1073</v>
      </c>
      <c r="D77" s="1" t="s">
        <v>103</v>
      </c>
      <c r="G77" t="s">
        <v>24</v>
      </c>
      <c r="I77">
        <v>365</v>
      </c>
      <c r="J77">
        <v>490</v>
      </c>
      <c r="K77">
        <v>125</v>
      </c>
      <c r="L77">
        <v>0.34250000000000003</v>
      </c>
      <c r="M77" t="s">
        <v>3367</v>
      </c>
      <c r="N77">
        <v>77</v>
      </c>
    </row>
    <row r="78" spans="1:14" x14ac:dyDescent="0.25">
      <c r="A78" t="s">
        <v>1846</v>
      </c>
      <c r="B78">
        <v>74</v>
      </c>
      <c r="C78">
        <v>1074</v>
      </c>
      <c r="D78" s="1" t="s">
        <v>104</v>
      </c>
      <c r="G78" t="s">
        <v>24</v>
      </c>
      <c r="I78">
        <v>365</v>
      </c>
      <c r="J78">
        <v>470</v>
      </c>
      <c r="K78">
        <v>105</v>
      </c>
      <c r="L78">
        <v>0.28770000000000001</v>
      </c>
      <c r="M78" t="s">
        <v>3367</v>
      </c>
      <c r="N78">
        <v>78</v>
      </c>
    </row>
    <row r="79" spans="1:14" x14ac:dyDescent="0.25">
      <c r="A79" t="s">
        <v>1847</v>
      </c>
      <c r="B79">
        <v>75</v>
      </c>
      <c r="C79">
        <v>1075</v>
      </c>
      <c r="D79" s="1" t="s">
        <v>105</v>
      </c>
      <c r="G79" t="s">
        <v>24</v>
      </c>
      <c r="I79">
        <v>180</v>
      </c>
      <c r="J79">
        <v>220</v>
      </c>
      <c r="K79">
        <v>40</v>
      </c>
      <c r="L79">
        <v>0.22220000000000001</v>
      </c>
      <c r="M79" t="s">
        <v>3367</v>
      </c>
      <c r="N79">
        <v>79</v>
      </c>
    </row>
    <row r="80" spans="1:14" x14ac:dyDescent="0.25">
      <c r="A80" t="s">
        <v>1848</v>
      </c>
      <c r="B80">
        <v>76</v>
      </c>
      <c r="C80">
        <v>1076</v>
      </c>
      <c r="D80" s="1" t="s">
        <v>106</v>
      </c>
      <c r="E80" t="s">
        <v>107</v>
      </c>
      <c r="G80" t="s">
        <v>24</v>
      </c>
      <c r="I80">
        <v>208</v>
      </c>
      <c r="J80">
        <v>250</v>
      </c>
      <c r="K80">
        <v>42</v>
      </c>
      <c r="L80">
        <v>0.2019</v>
      </c>
      <c r="M80" t="s">
        <v>3367</v>
      </c>
      <c r="N80">
        <v>80</v>
      </c>
    </row>
    <row r="81" spans="1:14" x14ac:dyDescent="0.25">
      <c r="A81" t="s">
        <v>1849</v>
      </c>
      <c r="B81">
        <v>77</v>
      </c>
      <c r="C81">
        <v>1077</v>
      </c>
      <c r="D81" s="1" t="s">
        <v>108</v>
      </c>
      <c r="G81" t="s">
        <v>24</v>
      </c>
      <c r="I81">
        <v>105</v>
      </c>
      <c r="J81">
        <v>165</v>
      </c>
      <c r="K81">
        <v>60</v>
      </c>
      <c r="L81">
        <v>0.57140000000000002</v>
      </c>
      <c r="M81" t="s">
        <v>3367</v>
      </c>
      <c r="N81">
        <v>81</v>
      </c>
    </row>
    <row r="82" spans="1:14" x14ac:dyDescent="0.25">
      <c r="A82" t="s">
        <v>1850</v>
      </c>
      <c r="B82">
        <v>78</v>
      </c>
      <c r="C82">
        <v>1078</v>
      </c>
      <c r="D82" s="1" t="s">
        <v>109</v>
      </c>
      <c r="G82" t="s">
        <v>24</v>
      </c>
      <c r="I82">
        <v>23</v>
      </c>
      <c r="J82">
        <v>45</v>
      </c>
      <c r="K82">
        <v>22</v>
      </c>
      <c r="L82">
        <v>0.95650000000000002</v>
      </c>
      <c r="M82" t="s">
        <v>3367</v>
      </c>
      <c r="N82">
        <v>82</v>
      </c>
    </row>
    <row r="83" spans="1:14" x14ac:dyDescent="0.25">
      <c r="A83" t="s">
        <v>1851</v>
      </c>
      <c r="B83">
        <v>79</v>
      </c>
      <c r="C83">
        <v>1079</v>
      </c>
      <c r="D83" s="1" t="s">
        <v>110</v>
      </c>
      <c r="G83" t="s">
        <v>24</v>
      </c>
      <c r="I83">
        <v>34</v>
      </c>
      <c r="J83">
        <v>65</v>
      </c>
      <c r="K83">
        <v>31</v>
      </c>
      <c r="L83">
        <v>0.91180000000000005</v>
      </c>
      <c r="M83" t="s">
        <v>3367</v>
      </c>
      <c r="N83">
        <v>83</v>
      </c>
    </row>
    <row r="84" spans="1:14" x14ac:dyDescent="0.25">
      <c r="A84" t="s">
        <v>1852</v>
      </c>
      <c r="B84">
        <v>80</v>
      </c>
      <c r="C84">
        <v>1080</v>
      </c>
      <c r="D84" s="1" t="s">
        <v>111</v>
      </c>
      <c r="G84" t="s">
        <v>24</v>
      </c>
      <c r="I84">
        <v>28</v>
      </c>
      <c r="J84">
        <v>50</v>
      </c>
      <c r="K84">
        <v>22</v>
      </c>
      <c r="L84">
        <v>0.78569999999999995</v>
      </c>
      <c r="M84" t="s">
        <v>3367</v>
      </c>
      <c r="N84">
        <v>84</v>
      </c>
    </row>
    <row r="85" spans="1:14" x14ac:dyDescent="0.25">
      <c r="A85" t="s">
        <v>1853</v>
      </c>
      <c r="B85">
        <v>81</v>
      </c>
      <c r="C85">
        <v>1081</v>
      </c>
      <c r="D85" s="1" t="s">
        <v>112</v>
      </c>
      <c r="G85" t="s">
        <v>24</v>
      </c>
      <c r="I85">
        <v>23</v>
      </c>
      <c r="J85">
        <v>45</v>
      </c>
      <c r="K85">
        <v>22</v>
      </c>
      <c r="L85">
        <v>0.95650000000000002</v>
      </c>
      <c r="M85" t="s">
        <v>3367</v>
      </c>
      <c r="N85">
        <v>85</v>
      </c>
    </row>
    <row r="86" spans="1:14" x14ac:dyDescent="0.25">
      <c r="A86" t="s">
        <v>1854</v>
      </c>
      <c r="B86">
        <v>82</v>
      </c>
      <c r="C86">
        <v>1082</v>
      </c>
      <c r="D86" s="1" t="s">
        <v>113</v>
      </c>
      <c r="E86" t="s">
        <v>114</v>
      </c>
      <c r="G86" t="s">
        <v>24</v>
      </c>
      <c r="I86">
        <v>67.5</v>
      </c>
      <c r="J86">
        <v>5</v>
      </c>
      <c r="K86">
        <v>27.5</v>
      </c>
      <c r="L86">
        <v>0.40739999999999998</v>
      </c>
      <c r="M86" t="s">
        <v>3367</v>
      </c>
      <c r="N86">
        <v>86</v>
      </c>
    </row>
    <row r="87" spans="1:14" x14ac:dyDescent="0.25">
      <c r="A87" t="s">
        <v>1855</v>
      </c>
      <c r="B87">
        <v>83</v>
      </c>
      <c r="C87">
        <v>1083</v>
      </c>
      <c r="D87" s="1" t="s">
        <v>115</v>
      </c>
      <c r="E87" t="s">
        <v>114</v>
      </c>
      <c r="G87" t="s">
        <v>24</v>
      </c>
      <c r="I87">
        <v>57.5</v>
      </c>
      <c r="J87">
        <v>90</v>
      </c>
      <c r="K87">
        <v>32.5</v>
      </c>
      <c r="L87">
        <v>0.56520000000000004</v>
      </c>
      <c r="M87" t="s">
        <v>3367</v>
      </c>
      <c r="N87">
        <v>87</v>
      </c>
    </row>
    <row r="88" spans="1:14" x14ac:dyDescent="0.25">
      <c r="A88" t="s">
        <v>1856</v>
      </c>
      <c r="B88">
        <v>84</v>
      </c>
      <c r="C88">
        <v>1084</v>
      </c>
      <c r="D88" s="1" t="s">
        <v>116</v>
      </c>
      <c r="G88" t="s">
        <v>24</v>
      </c>
      <c r="I88">
        <v>12</v>
      </c>
      <c r="J88">
        <v>20</v>
      </c>
      <c r="K88">
        <v>8</v>
      </c>
      <c r="L88">
        <v>0.66669999999999996</v>
      </c>
      <c r="M88" t="s">
        <v>3367</v>
      </c>
      <c r="N88">
        <v>88</v>
      </c>
    </row>
    <row r="89" spans="1:14" x14ac:dyDescent="0.25">
      <c r="A89" t="s">
        <v>1857</v>
      </c>
      <c r="B89">
        <v>85</v>
      </c>
      <c r="C89">
        <v>1085</v>
      </c>
      <c r="D89" s="1" t="s">
        <v>117</v>
      </c>
      <c r="G89" t="s">
        <v>24</v>
      </c>
      <c r="I89">
        <v>12</v>
      </c>
      <c r="J89">
        <v>20</v>
      </c>
      <c r="K89">
        <v>8</v>
      </c>
      <c r="L89">
        <v>0.66669999999999996</v>
      </c>
      <c r="M89" t="s">
        <v>3367</v>
      </c>
      <c r="N89">
        <v>89</v>
      </c>
    </row>
    <row r="90" spans="1:14" x14ac:dyDescent="0.25">
      <c r="A90" t="s">
        <v>1858</v>
      </c>
      <c r="B90">
        <v>86</v>
      </c>
      <c r="C90">
        <v>1086</v>
      </c>
      <c r="D90" s="1" t="s">
        <v>118</v>
      </c>
      <c r="G90" t="s">
        <v>24</v>
      </c>
      <c r="I90">
        <v>12</v>
      </c>
      <c r="J90">
        <v>20</v>
      </c>
      <c r="K90">
        <v>8</v>
      </c>
      <c r="L90">
        <v>0.66669999999999996</v>
      </c>
      <c r="M90" t="s">
        <v>3367</v>
      </c>
      <c r="N90">
        <v>90</v>
      </c>
    </row>
    <row r="91" spans="1:14" x14ac:dyDescent="0.25">
      <c r="A91" t="s">
        <v>1859</v>
      </c>
      <c r="B91">
        <v>87</v>
      </c>
      <c r="C91">
        <v>1087</v>
      </c>
      <c r="D91" s="1" t="s">
        <v>119</v>
      </c>
      <c r="G91" t="s">
        <v>24</v>
      </c>
      <c r="I91">
        <v>12</v>
      </c>
      <c r="J91">
        <v>20</v>
      </c>
      <c r="K91">
        <v>8</v>
      </c>
      <c r="L91">
        <v>0.66669999999999996</v>
      </c>
      <c r="M91" t="s">
        <v>3367</v>
      </c>
      <c r="N91">
        <v>91</v>
      </c>
    </row>
    <row r="92" spans="1:14" x14ac:dyDescent="0.25">
      <c r="A92" t="s">
        <v>1860</v>
      </c>
      <c r="B92">
        <v>88</v>
      </c>
      <c r="C92">
        <v>1088</v>
      </c>
      <c r="D92" s="1" t="s">
        <v>120</v>
      </c>
      <c r="G92" t="s">
        <v>24</v>
      </c>
      <c r="I92">
        <v>12</v>
      </c>
      <c r="J92">
        <v>20</v>
      </c>
      <c r="K92">
        <v>8</v>
      </c>
      <c r="L92">
        <v>0.66669999999999996</v>
      </c>
      <c r="M92" t="s">
        <v>3367</v>
      </c>
      <c r="N92">
        <v>92</v>
      </c>
    </row>
    <row r="93" spans="1:14" x14ac:dyDescent="0.25">
      <c r="A93" t="s">
        <v>1861</v>
      </c>
      <c r="B93">
        <v>89</v>
      </c>
      <c r="C93">
        <v>1089</v>
      </c>
      <c r="D93" s="1" t="s">
        <v>121</v>
      </c>
      <c r="G93" t="s">
        <v>24</v>
      </c>
      <c r="I93">
        <v>52</v>
      </c>
      <c r="J93">
        <v>75</v>
      </c>
      <c r="K93">
        <v>23</v>
      </c>
      <c r="L93">
        <v>0.44230000000000003</v>
      </c>
      <c r="M93" t="s">
        <v>3367</v>
      </c>
      <c r="N93">
        <v>93</v>
      </c>
    </row>
    <row r="94" spans="1:14" x14ac:dyDescent="0.25">
      <c r="A94" t="s">
        <v>1862</v>
      </c>
      <c r="B94">
        <v>90</v>
      </c>
      <c r="C94">
        <v>1090</v>
      </c>
      <c r="D94" s="1" t="s">
        <v>122</v>
      </c>
      <c r="G94" t="s">
        <v>24</v>
      </c>
      <c r="I94">
        <v>12</v>
      </c>
      <c r="J94">
        <v>40</v>
      </c>
      <c r="K94">
        <v>28</v>
      </c>
      <c r="L94">
        <v>2.3332999999999999</v>
      </c>
      <c r="M94" t="s">
        <v>3367</v>
      </c>
      <c r="N94">
        <v>94</v>
      </c>
    </row>
    <row r="95" spans="1:14" x14ac:dyDescent="0.25">
      <c r="A95" t="s">
        <v>1863</v>
      </c>
      <c r="B95">
        <v>91</v>
      </c>
      <c r="C95">
        <v>1091</v>
      </c>
      <c r="D95" s="1" t="s">
        <v>123</v>
      </c>
      <c r="E95" t="s">
        <v>124</v>
      </c>
      <c r="G95" t="s">
        <v>24</v>
      </c>
      <c r="I95">
        <v>40</v>
      </c>
      <c r="J95">
        <v>80</v>
      </c>
      <c r="K95">
        <v>40</v>
      </c>
      <c r="L95">
        <v>1</v>
      </c>
      <c r="M95" t="s">
        <v>3367</v>
      </c>
      <c r="N95">
        <v>95</v>
      </c>
    </row>
    <row r="96" spans="1:14" x14ac:dyDescent="0.25">
      <c r="A96" t="s">
        <v>1864</v>
      </c>
      <c r="B96">
        <v>92</v>
      </c>
      <c r="C96">
        <v>1092</v>
      </c>
      <c r="D96" s="1" t="s">
        <v>125</v>
      </c>
      <c r="G96" t="s">
        <v>24</v>
      </c>
      <c r="I96">
        <v>12</v>
      </c>
      <c r="J96">
        <v>20</v>
      </c>
      <c r="K96">
        <v>8</v>
      </c>
      <c r="L96">
        <v>0.66669999999999996</v>
      </c>
      <c r="M96" t="s">
        <v>3367</v>
      </c>
      <c r="N96">
        <v>96</v>
      </c>
    </row>
    <row r="97" spans="1:14" x14ac:dyDescent="0.25">
      <c r="A97" t="s">
        <v>1865</v>
      </c>
      <c r="B97">
        <v>93</v>
      </c>
      <c r="C97">
        <v>1093</v>
      </c>
      <c r="D97" s="1" t="s">
        <v>126</v>
      </c>
      <c r="G97" t="s">
        <v>24</v>
      </c>
      <c r="I97">
        <v>18</v>
      </c>
      <c r="J97">
        <v>30</v>
      </c>
      <c r="K97">
        <v>12</v>
      </c>
      <c r="L97">
        <v>0.66669999999999996</v>
      </c>
      <c r="M97" t="s">
        <v>3367</v>
      </c>
      <c r="N97">
        <v>97</v>
      </c>
    </row>
    <row r="98" spans="1:14" x14ac:dyDescent="0.25">
      <c r="A98" t="s">
        <v>1866</v>
      </c>
      <c r="B98">
        <v>94</v>
      </c>
      <c r="C98">
        <v>1094</v>
      </c>
      <c r="D98" s="1" t="s">
        <v>127</v>
      </c>
      <c r="E98" t="s">
        <v>128</v>
      </c>
      <c r="G98" t="s">
        <v>24</v>
      </c>
      <c r="I98">
        <v>95</v>
      </c>
      <c r="J98">
        <v>205</v>
      </c>
      <c r="K98">
        <v>110</v>
      </c>
      <c r="L98">
        <v>1.1578999999999999</v>
      </c>
      <c r="M98" t="s">
        <v>3367</v>
      </c>
      <c r="N98">
        <v>98</v>
      </c>
    </row>
    <row r="99" spans="1:14" x14ac:dyDescent="0.25">
      <c r="A99" t="s">
        <v>1867</v>
      </c>
      <c r="B99">
        <v>95</v>
      </c>
      <c r="C99">
        <v>1095</v>
      </c>
      <c r="D99" s="1" t="s">
        <v>129</v>
      </c>
      <c r="G99" t="s">
        <v>24</v>
      </c>
      <c r="I99">
        <v>19.18</v>
      </c>
      <c r="J99">
        <v>50</v>
      </c>
      <c r="K99">
        <v>30.82</v>
      </c>
      <c r="L99">
        <v>1.6069</v>
      </c>
      <c r="M99" t="s">
        <v>3367</v>
      </c>
      <c r="N99">
        <v>99</v>
      </c>
    </row>
    <row r="100" spans="1:14" x14ac:dyDescent="0.25">
      <c r="A100" t="s">
        <v>1868</v>
      </c>
      <c r="B100">
        <v>96</v>
      </c>
      <c r="C100">
        <v>1096</v>
      </c>
      <c r="D100" s="1" t="s">
        <v>130</v>
      </c>
      <c r="G100" t="s">
        <v>24</v>
      </c>
      <c r="I100">
        <v>36</v>
      </c>
      <c r="J100">
        <v>60</v>
      </c>
      <c r="K100">
        <v>24</v>
      </c>
      <c r="L100">
        <v>0.66669999999999996</v>
      </c>
      <c r="M100" t="s">
        <v>3367</v>
      </c>
      <c r="N100">
        <v>100</v>
      </c>
    </row>
    <row r="101" spans="1:14" x14ac:dyDescent="0.25">
      <c r="A101" t="s">
        <v>1869</v>
      </c>
      <c r="B101">
        <v>97</v>
      </c>
      <c r="C101">
        <v>1097</v>
      </c>
      <c r="D101" s="1" t="s">
        <v>131</v>
      </c>
      <c r="G101" t="s">
        <v>24</v>
      </c>
      <c r="I101">
        <v>120</v>
      </c>
      <c r="J101">
        <v>170</v>
      </c>
      <c r="K101">
        <v>50</v>
      </c>
      <c r="L101">
        <v>0.41670000000000001</v>
      </c>
      <c r="M101" t="s">
        <v>3367</v>
      </c>
      <c r="N101">
        <v>101</v>
      </c>
    </row>
    <row r="102" spans="1:14" x14ac:dyDescent="0.25">
      <c r="A102" t="s">
        <v>1870</v>
      </c>
      <c r="B102">
        <v>98</v>
      </c>
      <c r="C102">
        <v>1098</v>
      </c>
      <c r="D102" s="1" t="s">
        <v>132</v>
      </c>
      <c r="G102" t="s">
        <v>24</v>
      </c>
      <c r="I102">
        <v>40</v>
      </c>
      <c r="J102">
        <v>80</v>
      </c>
      <c r="K102">
        <v>40</v>
      </c>
      <c r="L102">
        <v>1</v>
      </c>
      <c r="M102" t="s">
        <v>3367</v>
      </c>
      <c r="N102">
        <v>102</v>
      </c>
    </row>
    <row r="103" spans="1:14" x14ac:dyDescent="0.25">
      <c r="A103" t="s">
        <v>1871</v>
      </c>
      <c r="B103">
        <v>99</v>
      </c>
      <c r="C103">
        <v>1099</v>
      </c>
      <c r="D103" s="1" t="s">
        <v>133</v>
      </c>
      <c r="G103" t="s">
        <v>24</v>
      </c>
      <c r="I103">
        <v>45</v>
      </c>
      <c r="J103">
        <v>110</v>
      </c>
      <c r="K103">
        <v>65</v>
      </c>
      <c r="L103">
        <v>1.4443999999999999</v>
      </c>
      <c r="M103" t="s">
        <v>3367</v>
      </c>
      <c r="N103">
        <v>103</v>
      </c>
    </row>
    <row r="104" spans="1:14" x14ac:dyDescent="0.25">
      <c r="A104" t="s">
        <v>1872</v>
      </c>
      <c r="B104">
        <v>100</v>
      </c>
      <c r="C104">
        <v>1100</v>
      </c>
      <c r="D104" s="1" t="s">
        <v>134</v>
      </c>
      <c r="G104" t="s">
        <v>24</v>
      </c>
      <c r="I104">
        <v>85</v>
      </c>
      <c r="J104">
        <v>150</v>
      </c>
      <c r="K104">
        <v>65</v>
      </c>
      <c r="L104">
        <v>0.76470000000000005</v>
      </c>
      <c r="M104" t="s">
        <v>3367</v>
      </c>
      <c r="N104">
        <v>104</v>
      </c>
    </row>
    <row r="105" spans="1:14" x14ac:dyDescent="0.25">
      <c r="A105" t="s">
        <v>1873</v>
      </c>
      <c r="B105">
        <v>101</v>
      </c>
      <c r="C105">
        <v>1101</v>
      </c>
      <c r="D105" s="1" t="s">
        <v>135</v>
      </c>
      <c r="G105" t="s">
        <v>24</v>
      </c>
      <c r="I105">
        <v>120</v>
      </c>
      <c r="J105">
        <v>190</v>
      </c>
      <c r="K105">
        <v>70</v>
      </c>
      <c r="L105">
        <v>0.58330000000000004</v>
      </c>
      <c r="M105" t="s">
        <v>3367</v>
      </c>
      <c r="N105">
        <v>105</v>
      </c>
    </row>
    <row r="106" spans="1:14" x14ac:dyDescent="0.25">
      <c r="A106" t="s">
        <v>1874</v>
      </c>
      <c r="B106">
        <v>102</v>
      </c>
      <c r="C106">
        <v>1102</v>
      </c>
      <c r="D106" s="1" t="s">
        <v>136</v>
      </c>
      <c r="G106" t="s">
        <v>24</v>
      </c>
      <c r="I106">
        <v>195</v>
      </c>
      <c r="J106">
        <v>280</v>
      </c>
      <c r="K106">
        <v>85</v>
      </c>
      <c r="L106">
        <v>0.43590000000000001</v>
      </c>
      <c r="M106" t="s">
        <v>3367</v>
      </c>
      <c r="N106">
        <v>106</v>
      </c>
    </row>
    <row r="107" spans="1:14" x14ac:dyDescent="0.25">
      <c r="A107" t="s">
        <v>1875</v>
      </c>
      <c r="B107">
        <v>103</v>
      </c>
      <c r="C107">
        <v>1103</v>
      </c>
      <c r="D107" s="1" t="s">
        <v>137</v>
      </c>
      <c r="G107" t="s">
        <v>24</v>
      </c>
      <c r="I107">
        <v>35</v>
      </c>
      <c r="J107">
        <v>75</v>
      </c>
      <c r="K107">
        <v>40</v>
      </c>
      <c r="L107">
        <v>1.1429</v>
      </c>
      <c r="M107" t="s">
        <v>3367</v>
      </c>
      <c r="N107">
        <v>107</v>
      </c>
    </row>
    <row r="108" spans="1:14" x14ac:dyDescent="0.25">
      <c r="A108" t="s">
        <v>1876</v>
      </c>
      <c r="B108">
        <v>104</v>
      </c>
      <c r="C108">
        <v>1104</v>
      </c>
      <c r="D108" s="1" t="s">
        <v>138</v>
      </c>
      <c r="G108" t="s">
        <v>24</v>
      </c>
      <c r="I108">
        <v>35</v>
      </c>
      <c r="J108">
        <v>75</v>
      </c>
      <c r="K108">
        <v>40</v>
      </c>
      <c r="L108">
        <v>1.1429</v>
      </c>
      <c r="M108" t="s">
        <v>3367</v>
      </c>
      <c r="N108">
        <v>108</v>
      </c>
    </row>
    <row r="109" spans="1:14" x14ac:dyDescent="0.25">
      <c r="A109" t="s">
        <v>1877</v>
      </c>
      <c r="B109">
        <v>105</v>
      </c>
      <c r="C109">
        <v>1105</v>
      </c>
      <c r="D109" s="1" t="s">
        <v>139</v>
      </c>
      <c r="G109" t="s">
        <v>24</v>
      </c>
      <c r="I109">
        <v>35</v>
      </c>
      <c r="J109">
        <v>75</v>
      </c>
      <c r="K109">
        <v>40</v>
      </c>
      <c r="L109">
        <v>1.1429</v>
      </c>
      <c r="M109" t="s">
        <v>3367</v>
      </c>
      <c r="N109">
        <v>109</v>
      </c>
    </row>
    <row r="110" spans="1:14" x14ac:dyDescent="0.25">
      <c r="A110" t="s">
        <v>1878</v>
      </c>
      <c r="B110">
        <v>106</v>
      </c>
      <c r="C110">
        <v>1106</v>
      </c>
      <c r="D110" s="1" t="s">
        <v>140</v>
      </c>
      <c r="G110" t="s">
        <v>24</v>
      </c>
      <c r="I110">
        <v>35</v>
      </c>
      <c r="J110">
        <v>75</v>
      </c>
      <c r="K110">
        <v>40</v>
      </c>
      <c r="L110">
        <v>1.1429</v>
      </c>
      <c r="M110" t="s">
        <v>3367</v>
      </c>
      <c r="N110">
        <v>110</v>
      </c>
    </row>
    <row r="111" spans="1:14" x14ac:dyDescent="0.25">
      <c r="A111" t="s">
        <v>1879</v>
      </c>
      <c r="B111">
        <v>107</v>
      </c>
      <c r="C111">
        <v>1107</v>
      </c>
      <c r="D111" s="1" t="s">
        <v>141</v>
      </c>
      <c r="G111" t="s">
        <v>24</v>
      </c>
      <c r="I111">
        <v>35</v>
      </c>
      <c r="J111">
        <v>75</v>
      </c>
      <c r="K111">
        <v>40</v>
      </c>
      <c r="L111">
        <v>1.1429</v>
      </c>
      <c r="M111" t="s">
        <v>3367</v>
      </c>
      <c r="N111">
        <v>111</v>
      </c>
    </row>
    <row r="112" spans="1:14" x14ac:dyDescent="0.25">
      <c r="A112" t="s">
        <v>1880</v>
      </c>
      <c r="B112">
        <v>108</v>
      </c>
      <c r="C112">
        <v>1108</v>
      </c>
      <c r="D112" s="1" t="s">
        <v>142</v>
      </c>
      <c r="G112" t="s">
        <v>24</v>
      </c>
      <c r="I112">
        <v>25</v>
      </c>
      <c r="J112">
        <v>50</v>
      </c>
      <c r="K112">
        <v>25</v>
      </c>
      <c r="L112">
        <v>1</v>
      </c>
      <c r="M112" t="s">
        <v>3367</v>
      </c>
      <c r="N112">
        <v>112</v>
      </c>
    </row>
    <row r="113" spans="1:14" x14ac:dyDescent="0.25">
      <c r="A113" t="s">
        <v>1881</v>
      </c>
      <c r="B113">
        <v>109</v>
      </c>
      <c r="C113">
        <v>1109</v>
      </c>
      <c r="D113" s="1" t="s">
        <v>143</v>
      </c>
      <c r="G113" t="s">
        <v>24</v>
      </c>
      <c r="I113">
        <v>30</v>
      </c>
      <c r="J113">
        <v>65</v>
      </c>
      <c r="K113">
        <v>35</v>
      </c>
      <c r="L113">
        <v>1.1667000000000001</v>
      </c>
      <c r="M113" t="s">
        <v>3367</v>
      </c>
      <c r="N113">
        <v>113</v>
      </c>
    </row>
    <row r="114" spans="1:14" x14ac:dyDescent="0.25">
      <c r="A114" t="s">
        <v>1882</v>
      </c>
      <c r="B114">
        <v>110</v>
      </c>
      <c r="C114">
        <v>1110</v>
      </c>
      <c r="D114" s="1" t="s">
        <v>144</v>
      </c>
      <c r="G114" t="s">
        <v>24</v>
      </c>
      <c r="I114">
        <v>40</v>
      </c>
      <c r="J114">
        <v>60</v>
      </c>
      <c r="K114">
        <v>20</v>
      </c>
      <c r="L114">
        <v>0.5</v>
      </c>
      <c r="M114" t="s">
        <v>3367</v>
      </c>
      <c r="N114">
        <v>114</v>
      </c>
    </row>
    <row r="115" spans="1:14" x14ac:dyDescent="0.25">
      <c r="A115" t="s">
        <v>1883</v>
      </c>
      <c r="B115">
        <v>111</v>
      </c>
      <c r="C115">
        <v>1111</v>
      </c>
      <c r="D115" s="1" t="s">
        <v>145</v>
      </c>
      <c r="G115" t="s">
        <v>24</v>
      </c>
      <c r="I115">
        <v>40</v>
      </c>
      <c r="J115">
        <v>70</v>
      </c>
      <c r="K115">
        <v>30</v>
      </c>
      <c r="L115">
        <v>0.75</v>
      </c>
      <c r="M115" t="s">
        <v>3367</v>
      </c>
      <c r="N115">
        <v>115</v>
      </c>
    </row>
    <row r="116" spans="1:14" x14ac:dyDescent="0.25">
      <c r="A116" t="s">
        <v>1884</v>
      </c>
      <c r="B116">
        <v>112</v>
      </c>
      <c r="C116">
        <v>1112</v>
      </c>
      <c r="D116" s="1" t="s">
        <v>146</v>
      </c>
      <c r="G116" t="s">
        <v>24</v>
      </c>
      <c r="I116">
        <v>55</v>
      </c>
      <c r="J116">
        <v>80</v>
      </c>
      <c r="K116">
        <v>25</v>
      </c>
      <c r="L116">
        <v>0.45450000000000002</v>
      </c>
      <c r="M116" t="s">
        <v>3367</v>
      </c>
      <c r="N116">
        <v>116</v>
      </c>
    </row>
    <row r="117" spans="1:14" x14ac:dyDescent="0.25">
      <c r="A117" t="s">
        <v>1885</v>
      </c>
      <c r="B117">
        <v>113</v>
      </c>
      <c r="C117">
        <v>1113</v>
      </c>
      <c r="D117" s="1" t="s">
        <v>147</v>
      </c>
      <c r="G117" t="s">
        <v>24</v>
      </c>
      <c r="I117">
        <v>70</v>
      </c>
      <c r="J117">
        <v>100</v>
      </c>
      <c r="K117">
        <v>30</v>
      </c>
      <c r="L117">
        <v>0.42859999999999998</v>
      </c>
      <c r="M117" t="s">
        <v>3367</v>
      </c>
      <c r="N117">
        <v>117</v>
      </c>
    </row>
    <row r="118" spans="1:14" x14ac:dyDescent="0.25">
      <c r="A118" t="s">
        <v>1886</v>
      </c>
      <c r="B118">
        <v>114</v>
      </c>
      <c r="C118">
        <v>1114</v>
      </c>
      <c r="D118" s="1" t="s">
        <v>148</v>
      </c>
      <c r="G118" t="s">
        <v>24</v>
      </c>
      <c r="I118">
        <v>70</v>
      </c>
      <c r="J118">
        <v>120</v>
      </c>
      <c r="K118">
        <v>50</v>
      </c>
      <c r="L118">
        <v>0.71430000000000005</v>
      </c>
      <c r="M118" t="s">
        <v>3367</v>
      </c>
      <c r="N118">
        <v>118</v>
      </c>
    </row>
    <row r="119" spans="1:14" x14ac:dyDescent="0.25">
      <c r="A119" t="s">
        <v>1887</v>
      </c>
      <c r="B119">
        <v>115</v>
      </c>
      <c r="C119">
        <v>1115</v>
      </c>
      <c r="D119" s="1" t="s">
        <v>149</v>
      </c>
      <c r="G119" t="s">
        <v>24</v>
      </c>
      <c r="I119">
        <v>55</v>
      </c>
      <c r="J119">
        <v>95</v>
      </c>
      <c r="K119">
        <v>40</v>
      </c>
      <c r="L119">
        <v>0.72729999999999995</v>
      </c>
      <c r="M119" t="s">
        <v>3367</v>
      </c>
      <c r="N119">
        <v>119</v>
      </c>
    </row>
    <row r="120" spans="1:14" x14ac:dyDescent="0.25">
      <c r="A120" t="s">
        <v>1888</v>
      </c>
      <c r="B120">
        <v>116</v>
      </c>
      <c r="C120">
        <v>1116</v>
      </c>
      <c r="D120" s="1" t="s">
        <v>150</v>
      </c>
      <c r="G120" t="s">
        <v>24</v>
      </c>
      <c r="I120">
        <v>95</v>
      </c>
      <c r="J120">
        <v>145</v>
      </c>
      <c r="K120">
        <v>50</v>
      </c>
      <c r="L120">
        <v>0.52629999999999999</v>
      </c>
      <c r="M120" t="s">
        <v>3367</v>
      </c>
      <c r="N120">
        <v>120</v>
      </c>
    </row>
    <row r="121" spans="1:14" x14ac:dyDescent="0.25">
      <c r="A121" t="s">
        <v>1889</v>
      </c>
      <c r="B121">
        <v>117</v>
      </c>
      <c r="C121">
        <v>1117</v>
      </c>
      <c r="D121" s="1" t="s">
        <v>151</v>
      </c>
      <c r="G121" t="s">
        <v>24</v>
      </c>
      <c r="I121">
        <v>6</v>
      </c>
      <c r="J121">
        <v>12</v>
      </c>
      <c r="K121">
        <v>6</v>
      </c>
      <c r="L121">
        <v>1</v>
      </c>
      <c r="M121" t="s">
        <v>3367</v>
      </c>
      <c r="N121">
        <v>121</v>
      </c>
    </row>
    <row r="122" spans="1:14" x14ac:dyDescent="0.25">
      <c r="A122" t="s">
        <v>1890</v>
      </c>
      <c r="B122">
        <v>118</v>
      </c>
      <c r="C122">
        <v>1118</v>
      </c>
      <c r="D122" s="1" t="s">
        <v>152</v>
      </c>
      <c r="G122" t="s">
        <v>24</v>
      </c>
      <c r="I122">
        <v>6</v>
      </c>
      <c r="J122">
        <v>15</v>
      </c>
      <c r="K122">
        <v>9</v>
      </c>
      <c r="L122">
        <v>1.5</v>
      </c>
      <c r="M122" t="s">
        <v>3367</v>
      </c>
      <c r="N122">
        <v>122</v>
      </c>
    </row>
    <row r="123" spans="1:14" x14ac:dyDescent="0.25">
      <c r="A123" t="s">
        <v>1891</v>
      </c>
      <c r="B123">
        <v>119</v>
      </c>
      <c r="C123">
        <v>1119</v>
      </c>
      <c r="D123" s="1" t="s">
        <v>153</v>
      </c>
      <c r="G123" t="s">
        <v>24</v>
      </c>
      <c r="I123">
        <v>6</v>
      </c>
      <c r="J123">
        <v>12</v>
      </c>
      <c r="K123">
        <v>6</v>
      </c>
      <c r="L123">
        <v>1</v>
      </c>
      <c r="M123" t="s">
        <v>3367</v>
      </c>
      <c r="N123">
        <v>123</v>
      </c>
    </row>
    <row r="124" spans="1:14" x14ac:dyDescent="0.25">
      <c r="A124" t="s">
        <v>1892</v>
      </c>
      <c r="B124">
        <v>120</v>
      </c>
      <c r="C124">
        <v>1120</v>
      </c>
      <c r="D124" s="1" t="s">
        <v>154</v>
      </c>
      <c r="G124" t="s">
        <v>24</v>
      </c>
      <c r="I124">
        <v>10</v>
      </c>
      <c r="J124">
        <v>12</v>
      </c>
      <c r="K124">
        <v>2</v>
      </c>
      <c r="L124">
        <v>0.2</v>
      </c>
      <c r="M124" t="s">
        <v>3367</v>
      </c>
      <c r="N124">
        <v>124</v>
      </c>
    </row>
    <row r="125" spans="1:14" x14ac:dyDescent="0.25">
      <c r="A125" t="s">
        <v>1893</v>
      </c>
      <c r="B125">
        <v>121</v>
      </c>
      <c r="C125">
        <v>1121</v>
      </c>
      <c r="D125" s="1" t="s">
        <v>155</v>
      </c>
      <c r="G125" t="s">
        <v>24</v>
      </c>
      <c r="I125">
        <v>7</v>
      </c>
      <c r="J125">
        <v>12</v>
      </c>
      <c r="K125">
        <v>5</v>
      </c>
      <c r="L125">
        <v>0.71430000000000005</v>
      </c>
      <c r="M125" t="s">
        <v>3367</v>
      </c>
      <c r="N125">
        <v>125</v>
      </c>
    </row>
    <row r="126" spans="1:14" x14ac:dyDescent="0.25">
      <c r="A126" t="s">
        <v>1894</v>
      </c>
      <c r="B126">
        <v>122</v>
      </c>
      <c r="C126">
        <v>1122</v>
      </c>
      <c r="D126" s="1" t="s">
        <v>156</v>
      </c>
      <c r="G126" t="s">
        <v>24</v>
      </c>
      <c r="I126">
        <v>33</v>
      </c>
      <c r="J126">
        <v>70</v>
      </c>
      <c r="K126">
        <v>37</v>
      </c>
      <c r="L126">
        <v>1.1212</v>
      </c>
      <c r="M126" t="s">
        <v>3367</v>
      </c>
      <c r="N126">
        <v>126</v>
      </c>
    </row>
    <row r="127" spans="1:14" x14ac:dyDescent="0.25">
      <c r="A127" t="s">
        <v>1895</v>
      </c>
      <c r="B127">
        <v>123</v>
      </c>
      <c r="C127">
        <v>1123</v>
      </c>
      <c r="D127" s="1" t="s">
        <v>157</v>
      </c>
      <c r="G127" t="s">
        <v>24</v>
      </c>
      <c r="I127">
        <v>39</v>
      </c>
      <c r="J127">
        <v>75</v>
      </c>
      <c r="K127">
        <v>36</v>
      </c>
      <c r="L127">
        <v>0.92310000000000003</v>
      </c>
      <c r="M127" t="s">
        <v>3367</v>
      </c>
      <c r="N127">
        <v>127</v>
      </c>
    </row>
    <row r="128" spans="1:14" x14ac:dyDescent="0.25">
      <c r="A128" t="s">
        <v>1896</v>
      </c>
      <c r="B128">
        <v>124</v>
      </c>
      <c r="C128">
        <v>1124</v>
      </c>
      <c r="D128" s="1" t="s">
        <v>158</v>
      </c>
      <c r="G128" t="s">
        <v>24</v>
      </c>
      <c r="I128">
        <v>65</v>
      </c>
      <c r="J128">
        <v>90</v>
      </c>
      <c r="K128">
        <v>25</v>
      </c>
      <c r="L128">
        <v>0.3846</v>
      </c>
      <c r="M128" t="s">
        <v>3367</v>
      </c>
      <c r="N128">
        <v>128</v>
      </c>
    </row>
    <row r="129" spans="1:14" x14ac:dyDescent="0.25">
      <c r="A129" t="s">
        <v>1897</v>
      </c>
      <c r="B129">
        <v>125</v>
      </c>
      <c r="C129">
        <v>1125</v>
      </c>
      <c r="D129" s="1" t="s">
        <v>159</v>
      </c>
      <c r="G129" t="s">
        <v>24</v>
      </c>
      <c r="I129">
        <v>37</v>
      </c>
      <c r="J129">
        <v>70</v>
      </c>
      <c r="K129">
        <v>33</v>
      </c>
      <c r="L129">
        <v>0.89190000000000003</v>
      </c>
      <c r="M129" t="s">
        <v>3367</v>
      </c>
      <c r="N129">
        <v>129</v>
      </c>
    </row>
    <row r="130" spans="1:14" x14ac:dyDescent="0.25">
      <c r="A130" t="s">
        <v>1898</v>
      </c>
      <c r="B130">
        <v>126</v>
      </c>
      <c r="C130">
        <v>1126</v>
      </c>
      <c r="D130" s="1" t="s">
        <v>160</v>
      </c>
      <c r="G130" t="s">
        <v>24</v>
      </c>
      <c r="I130">
        <v>37</v>
      </c>
      <c r="J130">
        <v>70</v>
      </c>
      <c r="K130">
        <v>33</v>
      </c>
      <c r="L130">
        <v>0.89190000000000003</v>
      </c>
      <c r="M130" t="s">
        <v>3367</v>
      </c>
      <c r="N130">
        <v>130</v>
      </c>
    </row>
    <row r="131" spans="1:14" x14ac:dyDescent="0.25">
      <c r="A131" t="s">
        <v>1899</v>
      </c>
      <c r="B131">
        <v>127</v>
      </c>
      <c r="C131">
        <v>1127</v>
      </c>
      <c r="D131" s="1" t="s">
        <v>161</v>
      </c>
      <c r="G131" t="s">
        <v>24</v>
      </c>
      <c r="I131">
        <v>6</v>
      </c>
      <c r="J131">
        <v>16</v>
      </c>
      <c r="K131">
        <v>10</v>
      </c>
      <c r="L131">
        <v>1.6667000000000001</v>
      </c>
      <c r="M131" t="s">
        <v>3367</v>
      </c>
      <c r="N131">
        <v>131</v>
      </c>
    </row>
    <row r="132" spans="1:14" x14ac:dyDescent="0.25">
      <c r="A132" t="s">
        <v>1900</v>
      </c>
      <c r="B132">
        <v>128</v>
      </c>
      <c r="C132">
        <v>1128</v>
      </c>
      <c r="D132" s="1" t="s">
        <v>162</v>
      </c>
      <c r="G132" t="s">
        <v>24</v>
      </c>
      <c r="I132">
        <v>75</v>
      </c>
      <c r="J132">
        <v>150</v>
      </c>
      <c r="K132">
        <v>75</v>
      </c>
      <c r="L132">
        <v>1</v>
      </c>
      <c r="M132" t="s">
        <v>3367</v>
      </c>
      <c r="N132">
        <v>132</v>
      </c>
    </row>
    <row r="133" spans="1:14" x14ac:dyDescent="0.25">
      <c r="A133" t="s">
        <v>1901</v>
      </c>
      <c r="B133">
        <v>129</v>
      </c>
      <c r="C133">
        <v>1129</v>
      </c>
      <c r="D133" s="1" t="s">
        <v>163</v>
      </c>
      <c r="G133" t="s">
        <v>24</v>
      </c>
      <c r="I133">
        <v>100</v>
      </c>
      <c r="J133">
        <v>170</v>
      </c>
      <c r="K133">
        <v>70</v>
      </c>
      <c r="L133">
        <v>0.7</v>
      </c>
      <c r="M133" t="s">
        <v>3367</v>
      </c>
      <c r="N133">
        <v>133</v>
      </c>
    </row>
    <row r="134" spans="1:14" x14ac:dyDescent="0.25">
      <c r="A134" t="s">
        <v>1902</v>
      </c>
      <c r="B134">
        <v>130</v>
      </c>
      <c r="C134">
        <v>1130</v>
      </c>
      <c r="D134" s="1" t="s">
        <v>164</v>
      </c>
      <c r="G134" t="s">
        <v>24</v>
      </c>
      <c r="I134">
        <v>115</v>
      </c>
      <c r="J134">
        <v>185</v>
      </c>
      <c r="K134">
        <v>70</v>
      </c>
      <c r="L134">
        <v>0.60870000000000002</v>
      </c>
      <c r="M134" t="s">
        <v>3367</v>
      </c>
      <c r="N134">
        <v>134</v>
      </c>
    </row>
    <row r="135" spans="1:14" x14ac:dyDescent="0.25">
      <c r="A135" t="s">
        <v>1903</v>
      </c>
      <c r="B135">
        <v>131</v>
      </c>
      <c r="C135">
        <v>1131</v>
      </c>
      <c r="D135" s="1" t="s">
        <v>165</v>
      </c>
      <c r="G135" t="s">
        <v>24</v>
      </c>
      <c r="I135">
        <v>125</v>
      </c>
      <c r="J135">
        <v>195</v>
      </c>
      <c r="K135">
        <v>70</v>
      </c>
      <c r="L135">
        <v>0.56000000000000005</v>
      </c>
      <c r="M135" t="s">
        <v>3367</v>
      </c>
      <c r="N135">
        <v>135</v>
      </c>
    </row>
    <row r="136" spans="1:14" x14ac:dyDescent="0.25">
      <c r="A136" t="s">
        <v>1904</v>
      </c>
      <c r="B136">
        <v>132</v>
      </c>
      <c r="C136">
        <v>1132</v>
      </c>
      <c r="D136" s="1" t="s">
        <v>166</v>
      </c>
      <c r="G136" t="s">
        <v>24</v>
      </c>
      <c r="I136">
        <v>145</v>
      </c>
      <c r="J136">
        <v>220</v>
      </c>
      <c r="K136">
        <v>75</v>
      </c>
      <c r="L136">
        <v>0.51719999999999999</v>
      </c>
      <c r="M136" t="s">
        <v>3367</v>
      </c>
      <c r="N136">
        <v>136</v>
      </c>
    </row>
    <row r="137" spans="1:14" x14ac:dyDescent="0.25">
      <c r="A137" t="s">
        <v>1905</v>
      </c>
      <c r="B137">
        <v>133</v>
      </c>
      <c r="C137">
        <v>1133</v>
      </c>
      <c r="D137" s="1" t="s">
        <v>167</v>
      </c>
      <c r="G137" t="s">
        <v>24</v>
      </c>
      <c r="I137">
        <v>155</v>
      </c>
      <c r="J137">
        <v>235</v>
      </c>
      <c r="K137">
        <v>80</v>
      </c>
      <c r="L137">
        <v>0.5161</v>
      </c>
      <c r="M137" t="s">
        <v>3367</v>
      </c>
      <c r="N137">
        <v>137</v>
      </c>
    </row>
    <row r="138" spans="1:14" x14ac:dyDescent="0.25">
      <c r="A138" t="s">
        <v>1906</v>
      </c>
      <c r="B138">
        <v>134</v>
      </c>
      <c r="C138">
        <v>1134</v>
      </c>
      <c r="D138" s="1" t="s">
        <v>168</v>
      </c>
      <c r="G138" t="s">
        <v>24</v>
      </c>
      <c r="I138">
        <v>38</v>
      </c>
      <c r="J138">
        <v>60</v>
      </c>
      <c r="K138">
        <v>22</v>
      </c>
      <c r="L138">
        <v>0.57889999999999997</v>
      </c>
      <c r="M138" t="s">
        <v>3367</v>
      </c>
      <c r="N138">
        <v>138</v>
      </c>
    </row>
    <row r="139" spans="1:14" x14ac:dyDescent="0.25">
      <c r="A139" t="s">
        <v>1907</v>
      </c>
      <c r="B139">
        <v>135</v>
      </c>
      <c r="C139">
        <v>1135</v>
      </c>
      <c r="D139" s="1" t="s">
        <v>169</v>
      </c>
      <c r="G139" t="s">
        <v>24</v>
      </c>
      <c r="I139">
        <v>38</v>
      </c>
      <c r="J139">
        <v>60</v>
      </c>
      <c r="K139">
        <v>22</v>
      </c>
      <c r="L139">
        <v>0.57889999999999997</v>
      </c>
      <c r="M139" t="s">
        <v>3367</v>
      </c>
      <c r="N139">
        <v>139</v>
      </c>
    </row>
    <row r="140" spans="1:14" x14ac:dyDescent="0.25">
      <c r="A140" t="s">
        <v>1908</v>
      </c>
      <c r="B140">
        <v>136</v>
      </c>
      <c r="C140">
        <v>1136</v>
      </c>
      <c r="D140" s="1" t="s">
        <v>170</v>
      </c>
      <c r="G140" t="s">
        <v>24</v>
      </c>
      <c r="I140">
        <v>15</v>
      </c>
      <c r="J140">
        <v>40</v>
      </c>
      <c r="K140">
        <v>25</v>
      </c>
      <c r="L140">
        <v>1.6667000000000001</v>
      </c>
      <c r="M140" t="s">
        <v>3367</v>
      </c>
      <c r="N140">
        <v>140</v>
      </c>
    </row>
    <row r="141" spans="1:14" x14ac:dyDescent="0.25">
      <c r="A141" t="s">
        <v>1909</v>
      </c>
      <c r="B141">
        <v>137</v>
      </c>
      <c r="C141">
        <v>1137</v>
      </c>
      <c r="D141" s="1" t="s">
        <v>171</v>
      </c>
      <c r="G141" t="s">
        <v>24</v>
      </c>
      <c r="I141">
        <v>16</v>
      </c>
      <c r="J141">
        <v>40</v>
      </c>
      <c r="K141">
        <v>24</v>
      </c>
      <c r="L141">
        <v>1.5</v>
      </c>
      <c r="M141" t="s">
        <v>3367</v>
      </c>
      <c r="N141">
        <v>141</v>
      </c>
    </row>
    <row r="142" spans="1:14" x14ac:dyDescent="0.25">
      <c r="A142" t="s">
        <v>1910</v>
      </c>
      <c r="B142">
        <v>138</v>
      </c>
      <c r="C142">
        <v>1138</v>
      </c>
      <c r="D142" s="1" t="s">
        <v>172</v>
      </c>
      <c r="G142" t="s">
        <v>24</v>
      </c>
      <c r="I142">
        <v>135</v>
      </c>
      <c r="J142">
        <v>235</v>
      </c>
      <c r="K142">
        <v>100</v>
      </c>
      <c r="L142">
        <v>0.74070000000000003</v>
      </c>
      <c r="M142" t="s">
        <v>3367</v>
      </c>
      <c r="N142">
        <v>142</v>
      </c>
    </row>
    <row r="143" spans="1:14" x14ac:dyDescent="0.25">
      <c r="A143" t="s">
        <v>1911</v>
      </c>
      <c r="B143">
        <v>139</v>
      </c>
      <c r="C143">
        <v>1139</v>
      </c>
      <c r="D143" s="1" t="s">
        <v>173</v>
      </c>
      <c r="G143" t="s">
        <v>24</v>
      </c>
      <c r="I143">
        <v>135</v>
      </c>
      <c r="J143">
        <v>235</v>
      </c>
      <c r="K143">
        <v>100</v>
      </c>
      <c r="L143">
        <v>0.74070000000000003</v>
      </c>
      <c r="M143" t="s">
        <v>3367</v>
      </c>
      <c r="N143">
        <v>143</v>
      </c>
    </row>
    <row r="144" spans="1:14" x14ac:dyDescent="0.25">
      <c r="A144" t="s">
        <v>1912</v>
      </c>
      <c r="B144">
        <v>140</v>
      </c>
      <c r="C144">
        <v>1140</v>
      </c>
      <c r="D144" s="1" t="s">
        <v>174</v>
      </c>
      <c r="G144" t="s">
        <v>24</v>
      </c>
      <c r="I144">
        <v>9.75</v>
      </c>
      <c r="J144">
        <v>20</v>
      </c>
      <c r="K144">
        <v>10.25</v>
      </c>
      <c r="L144">
        <v>1.0512999999999999</v>
      </c>
      <c r="M144" t="s">
        <v>3367</v>
      </c>
      <c r="N144">
        <v>144</v>
      </c>
    </row>
    <row r="145" spans="1:14" x14ac:dyDescent="0.25">
      <c r="A145" t="s">
        <v>1913</v>
      </c>
      <c r="B145">
        <v>141</v>
      </c>
      <c r="C145">
        <v>1141</v>
      </c>
      <c r="D145" s="1" t="s">
        <v>175</v>
      </c>
      <c r="G145" t="s">
        <v>176</v>
      </c>
      <c r="I145">
        <v>55</v>
      </c>
      <c r="J145">
        <v>85</v>
      </c>
      <c r="K145">
        <v>30</v>
      </c>
      <c r="L145">
        <v>0.54549999999999998</v>
      </c>
      <c r="M145" t="s">
        <v>3367</v>
      </c>
      <c r="N145">
        <v>145</v>
      </c>
    </row>
    <row r="146" spans="1:14" x14ac:dyDescent="0.25">
      <c r="A146" t="s">
        <v>1914</v>
      </c>
      <c r="B146">
        <v>142</v>
      </c>
      <c r="C146">
        <v>1142</v>
      </c>
      <c r="D146" s="1" t="s">
        <v>177</v>
      </c>
      <c r="G146" t="s">
        <v>176</v>
      </c>
      <c r="I146">
        <v>35</v>
      </c>
      <c r="J146">
        <v>70</v>
      </c>
      <c r="K146">
        <v>35</v>
      </c>
      <c r="L146">
        <v>1</v>
      </c>
      <c r="M146" t="s">
        <v>3367</v>
      </c>
      <c r="N146">
        <v>146</v>
      </c>
    </row>
    <row r="147" spans="1:14" x14ac:dyDescent="0.25">
      <c r="A147" t="s">
        <v>1915</v>
      </c>
      <c r="B147">
        <v>143</v>
      </c>
      <c r="C147">
        <v>1143</v>
      </c>
      <c r="D147" s="1" t="s">
        <v>178</v>
      </c>
      <c r="G147" t="s">
        <v>176</v>
      </c>
      <c r="I147">
        <v>18</v>
      </c>
      <c r="J147">
        <v>55</v>
      </c>
      <c r="K147">
        <v>37</v>
      </c>
      <c r="L147">
        <v>2.0556000000000001</v>
      </c>
      <c r="M147" t="s">
        <v>3367</v>
      </c>
      <c r="N147">
        <v>147</v>
      </c>
    </row>
    <row r="148" spans="1:14" x14ac:dyDescent="0.25">
      <c r="A148" t="s">
        <v>1916</v>
      </c>
      <c r="B148">
        <v>144</v>
      </c>
      <c r="C148">
        <v>1144</v>
      </c>
      <c r="D148" s="1" t="s">
        <v>179</v>
      </c>
      <c r="G148" t="s">
        <v>24</v>
      </c>
      <c r="I148">
        <v>35</v>
      </c>
      <c r="J148">
        <v>60</v>
      </c>
      <c r="K148">
        <v>25</v>
      </c>
      <c r="L148">
        <v>0.71430000000000005</v>
      </c>
      <c r="M148" t="s">
        <v>3367</v>
      </c>
      <c r="N148">
        <v>148</v>
      </c>
    </row>
    <row r="149" spans="1:14" x14ac:dyDescent="0.25">
      <c r="A149" t="s">
        <v>1917</v>
      </c>
      <c r="B149">
        <v>145</v>
      </c>
      <c r="C149">
        <v>1145</v>
      </c>
      <c r="D149" s="1" t="s">
        <v>180</v>
      </c>
      <c r="G149" t="s">
        <v>24</v>
      </c>
      <c r="I149">
        <v>34</v>
      </c>
      <c r="J149">
        <v>65</v>
      </c>
      <c r="K149">
        <v>31</v>
      </c>
      <c r="L149">
        <v>0.91180000000000005</v>
      </c>
      <c r="M149" t="s">
        <v>3367</v>
      </c>
      <c r="N149">
        <v>149</v>
      </c>
    </row>
    <row r="150" spans="1:14" x14ac:dyDescent="0.25">
      <c r="A150" t="s">
        <v>1918</v>
      </c>
      <c r="B150">
        <v>146</v>
      </c>
      <c r="C150">
        <v>1146</v>
      </c>
      <c r="D150" s="1" t="s">
        <v>181</v>
      </c>
      <c r="G150" t="s">
        <v>24</v>
      </c>
      <c r="I150">
        <v>55</v>
      </c>
      <c r="J150">
        <v>85</v>
      </c>
      <c r="K150">
        <v>30</v>
      </c>
      <c r="L150">
        <v>0.54549999999999998</v>
      </c>
      <c r="M150" t="s">
        <v>3367</v>
      </c>
      <c r="N150">
        <v>150</v>
      </c>
    </row>
    <row r="151" spans="1:14" x14ac:dyDescent="0.25">
      <c r="A151" t="s">
        <v>1919</v>
      </c>
      <c r="B151">
        <v>147</v>
      </c>
      <c r="C151">
        <v>1147</v>
      </c>
      <c r="D151" s="1" t="s">
        <v>182</v>
      </c>
      <c r="G151" t="s">
        <v>176</v>
      </c>
      <c r="I151">
        <v>135</v>
      </c>
      <c r="J151">
        <v>210</v>
      </c>
      <c r="K151">
        <v>75</v>
      </c>
      <c r="L151">
        <v>0.55559999999999998</v>
      </c>
      <c r="M151" t="s">
        <v>3367</v>
      </c>
      <c r="N151">
        <v>151</v>
      </c>
    </row>
    <row r="152" spans="1:14" x14ac:dyDescent="0.25">
      <c r="A152" t="s">
        <v>1920</v>
      </c>
      <c r="B152">
        <v>148</v>
      </c>
      <c r="C152">
        <v>1148</v>
      </c>
      <c r="D152" s="1" t="s">
        <v>183</v>
      </c>
      <c r="G152" t="s">
        <v>176</v>
      </c>
      <c r="I152">
        <v>135</v>
      </c>
      <c r="J152">
        <v>240</v>
      </c>
      <c r="K152">
        <v>105</v>
      </c>
      <c r="L152">
        <v>0.77780000000000005</v>
      </c>
      <c r="M152" t="s">
        <v>3367</v>
      </c>
      <c r="N152">
        <v>152</v>
      </c>
    </row>
    <row r="153" spans="1:14" x14ac:dyDescent="0.25">
      <c r="A153" t="s">
        <v>1921</v>
      </c>
      <c r="B153">
        <v>149</v>
      </c>
      <c r="C153">
        <v>1149</v>
      </c>
      <c r="D153" s="1" t="s">
        <v>184</v>
      </c>
      <c r="G153" t="s">
        <v>176</v>
      </c>
      <c r="I153">
        <v>150</v>
      </c>
      <c r="J153">
        <v>250</v>
      </c>
      <c r="K153">
        <v>100</v>
      </c>
      <c r="L153">
        <v>0.66669999999999996</v>
      </c>
      <c r="M153" t="s">
        <v>3367</v>
      </c>
      <c r="N153">
        <v>153</v>
      </c>
    </row>
    <row r="154" spans="1:14" x14ac:dyDescent="0.25">
      <c r="A154" t="s">
        <v>1922</v>
      </c>
      <c r="B154">
        <v>150</v>
      </c>
      <c r="C154">
        <v>1150</v>
      </c>
      <c r="D154" s="1" t="s">
        <v>185</v>
      </c>
      <c r="G154" t="s">
        <v>176</v>
      </c>
      <c r="I154">
        <v>135</v>
      </c>
      <c r="J154">
        <v>240</v>
      </c>
      <c r="K154">
        <v>105</v>
      </c>
      <c r="L154">
        <v>0.77780000000000005</v>
      </c>
      <c r="M154" t="s">
        <v>3367</v>
      </c>
      <c r="N154">
        <v>154</v>
      </c>
    </row>
    <row r="155" spans="1:14" x14ac:dyDescent="0.25">
      <c r="A155" t="s">
        <v>1923</v>
      </c>
      <c r="B155">
        <v>151</v>
      </c>
      <c r="C155">
        <v>1151</v>
      </c>
      <c r="D155" s="1" t="s">
        <v>186</v>
      </c>
      <c r="G155" t="s">
        <v>176</v>
      </c>
      <c r="I155">
        <v>135</v>
      </c>
      <c r="J155">
        <v>240</v>
      </c>
      <c r="K155">
        <v>105</v>
      </c>
      <c r="L155">
        <v>0.77780000000000005</v>
      </c>
      <c r="M155" t="s">
        <v>3367</v>
      </c>
      <c r="N155">
        <v>155</v>
      </c>
    </row>
    <row r="156" spans="1:14" x14ac:dyDescent="0.25">
      <c r="A156" t="s">
        <v>1924</v>
      </c>
      <c r="B156">
        <v>152</v>
      </c>
      <c r="C156">
        <v>1152</v>
      </c>
      <c r="D156" s="1" t="s">
        <v>187</v>
      </c>
      <c r="G156" t="s">
        <v>24</v>
      </c>
      <c r="I156">
        <v>23</v>
      </c>
      <c r="J156">
        <v>45</v>
      </c>
      <c r="K156">
        <v>22</v>
      </c>
      <c r="L156">
        <v>0.95650000000000002</v>
      </c>
      <c r="M156" t="s">
        <v>3367</v>
      </c>
      <c r="N156">
        <v>156</v>
      </c>
    </row>
    <row r="157" spans="1:14" x14ac:dyDescent="0.25">
      <c r="A157" t="s">
        <v>1925</v>
      </c>
      <c r="B157">
        <v>153</v>
      </c>
      <c r="C157">
        <v>1153</v>
      </c>
      <c r="D157" s="1" t="s">
        <v>188</v>
      </c>
      <c r="G157" t="s">
        <v>24</v>
      </c>
      <c r="I157">
        <v>0.85</v>
      </c>
      <c r="J157">
        <v>1.5</v>
      </c>
      <c r="K157">
        <v>0.65</v>
      </c>
      <c r="L157">
        <v>0.76470000000000005</v>
      </c>
      <c r="M157" t="s">
        <v>3367</v>
      </c>
      <c r="N157">
        <v>157</v>
      </c>
    </row>
    <row r="158" spans="1:14" x14ac:dyDescent="0.25">
      <c r="A158" t="s">
        <v>1926</v>
      </c>
      <c r="B158">
        <v>154</v>
      </c>
      <c r="C158">
        <v>1154</v>
      </c>
      <c r="D158" s="1" t="s">
        <v>189</v>
      </c>
      <c r="G158" t="s">
        <v>24</v>
      </c>
      <c r="I158">
        <v>0.87</v>
      </c>
      <c r="J158">
        <v>1.87</v>
      </c>
      <c r="K158">
        <v>1</v>
      </c>
      <c r="L158">
        <v>1.1494</v>
      </c>
      <c r="M158" t="s">
        <v>3367</v>
      </c>
      <c r="N158">
        <v>158</v>
      </c>
    </row>
    <row r="159" spans="1:14" x14ac:dyDescent="0.25">
      <c r="A159" t="s">
        <v>1927</v>
      </c>
      <c r="B159">
        <v>155</v>
      </c>
      <c r="C159">
        <v>1155</v>
      </c>
      <c r="D159" s="1" t="s">
        <v>190</v>
      </c>
      <c r="G159" t="s">
        <v>24</v>
      </c>
      <c r="I159">
        <v>0.85</v>
      </c>
      <c r="J159">
        <v>1.5</v>
      </c>
      <c r="K159">
        <v>0.65</v>
      </c>
      <c r="L159">
        <v>0.76470000000000005</v>
      </c>
      <c r="M159" t="s">
        <v>3367</v>
      </c>
      <c r="N159">
        <v>159</v>
      </c>
    </row>
    <row r="160" spans="1:14" x14ac:dyDescent="0.25">
      <c r="A160" t="s">
        <v>1928</v>
      </c>
      <c r="B160">
        <v>156</v>
      </c>
      <c r="C160">
        <v>1156</v>
      </c>
      <c r="D160" s="1" t="s">
        <v>191</v>
      </c>
      <c r="G160" t="s">
        <v>24</v>
      </c>
      <c r="I160">
        <v>0.87</v>
      </c>
      <c r="J160">
        <v>1.87</v>
      </c>
      <c r="K160">
        <v>1</v>
      </c>
      <c r="L160">
        <v>1.1494</v>
      </c>
      <c r="M160" t="s">
        <v>3367</v>
      </c>
      <c r="N160">
        <v>160</v>
      </c>
    </row>
    <row r="161" spans="1:14" x14ac:dyDescent="0.25">
      <c r="A161" t="s">
        <v>1929</v>
      </c>
      <c r="B161">
        <v>157</v>
      </c>
      <c r="C161">
        <v>1157</v>
      </c>
      <c r="D161" s="1" t="s">
        <v>192</v>
      </c>
      <c r="G161" t="s">
        <v>24</v>
      </c>
      <c r="I161">
        <v>0.45</v>
      </c>
      <c r="J161">
        <v>1.5</v>
      </c>
      <c r="K161">
        <v>1.05</v>
      </c>
      <c r="L161">
        <v>2.3332999999999999</v>
      </c>
      <c r="M161" t="s">
        <v>3367</v>
      </c>
      <c r="N161">
        <v>161</v>
      </c>
    </row>
    <row r="162" spans="1:14" x14ac:dyDescent="0.25">
      <c r="A162" t="s">
        <v>1930</v>
      </c>
      <c r="B162">
        <v>158</v>
      </c>
      <c r="C162">
        <v>1158</v>
      </c>
      <c r="D162" s="1" t="s">
        <v>193</v>
      </c>
      <c r="G162" t="s">
        <v>24</v>
      </c>
      <c r="I162">
        <v>35</v>
      </c>
      <c r="J162">
        <v>85</v>
      </c>
      <c r="K162">
        <v>50</v>
      </c>
      <c r="L162">
        <v>1.4286000000000001</v>
      </c>
      <c r="M162" t="s">
        <v>3367</v>
      </c>
      <c r="N162">
        <v>162</v>
      </c>
    </row>
    <row r="163" spans="1:14" x14ac:dyDescent="0.25">
      <c r="A163" t="s">
        <v>1931</v>
      </c>
      <c r="B163">
        <v>159</v>
      </c>
      <c r="C163">
        <v>1159</v>
      </c>
      <c r="D163" s="1" t="s">
        <v>194</v>
      </c>
      <c r="G163" t="s">
        <v>24</v>
      </c>
      <c r="I163">
        <v>100</v>
      </c>
      <c r="J163">
        <v>170</v>
      </c>
      <c r="K163">
        <v>70</v>
      </c>
      <c r="L163">
        <v>0.7</v>
      </c>
      <c r="M163" t="s">
        <v>3367</v>
      </c>
      <c r="N163">
        <v>163</v>
      </c>
    </row>
    <row r="164" spans="1:14" x14ac:dyDescent="0.25">
      <c r="A164" t="s">
        <v>1932</v>
      </c>
      <c r="B164">
        <v>160</v>
      </c>
      <c r="C164">
        <v>1160</v>
      </c>
      <c r="D164" s="1" t="s">
        <v>195</v>
      </c>
      <c r="G164" t="s">
        <v>24</v>
      </c>
      <c r="I164">
        <v>130</v>
      </c>
      <c r="J164">
        <v>190</v>
      </c>
      <c r="K164">
        <v>60</v>
      </c>
      <c r="L164">
        <v>0.46150000000000002</v>
      </c>
      <c r="M164" t="s">
        <v>3367</v>
      </c>
      <c r="N164">
        <v>164</v>
      </c>
    </row>
    <row r="165" spans="1:14" x14ac:dyDescent="0.25">
      <c r="A165" t="s">
        <v>1933</v>
      </c>
      <c r="B165">
        <v>161</v>
      </c>
      <c r="C165">
        <v>1161</v>
      </c>
      <c r="D165" s="1" t="s">
        <v>196</v>
      </c>
      <c r="G165" t="s">
        <v>24</v>
      </c>
      <c r="I165">
        <v>39.75</v>
      </c>
      <c r="J165">
        <v>65</v>
      </c>
      <c r="K165">
        <v>25.25</v>
      </c>
      <c r="L165">
        <v>0.63519999999999999</v>
      </c>
      <c r="M165" t="s">
        <v>3367</v>
      </c>
      <c r="N165">
        <v>165</v>
      </c>
    </row>
    <row r="166" spans="1:14" x14ac:dyDescent="0.25">
      <c r="A166" t="s">
        <v>1934</v>
      </c>
      <c r="B166">
        <v>162</v>
      </c>
      <c r="C166">
        <v>1162</v>
      </c>
      <c r="D166" s="1" t="s">
        <v>197</v>
      </c>
      <c r="G166" t="s">
        <v>24</v>
      </c>
      <c r="I166">
        <v>25</v>
      </c>
      <c r="J166">
        <v>55</v>
      </c>
      <c r="K166">
        <v>30</v>
      </c>
      <c r="L166">
        <v>1.2</v>
      </c>
      <c r="M166" t="s">
        <v>3367</v>
      </c>
      <c r="N166">
        <v>166</v>
      </c>
    </row>
    <row r="167" spans="1:14" x14ac:dyDescent="0.25">
      <c r="A167" t="s">
        <v>1935</v>
      </c>
      <c r="B167">
        <v>163</v>
      </c>
      <c r="C167">
        <v>1163</v>
      </c>
      <c r="D167" s="1" t="s">
        <v>198</v>
      </c>
      <c r="G167" t="s">
        <v>24</v>
      </c>
      <c r="I167">
        <v>79</v>
      </c>
      <c r="J167">
        <v>220</v>
      </c>
      <c r="K167">
        <v>141</v>
      </c>
      <c r="L167">
        <v>1.7847999999999999</v>
      </c>
      <c r="M167" t="s">
        <v>3367</v>
      </c>
      <c r="N167">
        <v>167</v>
      </c>
    </row>
    <row r="168" spans="1:14" x14ac:dyDescent="0.25">
      <c r="A168" t="s">
        <v>1936</v>
      </c>
      <c r="B168">
        <v>164</v>
      </c>
      <c r="C168">
        <v>1164</v>
      </c>
      <c r="D168" s="1" t="s">
        <v>199</v>
      </c>
      <c r="G168" t="s">
        <v>24</v>
      </c>
      <c r="I168">
        <v>79</v>
      </c>
      <c r="J168">
        <v>125</v>
      </c>
      <c r="K168">
        <v>46</v>
      </c>
      <c r="L168">
        <v>0.58230000000000004</v>
      </c>
      <c r="M168" t="s">
        <v>3367</v>
      </c>
      <c r="N168">
        <v>168</v>
      </c>
    </row>
    <row r="169" spans="1:14" x14ac:dyDescent="0.25">
      <c r="A169" t="s">
        <v>1937</v>
      </c>
      <c r="B169">
        <v>165</v>
      </c>
      <c r="C169">
        <v>1165</v>
      </c>
      <c r="D169" s="1" t="s">
        <v>200</v>
      </c>
      <c r="G169" t="s">
        <v>24</v>
      </c>
      <c r="I169">
        <v>49</v>
      </c>
      <c r="J169">
        <v>90</v>
      </c>
      <c r="K169">
        <v>41</v>
      </c>
      <c r="L169">
        <v>0.8367</v>
      </c>
      <c r="M169" t="s">
        <v>3367</v>
      </c>
      <c r="N169">
        <v>169</v>
      </c>
    </row>
    <row r="170" spans="1:14" x14ac:dyDescent="0.25">
      <c r="A170" t="s">
        <v>1938</v>
      </c>
      <c r="B170">
        <v>166</v>
      </c>
      <c r="C170">
        <v>1166</v>
      </c>
      <c r="D170" s="1" t="s">
        <v>201</v>
      </c>
      <c r="G170" t="s">
        <v>24</v>
      </c>
      <c r="I170">
        <v>45</v>
      </c>
      <c r="J170">
        <v>80</v>
      </c>
      <c r="K170">
        <v>35</v>
      </c>
      <c r="L170">
        <v>0.77780000000000005</v>
      </c>
      <c r="M170" t="s">
        <v>3367</v>
      </c>
      <c r="N170">
        <v>170</v>
      </c>
    </row>
    <row r="171" spans="1:14" x14ac:dyDescent="0.25">
      <c r="A171" t="s">
        <v>1939</v>
      </c>
      <c r="B171">
        <v>167</v>
      </c>
      <c r="C171">
        <v>1167</v>
      </c>
      <c r="D171" s="1" t="s">
        <v>202</v>
      </c>
      <c r="G171" t="s">
        <v>24</v>
      </c>
      <c r="I171">
        <v>35</v>
      </c>
      <c r="J171">
        <v>60</v>
      </c>
      <c r="K171">
        <v>25</v>
      </c>
      <c r="L171">
        <v>0.71430000000000005</v>
      </c>
      <c r="M171" t="s">
        <v>3367</v>
      </c>
      <c r="N171">
        <v>171</v>
      </c>
    </row>
    <row r="172" spans="1:14" x14ac:dyDescent="0.25">
      <c r="A172" t="s">
        <v>1940</v>
      </c>
      <c r="B172">
        <v>168</v>
      </c>
      <c r="C172">
        <v>1168</v>
      </c>
      <c r="D172" s="1" t="s">
        <v>203</v>
      </c>
      <c r="G172" t="s">
        <v>24</v>
      </c>
      <c r="I172">
        <v>59.75</v>
      </c>
      <c r="J172">
        <v>95</v>
      </c>
      <c r="K172">
        <v>35.25</v>
      </c>
      <c r="L172">
        <v>0.59</v>
      </c>
      <c r="M172" t="s">
        <v>3367</v>
      </c>
      <c r="N172">
        <v>172</v>
      </c>
    </row>
    <row r="173" spans="1:14" x14ac:dyDescent="0.25">
      <c r="A173" t="s">
        <v>1941</v>
      </c>
      <c r="B173">
        <v>169</v>
      </c>
      <c r="C173">
        <v>1169</v>
      </c>
      <c r="D173" s="1" t="s">
        <v>204</v>
      </c>
      <c r="G173" t="s">
        <v>24</v>
      </c>
      <c r="I173">
        <v>45</v>
      </c>
      <c r="J173">
        <v>55</v>
      </c>
      <c r="K173">
        <v>10</v>
      </c>
      <c r="L173">
        <v>0.22220000000000001</v>
      </c>
      <c r="M173" t="s">
        <v>3367</v>
      </c>
      <c r="N173">
        <v>173</v>
      </c>
    </row>
    <row r="174" spans="1:14" x14ac:dyDescent="0.25">
      <c r="A174" t="s">
        <v>1942</v>
      </c>
      <c r="B174">
        <v>170</v>
      </c>
      <c r="C174">
        <v>1170</v>
      </c>
      <c r="D174" s="1" t="s">
        <v>205</v>
      </c>
      <c r="G174" t="s">
        <v>24</v>
      </c>
      <c r="I174">
        <v>129</v>
      </c>
      <c r="J174">
        <v>170</v>
      </c>
      <c r="K174">
        <v>41</v>
      </c>
      <c r="L174">
        <v>0.31780000000000003</v>
      </c>
      <c r="M174" t="s">
        <v>3367</v>
      </c>
      <c r="N174">
        <v>174</v>
      </c>
    </row>
    <row r="175" spans="1:14" x14ac:dyDescent="0.25">
      <c r="A175" t="s">
        <v>1943</v>
      </c>
      <c r="B175">
        <v>171</v>
      </c>
      <c r="C175">
        <v>1171</v>
      </c>
      <c r="D175" s="1" t="s">
        <v>206</v>
      </c>
      <c r="G175" t="s">
        <v>24</v>
      </c>
      <c r="I175">
        <v>39</v>
      </c>
      <c r="K175">
        <v>39</v>
      </c>
      <c r="L175">
        <v>-1</v>
      </c>
      <c r="M175" t="s">
        <v>3368</v>
      </c>
      <c r="N175">
        <v>175</v>
      </c>
    </row>
    <row r="176" spans="1:14" x14ac:dyDescent="0.25">
      <c r="A176" t="s">
        <v>1944</v>
      </c>
      <c r="B176">
        <v>172</v>
      </c>
      <c r="C176">
        <v>1172</v>
      </c>
      <c r="D176" s="1" t="s">
        <v>207</v>
      </c>
      <c r="G176" t="s">
        <v>24</v>
      </c>
      <c r="I176">
        <v>45</v>
      </c>
      <c r="K176">
        <v>45</v>
      </c>
      <c r="L176">
        <v>-1</v>
      </c>
      <c r="M176" t="s">
        <v>3368</v>
      </c>
      <c r="N176">
        <v>176</v>
      </c>
    </row>
    <row r="177" spans="1:14" x14ac:dyDescent="0.25">
      <c r="A177" t="s">
        <v>1945</v>
      </c>
      <c r="B177">
        <v>173</v>
      </c>
      <c r="C177">
        <v>1173</v>
      </c>
      <c r="D177" s="1" t="s">
        <v>208</v>
      </c>
      <c r="G177" t="s">
        <v>24</v>
      </c>
      <c r="I177">
        <v>1</v>
      </c>
      <c r="J177">
        <v>1.5</v>
      </c>
      <c r="K177">
        <v>0.5</v>
      </c>
      <c r="L177">
        <v>0.5</v>
      </c>
      <c r="M177" t="s">
        <v>3368</v>
      </c>
      <c r="N177">
        <v>177</v>
      </c>
    </row>
    <row r="178" spans="1:14" x14ac:dyDescent="0.25">
      <c r="A178" t="s">
        <v>1946</v>
      </c>
      <c r="B178">
        <v>174</v>
      </c>
      <c r="C178">
        <v>1174</v>
      </c>
      <c r="D178" s="1" t="s">
        <v>209</v>
      </c>
      <c r="G178" t="s">
        <v>24</v>
      </c>
      <c r="I178">
        <v>9</v>
      </c>
      <c r="J178">
        <v>16</v>
      </c>
      <c r="K178">
        <v>7</v>
      </c>
      <c r="L178">
        <v>0.77780000000000005</v>
      </c>
      <c r="M178" t="s">
        <v>3368</v>
      </c>
      <c r="N178">
        <v>178</v>
      </c>
    </row>
    <row r="179" spans="1:14" x14ac:dyDescent="0.25">
      <c r="A179" t="s">
        <v>1947</v>
      </c>
      <c r="B179">
        <v>175</v>
      </c>
      <c r="C179">
        <v>1175</v>
      </c>
      <c r="D179" s="1" t="s">
        <v>210</v>
      </c>
      <c r="G179" t="s">
        <v>24</v>
      </c>
      <c r="I179">
        <v>9</v>
      </c>
      <c r="J179">
        <v>16</v>
      </c>
      <c r="K179">
        <v>7</v>
      </c>
      <c r="L179">
        <v>0.77780000000000005</v>
      </c>
      <c r="M179" t="s">
        <v>3368</v>
      </c>
      <c r="N179">
        <v>179</v>
      </c>
    </row>
    <row r="180" spans="1:14" x14ac:dyDescent="0.25">
      <c r="A180" t="s">
        <v>1948</v>
      </c>
      <c r="B180">
        <v>176</v>
      </c>
      <c r="C180">
        <v>1176</v>
      </c>
      <c r="D180" s="1" t="s">
        <v>211</v>
      </c>
      <c r="G180" t="s">
        <v>24</v>
      </c>
      <c r="I180">
        <v>9</v>
      </c>
      <c r="J180">
        <v>16</v>
      </c>
      <c r="K180">
        <v>7</v>
      </c>
      <c r="L180">
        <v>0.77780000000000005</v>
      </c>
      <c r="M180" t="s">
        <v>3368</v>
      </c>
      <c r="N180">
        <v>180</v>
      </c>
    </row>
    <row r="181" spans="1:14" x14ac:dyDescent="0.25">
      <c r="A181" t="s">
        <v>1949</v>
      </c>
      <c r="B181">
        <v>177</v>
      </c>
      <c r="C181">
        <v>1177</v>
      </c>
      <c r="D181" s="1" t="s">
        <v>212</v>
      </c>
      <c r="G181" t="s">
        <v>24</v>
      </c>
      <c r="I181">
        <v>83</v>
      </c>
      <c r="J181">
        <v>130</v>
      </c>
      <c r="K181">
        <v>47</v>
      </c>
      <c r="L181">
        <v>0.56630000000000003</v>
      </c>
      <c r="M181" t="s">
        <v>3368</v>
      </c>
      <c r="N181">
        <v>181</v>
      </c>
    </row>
    <row r="182" spans="1:14" x14ac:dyDescent="0.25">
      <c r="A182" t="s">
        <v>1950</v>
      </c>
      <c r="B182">
        <v>178</v>
      </c>
      <c r="C182">
        <v>1178</v>
      </c>
      <c r="D182" s="1" t="s">
        <v>213</v>
      </c>
      <c r="G182" t="s">
        <v>24</v>
      </c>
      <c r="I182">
        <v>90</v>
      </c>
      <c r="J182">
        <v>140</v>
      </c>
      <c r="K182">
        <v>50</v>
      </c>
      <c r="L182">
        <v>0.55559999999999998</v>
      </c>
      <c r="M182" t="s">
        <v>3368</v>
      </c>
      <c r="N182">
        <v>182</v>
      </c>
    </row>
    <row r="183" spans="1:14" x14ac:dyDescent="0.25">
      <c r="A183" t="s">
        <v>1951</v>
      </c>
      <c r="B183">
        <v>179</v>
      </c>
      <c r="C183">
        <v>1179</v>
      </c>
      <c r="D183" s="1" t="s">
        <v>214</v>
      </c>
      <c r="G183" t="s">
        <v>24</v>
      </c>
      <c r="I183">
        <v>158</v>
      </c>
      <c r="J183">
        <v>200</v>
      </c>
      <c r="K183">
        <v>42</v>
      </c>
      <c r="L183">
        <v>0.26579999999999998</v>
      </c>
      <c r="M183" t="s">
        <v>3368</v>
      </c>
      <c r="N183">
        <v>183</v>
      </c>
    </row>
    <row r="184" spans="1:14" x14ac:dyDescent="0.25">
      <c r="A184" t="s">
        <v>1952</v>
      </c>
      <c r="B184">
        <v>180</v>
      </c>
      <c r="C184">
        <v>1180</v>
      </c>
      <c r="D184" s="1" t="s">
        <v>215</v>
      </c>
      <c r="G184" t="s">
        <v>24</v>
      </c>
      <c r="I184">
        <v>83</v>
      </c>
      <c r="J184">
        <v>130</v>
      </c>
      <c r="K184">
        <v>47</v>
      </c>
      <c r="L184">
        <v>0.56630000000000003</v>
      </c>
      <c r="M184" t="s">
        <v>3368</v>
      </c>
      <c r="N184">
        <v>184</v>
      </c>
    </row>
    <row r="185" spans="1:14" x14ac:dyDescent="0.25">
      <c r="A185" t="s">
        <v>1953</v>
      </c>
      <c r="B185">
        <v>181</v>
      </c>
      <c r="C185">
        <v>1181</v>
      </c>
      <c r="D185" s="1" t="s">
        <v>216</v>
      </c>
      <c r="G185" t="s">
        <v>24</v>
      </c>
      <c r="I185">
        <v>144</v>
      </c>
      <c r="J185">
        <v>220</v>
      </c>
      <c r="K185">
        <v>76</v>
      </c>
      <c r="L185">
        <v>0.52780000000000005</v>
      </c>
      <c r="M185" t="s">
        <v>3368</v>
      </c>
      <c r="N185">
        <v>185</v>
      </c>
    </row>
    <row r="186" spans="1:14" x14ac:dyDescent="0.25">
      <c r="A186" t="s">
        <v>1954</v>
      </c>
      <c r="B186">
        <v>182</v>
      </c>
      <c r="C186">
        <v>1182</v>
      </c>
      <c r="D186" s="1" t="s">
        <v>217</v>
      </c>
      <c r="G186" t="s">
        <v>24</v>
      </c>
      <c r="I186">
        <v>90</v>
      </c>
      <c r="J186">
        <v>125</v>
      </c>
      <c r="K186">
        <v>35</v>
      </c>
      <c r="L186">
        <v>0.38890000000000002</v>
      </c>
      <c r="M186" t="s">
        <v>3368</v>
      </c>
      <c r="N186">
        <v>186</v>
      </c>
    </row>
    <row r="187" spans="1:14" x14ac:dyDescent="0.25">
      <c r="A187" t="s">
        <v>1955</v>
      </c>
      <c r="B187">
        <v>183</v>
      </c>
      <c r="C187">
        <v>1183</v>
      </c>
      <c r="D187" s="1" t="s">
        <v>218</v>
      </c>
      <c r="G187" t="s">
        <v>24</v>
      </c>
      <c r="I187">
        <v>12.5</v>
      </c>
      <c r="J187">
        <v>20</v>
      </c>
      <c r="K187">
        <v>7.5</v>
      </c>
      <c r="L187">
        <v>0.6</v>
      </c>
      <c r="M187" t="s">
        <v>3368</v>
      </c>
      <c r="N187">
        <v>187</v>
      </c>
    </row>
    <row r="188" spans="1:14" x14ac:dyDescent="0.25">
      <c r="A188" t="s">
        <v>1956</v>
      </c>
      <c r="B188">
        <v>184</v>
      </c>
      <c r="C188">
        <v>1184</v>
      </c>
      <c r="D188" s="1" t="s">
        <v>219</v>
      </c>
      <c r="G188" t="s">
        <v>24</v>
      </c>
      <c r="I188">
        <v>45</v>
      </c>
      <c r="K188">
        <v>45</v>
      </c>
      <c r="L188">
        <v>-1</v>
      </c>
      <c r="M188" t="s">
        <v>3368</v>
      </c>
      <c r="N188">
        <v>188</v>
      </c>
    </row>
    <row r="189" spans="1:14" x14ac:dyDescent="0.25">
      <c r="A189" t="s">
        <v>1957</v>
      </c>
      <c r="B189">
        <v>185</v>
      </c>
      <c r="C189">
        <v>1185</v>
      </c>
      <c r="D189" s="1" t="s">
        <v>220</v>
      </c>
      <c r="G189" t="s">
        <v>24</v>
      </c>
      <c r="I189">
        <v>48</v>
      </c>
      <c r="J189">
        <v>120</v>
      </c>
      <c r="K189">
        <v>72</v>
      </c>
      <c r="L189">
        <v>1.5</v>
      </c>
      <c r="M189" t="s">
        <v>3368</v>
      </c>
      <c r="N189">
        <v>189</v>
      </c>
    </row>
    <row r="190" spans="1:14" x14ac:dyDescent="0.25">
      <c r="A190" t="s">
        <v>1958</v>
      </c>
      <c r="B190">
        <v>186</v>
      </c>
      <c r="C190">
        <v>1186</v>
      </c>
      <c r="D190" s="1" t="s">
        <v>221</v>
      </c>
      <c r="G190" t="s">
        <v>24</v>
      </c>
      <c r="I190">
        <v>15</v>
      </c>
      <c r="J190">
        <v>30</v>
      </c>
      <c r="K190">
        <v>15</v>
      </c>
      <c r="L190">
        <v>1</v>
      </c>
      <c r="M190" t="s">
        <v>3368</v>
      </c>
      <c r="N190">
        <v>190</v>
      </c>
    </row>
    <row r="191" spans="1:14" x14ac:dyDescent="0.25">
      <c r="A191" t="s">
        <v>1959</v>
      </c>
      <c r="B191">
        <v>187</v>
      </c>
      <c r="C191">
        <v>1187</v>
      </c>
      <c r="D191" s="1" t="s">
        <v>222</v>
      </c>
      <c r="G191" t="s">
        <v>24</v>
      </c>
      <c r="I191">
        <v>22</v>
      </c>
      <c r="J191">
        <v>40</v>
      </c>
      <c r="K191">
        <v>18</v>
      </c>
      <c r="L191">
        <v>0.81820000000000004</v>
      </c>
      <c r="M191" t="s">
        <v>3368</v>
      </c>
      <c r="N191">
        <v>191</v>
      </c>
    </row>
    <row r="192" spans="1:14" x14ac:dyDescent="0.25">
      <c r="A192" t="s">
        <v>1960</v>
      </c>
      <c r="B192">
        <v>188</v>
      </c>
      <c r="C192">
        <v>1188</v>
      </c>
      <c r="D192" s="1" t="s">
        <v>223</v>
      </c>
      <c r="G192" t="s">
        <v>24</v>
      </c>
      <c r="I192">
        <v>45</v>
      </c>
      <c r="J192">
        <v>120</v>
      </c>
      <c r="K192">
        <v>75</v>
      </c>
      <c r="L192">
        <v>1.6667000000000001</v>
      </c>
      <c r="M192" t="s">
        <v>3368</v>
      </c>
      <c r="N192">
        <v>192</v>
      </c>
    </row>
    <row r="193" spans="1:14" x14ac:dyDescent="0.25">
      <c r="A193" t="s">
        <v>1961</v>
      </c>
      <c r="B193">
        <v>189</v>
      </c>
      <c r="C193">
        <v>1189</v>
      </c>
      <c r="D193" s="1" t="s">
        <v>224</v>
      </c>
      <c r="G193" t="s">
        <v>24</v>
      </c>
      <c r="I193">
        <v>56</v>
      </c>
      <c r="J193">
        <v>90</v>
      </c>
      <c r="K193">
        <v>34</v>
      </c>
      <c r="L193">
        <v>0.60709999999999997</v>
      </c>
      <c r="M193" t="s">
        <v>3368</v>
      </c>
      <c r="N193">
        <v>193</v>
      </c>
    </row>
    <row r="194" spans="1:14" x14ac:dyDescent="0.25">
      <c r="A194" t="s">
        <v>1962</v>
      </c>
      <c r="B194">
        <v>190</v>
      </c>
      <c r="C194">
        <v>1190</v>
      </c>
      <c r="D194" s="1" t="s">
        <v>225</v>
      </c>
      <c r="G194" t="s">
        <v>24</v>
      </c>
      <c r="I194">
        <v>35</v>
      </c>
      <c r="K194">
        <v>35</v>
      </c>
      <c r="L194">
        <v>-1</v>
      </c>
      <c r="M194" t="s">
        <v>3368</v>
      </c>
      <c r="N194">
        <v>194</v>
      </c>
    </row>
    <row r="195" spans="1:14" x14ac:dyDescent="0.25">
      <c r="A195" t="s">
        <v>1963</v>
      </c>
      <c r="B195">
        <v>191</v>
      </c>
      <c r="C195">
        <v>1191</v>
      </c>
      <c r="D195" s="1" t="s">
        <v>226</v>
      </c>
      <c r="G195" t="s">
        <v>24</v>
      </c>
      <c r="I195">
        <v>13.33</v>
      </c>
      <c r="J195">
        <v>30</v>
      </c>
      <c r="K195">
        <v>16.670000000000002</v>
      </c>
      <c r="L195">
        <v>1.2505999999999999</v>
      </c>
      <c r="M195" t="s">
        <v>3368</v>
      </c>
      <c r="N195">
        <v>195</v>
      </c>
    </row>
    <row r="196" spans="1:14" x14ac:dyDescent="0.25">
      <c r="A196" t="s">
        <v>1964</v>
      </c>
      <c r="B196">
        <v>192</v>
      </c>
      <c r="C196">
        <v>1192</v>
      </c>
      <c r="D196" s="1" t="s">
        <v>227</v>
      </c>
      <c r="G196" t="s">
        <v>24</v>
      </c>
      <c r="I196">
        <v>9</v>
      </c>
      <c r="K196">
        <v>9</v>
      </c>
      <c r="L196">
        <v>-1</v>
      </c>
      <c r="M196" t="s">
        <v>3368</v>
      </c>
      <c r="N196">
        <v>196</v>
      </c>
    </row>
    <row r="197" spans="1:14" x14ac:dyDescent="0.25">
      <c r="A197" t="s">
        <v>1965</v>
      </c>
      <c r="B197">
        <v>193</v>
      </c>
      <c r="C197">
        <v>1193</v>
      </c>
      <c r="D197" s="1" t="s">
        <v>228</v>
      </c>
      <c r="G197" t="s">
        <v>24</v>
      </c>
      <c r="I197">
        <v>20</v>
      </c>
      <c r="J197">
        <v>50</v>
      </c>
      <c r="K197">
        <v>30</v>
      </c>
      <c r="L197">
        <v>1.5</v>
      </c>
      <c r="M197" t="s">
        <v>3368</v>
      </c>
      <c r="N197">
        <v>197</v>
      </c>
    </row>
    <row r="198" spans="1:14" x14ac:dyDescent="0.25">
      <c r="A198" t="s">
        <v>1966</v>
      </c>
      <c r="B198">
        <v>194</v>
      </c>
      <c r="C198">
        <v>1194</v>
      </c>
      <c r="D198" s="1" t="s">
        <v>229</v>
      </c>
      <c r="G198" t="s">
        <v>24</v>
      </c>
      <c r="I198">
        <v>25</v>
      </c>
      <c r="K198">
        <v>25</v>
      </c>
      <c r="L198">
        <v>-1</v>
      </c>
      <c r="M198" t="s">
        <v>3368</v>
      </c>
      <c r="N198">
        <v>198</v>
      </c>
    </row>
    <row r="199" spans="1:14" x14ac:dyDescent="0.25">
      <c r="A199" t="s">
        <v>1967</v>
      </c>
      <c r="B199">
        <v>195</v>
      </c>
      <c r="C199">
        <v>1195</v>
      </c>
      <c r="D199" s="1" t="s">
        <v>230</v>
      </c>
      <c r="G199" t="s">
        <v>24</v>
      </c>
      <c r="I199">
        <v>90</v>
      </c>
      <c r="K199">
        <v>90</v>
      </c>
      <c r="L199">
        <v>-1</v>
      </c>
      <c r="M199" t="s">
        <v>3368</v>
      </c>
      <c r="N199">
        <v>199</v>
      </c>
    </row>
    <row r="200" spans="1:14" x14ac:dyDescent="0.25">
      <c r="A200" t="s">
        <v>1968</v>
      </c>
      <c r="B200">
        <v>196</v>
      </c>
      <c r="C200">
        <v>1196</v>
      </c>
      <c r="D200" s="1" t="s">
        <v>231</v>
      </c>
      <c r="G200" t="s">
        <v>24</v>
      </c>
      <c r="I200">
        <v>109</v>
      </c>
      <c r="J200">
        <v>160</v>
      </c>
      <c r="K200">
        <v>51</v>
      </c>
      <c r="L200">
        <v>0.46789999999999998</v>
      </c>
      <c r="M200" t="s">
        <v>3368</v>
      </c>
      <c r="N200">
        <v>200</v>
      </c>
    </row>
    <row r="201" spans="1:14" x14ac:dyDescent="0.25">
      <c r="A201" t="s">
        <v>1969</v>
      </c>
      <c r="B201">
        <v>197</v>
      </c>
      <c r="C201">
        <v>1197</v>
      </c>
      <c r="D201" s="1" t="s">
        <v>232</v>
      </c>
      <c r="G201" t="s">
        <v>24</v>
      </c>
      <c r="I201">
        <v>8.5</v>
      </c>
      <c r="J201">
        <v>20</v>
      </c>
      <c r="K201">
        <v>11.5</v>
      </c>
      <c r="L201">
        <v>1.3529</v>
      </c>
      <c r="M201" t="s">
        <v>3368</v>
      </c>
      <c r="N201">
        <v>201</v>
      </c>
    </row>
    <row r="202" spans="1:14" x14ac:dyDescent="0.25">
      <c r="A202" t="s">
        <v>1970</v>
      </c>
      <c r="B202">
        <v>198</v>
      </c>
      <c r="C202">
        <v>1198</v>
      </c>
      <c r="D202" s="1" t="s">
        <v>233</v>
      </c>
      <c r="G202" t="s">
        <v>24</v>
      </c>
      <c r="I202">
        <v>63</v>
      </c>
      <c r="J202">
        <v>160</v>
      </c>
      <c r="K202">
        <v>97</v>
      </c>
      <c r="L202">
        <v>1.5397000000000001</v>
      </c>
      <c r="M202" t="s">
        <v>3368</v>
      </c>
      <c r="N202">
        <v>202</v>
      </c>
    </row>
    <row r="203" spans="1:14" x14ac:dyDescent="0.25">
      <c r="A203" t="s">
        <v>1971</v>
      </c>
      <c r="B203">
        <v>199</v>
      </c>
      <c r="C203">
        <v>1199</v>
      </c>
      <c r="D203" s="1" t="s">
        <v>234</v>
      </c>
      <c r="G203" t="s">
        <v>24</v>
      </c>
      <c r="I203">
        <v>83</v>
      </c>
      <c r="J203">
        <v>130</v>
      </c>
      <c r="K203">
        <v>47</v>
      </c>
      <c r="L203">
        <v>0.56630000000000003</v>
      </c>
      <c r="M203" t="s">
        <v>3368</v>
      </c>
      <c r="N203">
        <v>203</v>
      </c>
    </row>
    <row r="204" spans="1:14" x14ac:dyDescent="0.25">
      <c r="A204" t="s">
        <v>1972</v>
      </c>
      <c r="B204">
        <v>200</v>
      </c>
      <c r="C204">
        <v>1200</v>
      </c>
      <c r="D204" s="1" t="s">
        <v>235</v>
      </c>
      <c r="G204" t="s">
        <v>24</v>
      </c>
      <c r="I204">
        <v>21</v>
      </c>
      <c r="J204">
        <v>40</v>
      </c>
      <c r="K204">
        <v>19</v>
      </c>
      <c r="L204">
        <v>0.90480000000000005</v>
      </c>
      <c r="M204" t="s">
        <v>3368</v>
      </c>
      <c r="N204">
        <v>204</v>
      </c>
    </row>
    <row r="205" spans="1:14" x14ac:dyDescent="0.25">
      <c r="A205" t="s">
        <v>1973</v>
      </c>
      <c r="B205">
        <v>201</v>
      </c>
      <c r="C205">
        <v>1201</v>
      </c>
      <c r="D205" s="1" t="s">
        <v>236</v>
      </c>
      <c r="G205" t="s">
        <v>24</v>
      </c>
      <c r="I205">
        <v>16</v>
      </c>
      <c r="K205">
        <v>16</v>
      </c>
      <c r="L205">
        <v>-1</v>
      </c>
      <c r="M205" t="s">
        <v>3368</v>
      </c>
      <c r="N205">
        <v>205</v>
      </c>
    </row>
    <row r="206" spans="1:14" x14ac:dyDescent="0.25">
      <c r="A206" t="s">
        <v>1974</v>
      </c>
      <c r="B206">
        <v>202</v>
      </c>
      <c r="C206">
        <v>1202</v>
      </c>
      <c r="D206" s="1" t="s">
        <v>237</v>
      </c>
      <c r="G206" t="s">
        <v>24</v>
      </c>
      <c r="I206">
        <v>89</v>
      </c>
      <c r="J206">
        <v>130</v>
      </c>
      <c r="K206">
        <v>41</v>
      </c>
      <c r="L206">
        <v>0.4607</v>
      </c>
      <c r="M206" t="s">
        <v>3368</v>
      </c>
      <c r="N206">
        <v>206</v>
      </c>
    </row>
    <row r="207" spans="1:14" x14ac:dyDescent="0.25">
      <c r="A207" t="s">
        <v>1975</v>
      </c>
      <c r="B207">
        <v>203</v>
      </c>
      <c r="C207">
        <v>1203</v>
      </c>
      <c r="D207" s="1" t="s">
        <v>238</v>
      </c>
      <c r="G207" t="s">
        <v>24</v>
      </c>
      <c r="I207">
        <v>8</v>
      </c>
      <c r="J207">
        <v>12</v>
      </c>
      <c r="K207">
        <v>4</v>
      </c>
      <c r="L207">
        <v>0.5</v>
      </c>
      <c r="M207" t="s">
        <v>3368</v>
      </c>
      <c r="N207">
        <v>207</v>
      </c>
    </row>
    <row r="208" spans="1:14" x14ac:dyDescent="0.25">
      <c r="A208" t="s">
        <v>1976</v>
      </c>
      <c r="B208">
        <v>204</v>
      </c>
      <c r="C208">
        <v>1204</v>
      </c>
      <c r="D208" s="1" t="s">
        <v>239</v>
      </c>
      <c r="G208" t="s">
        <v>24</v>
      </c>
      <c r="I208">
        <v>6</v>
      </c>
      <c r="J208">
        <v>10</v>
      </c>
      <c r="K208">
        <v>4</v>
      </c>
      <c r="L208">
        <v>0.66669999999999996</v>
      </c>
      <c r="M208" t="s">
        <v>3368</v>
      </c>
      <c r="N208">
        <v>208</v>
      </c>
    </row>
    <row r="209" spans="1:14" x14ac:dyDescent="0.25">
      <c r="A209" t="s">
        <v>1977</v>
      </c>
      <c r="B209">
        <v>205</v>
      </c>
      <c r="C209">
        <v>1205</v>
      </c>
      <c r="D209" s="1" t="s">
        <v>240</v>
      </c>
      <c r="G209" t="s">
        <v>24</v>
      </c>
      <c r="I209">
        <v>514</v>
      </c>
      <c r="J209">
        <v>720</v>
      </c>
      <c r="K209">
        <v>206</v>
      </c>
      <c r="L209">
        <v>0.40079999999999999</v>
      </c>
      <c r="M209" t="s">
        <v>3368</v>
      </c>
      <c r="N209">
        <v>209</v>
      </c>
    </row>
    <row r="210" spans="1:14" x14ac:dyDescent="0.25">
      <c r="A210" t="s">
        <v>1978</v>
      </c>
      <c r="B210">
        <v>206</v>
      </c>
      <c r="C210">
        <v>1206</v>
      </c>
      <c r="D210" s="1" t="s">
        <v>241</v>
      </c>
      <c r="G210" t="s">
        <v>24</v>
      </c>
      <c r="I210">
        <v>185</v>
      </c>
      <c r="J210">
        <v>285</v>
      </c>
      <c r="K210">
        <v>100</v>
      </c>
      <c r="L210">
        <v>0.54049999999999998</v>
      </c>
      <c r="M210" t="s">
        <v>3368</v>
      </c>
      <c r="N210">
        <v>210</v>
      </c>
    </row>
    <row r="211" spans="1:14" x14ac:dyDescent="0.25">
      <c r="A211" t="s">
        <v>1979</v>
      </c>
      <c r="B211">
        <v>207</v>
      </c>
      <c r="C211">
        <v>1207</v>
      </c>
      <c r="D211" s="1" t="s">
        <v>242</v>
      </c>
      <c r="G211" t="s">
        <v>1393</v>
      </c>
      <c r="I211">
        <v>51</v>
      </c>
      <c r="J211">
        <v>72</v>
      </c>
      <c r="K211">
        <v>21</v>
      </c>
      <c r="L211">
        <v>0.4118</v>
      </c>
      <c r="M211" t="s">
        <v>3368</v>
      </c>
      <c r="N211">
        <v>211</v>
      </c>
    </row>
    <row r="212" spans="1:14" x14ac:dyDescent="0.25">
      <c r="A212" t="s">
        <v>1980</v>
      </c>
      <c r="B212">
        <v>208</v>
      </c>
      <c r="C212">
        <v>1208</v>
      </c>
      <c r="D212" s="1" t="s">
        <v>243</v>
      </c>
      <c r="G212" t="s">
        <v>24</v>
      </c>
      <c r="I212">
        <v>48</v>
      </c>
      <c r="J212">
        <v>65</v>
      </c>
      <c r="K212">
        <v>17</v>
      </c>
      <c r="L212">
        <v>0.35420000000000001</v>
      </c>
      <c r="M212" t="s">
        <v>3368</v>
      </c>
      <c r="N212">
        <v>212</v>
      </c>
    </row>
    <row r="213" spans="1:14" x14ac:dyDescent="0.25">
      <c r="A213" t="s">
        <v>1981</v>
      </c>
      <c r="B213">
        <v>209</v>
      </c>
      <c r="C213">
        <v>1209</v>
      </c>
      <c r="D213" s="1" t="s">
        <v>244</v>
      </c>
      <c r="G213" t="s">
        <v>24</v>
      </c>
      <c r="I213">
        <v>50</v>
      </c>
      <c r="J213">
        <v>75</v>
      </c>
      <c r="K213">
        <v>25</v>
      </c>
      <c r="L213">
        <v>0.5</v>
      </c>
      <c r="M213" t="s">
        <v>3368</v>
      </c>
      <c r="N213">
        <v>213</v>
      </c>
    </row>
    <row r="214" spans="1:14" x14ac:dyDescent="0.25">
      <c r="A214" t="s">
        <v>1982</v>
      </c>
      <c r="B214">
        <v>210</v>
      </c>
      <c r="C214">
        <v>1210</v>
      </c>
      <c r="D214" s="1" t="s">
        <v>245</v>
      </c>
      <c r="G214" t="s">
        <v>24</v>
      </c>
      <c r="I214">
        <v>62</v>
      </c>
      <c r="J214">
        <v>90</v>
      </c>
      <c r="K214">
        <v>28</v>
      </c>
      <c r="L214">
        <v>0.4516</v>
      </c>
      <c r="M214" t="s">
        <v>3368</v>
      </c>
      <c r="N214">
        <v>214</v>
      </c>
    </row>
    <row r="215" spans="1:14" x14ac:dyDescent="0.25">
      <c r="A215" t="s">
        <v>1983</v>
      </c>
      <c r="B215">
        <v>211</v>
      </c>
      <c r="C215">
        <v>1211</v>
      </c>
      <c r="D215" s="1" t="s">
        <v>246</v>
      </c>
      <c r="E215" t="s">
        <v>247</v>
      </c>
      <c r="G215" t="s">
        <v>24</v>
      </c>
      <c r="I215">
        <v>39</v>
      </c>
      <c r="J215">
        <v>75</v>
      </c>
      <c r="K215">
        <v>36</v>
      </c>
      <c r="L215">
        <v>0.92310000000000003</v>
      </c>
      <c r="M215" t="s">
        <v>3368</v>
      </c>
      <c r="N215">
        <v>215</v>
      </c>
    </row>
    <row r="216" spans="1:14" x14ac:dyDescent="0.25">
      <c r="A216" t="s">
        <v>1984</v>
      </c>
      <c r="B216">
        <v>212</v>
      </c>
      <c r="C216">
        <v>1212</v>
      </c>
      <c r="D216" s="1" t="s">
        <v>248</v>
      </c>
      <c r="E216" t="s">
        <v>249</v>
      </c>
      <c r="G216" t="s">
        <v>24</v>
      </c>
      <c r="I216">
        <v>62</v>
      </c>
      <c r="J216">
        <v>150</v>
      </c>
      <c r="K216">
        <v>88</v>
      </c>
      <c r="L216">
        <v>1.4194</v>
      </c>
      <c r="M216" t="s">
        <v>3368</v>
      </c>
      <c r="N216">
        <v>216</v>
      </c>
    </row>
    <row r="217" spans="1:14" x14ac:dyDescent="0.25">
      <c r="A217" t="s">
        <v>1985</v>
      </c>
      <c r="B217">
        <v>213</v>
      </c>
      <c r="C217">
        <v>1213</v>
      </c>
      <c r="D217" s="1" t="s">
        <v>250</v>
      </c>
      <c r="E217" t="s">
        <v>249</v>
      </c>
      <c r="G217" t="s">
        <v>24</v>
      </c>
      <c r="I217">
        <v>72</v>
      </c>
      <c r="J217">
        <v>130</v>
      </c>
      <c r="K217">
        <v>58</v>
      </c>
      <c r="L217">
        <v>0.80559999999999998</v>
      </c>
      <c r="M217" t="s">
        <v>3368</v>
      </c>
      <c r="N217">
        <v>217</v>
      </c>
    </row>
    <row r="218" spans="1:14" x14ac:dyDescent="0.25">
      <c r="A218" t="s">
        <v>1986</v>
      </c>
      <c r="B218">
        <v>214</v>
      </c>
      <c r="C218">
        <v>1214</v>
      </c>
      <c r="D218" s="1" t="s">
        <v>251</v>
      </c>
      <c r="E218" t="s">
        <v>252</v>
      </c>
      <c r="G218" t="s">
        <v>24</v>
      </c>
      <c r="I218">
        <v>21</v>
      </c>
      <c r="J218">
        <v>40</v>
      </c>
      <c r="K218">
        <v>19</v>
      </c>
      <c r="L218">
        <v>0.90480000000000005</v>
      </c>
      <c r="M218" t="s">
        <v>3368</v>
      </c>
      <c r="N218">
        <v>218</v>
      </c>
    </row>
    <row r="219" spans="1:14" x14ac:dyDescent="0.25">
      <c r="A219" t="s">
        <v>1987</v>
      </c>
      <c r="B219">
        <v>215</v>
      </c>
      <c r="C219">
        <v>1215</v>
      </c>
      <c r="D219" s="1" t="s">
        <v>253</v>
      </c>
      <c r="E219" t="s">
        <v>252</v>
      </c>
      <c r="G219" t="s">
        <v>24</v>
      </c>
      <c r="I219">
        <v>24</v>
      </c>
      <c r="J219">
        <v>45</v>
      </c>
      <c r="K219">
        <v>21</v>
      </c>
      <c r="L219">
        <v>0.875</v>
      </c>
      <c r="M219" t="s">
        <v>3368</v>
      </c>
      <c r="N219">
        <v>219</v>
      </c>
    </row>
    <row r="220" spans="1:14" x14ac:dyDescent="0.25">
      <c r="A220" t="s">
        <v>1988</v>
      </c>
      <c r="B220">
        <v>216</v>
      </c>
      <c r="C220">
        <v>1216</v>
      </c>
      <c r="D220" s="1" t="s">
        <v>254</v>
      </c>
      <c r="E220" t="s">
        <v>252</v>
      </c>
      <c r="G220" t="s">
        <v>24</v>
      </c>
      <c r="I220">
        <v>30</v>
      </c>
      <c r="J220">
        <v>55</v>
      </c>
      <c r="K220">
        <v>25</v>
      </c>
      <c r="L220">
        <v>0.83330000000000004</v>
      </c>
      <c r="M220" t="s">
        <v>3368</v>
      </c>
      <c r="N220">
        <v>220</v>
      </c>
    </row>
    <row r="221" spans="1:14" x14ac:dyDescent="0.25">
      <c r="A221" t="s">
        <v>1989</v>
      </c>
      <c r="B221">
        <v>217</v>
      </c>
      <c r="C221">
        <v>1217</v>
      </c>
      <c r="D221" s="1" t="s">
        <v>255</v>
      </c>
      <c r="E221" t="s">
        <v>252</v>
      </c>
      <c r="G221" t="s">
        <v>24</v>
      </c>
      <c r="I221">
        <v>41</v>
      </c>
      <c r="J221">
        <v>65</v>
      </c>
      <c r="K221">
        <v>24</v>
      </c>
      <c r="L221">
        <v>0.58540000000000003</v>
      </c>
      <c r="M221" t="s">
        <v>3368</v>
      </c>
      <c r="N221">
        <v>221</v>
      </c>
    </row>
    <row r="222" spans="1:14" x14ac:dyDescent="0.25">
      <c r="A222" t="s">
        <v>1990</v>
      </c>
      <c r="B222">
        <v>218</v>
      </c>
      <c r="C222">
        <v>1218</v>
      </c>
      <c r="D222" s="1" t="s">
        <v>256</v>
      </c>
      <c r="E222" t="s">
        <v>257</v>
      </c>
      <c r="G222" t="s">
        <v>24</v>
      </c>
      <c r="I222">
        <v>23</v>
      </c>
      <c r="J222">
        <v>45</v>
      </c>
      <c r="K222">
        <v>22</v>
      </c>
      <c r="L222">
        <v>0.95650000000000002</v>
      </c>
      <c r="M222" t="s">
        <v>3368</v>
      </c>
      <c r="N222">
        <v>222</v>
      </c>
    </row>
    <row r="223" spans="1:14" x14ac:dyDescent="0.25">
      <c r="A223" t="s">
        <v>1991</v>
      </c>
      <c r="B223">
        <v>219</v>
      </c>
      <c r="C223">
        <v>1219</v>
      </c>
      <c r="D223" s="1" t="s">
        <v>258</v>
      </c>
      <c r="E223" t="s">
        <v>257</v>
      </c>
      <c r="G223" t="s">
        <v>24</v>
      </c>
      <c r="I223">
        <v>34</v>
      </c>
      <c r="J223">
        <v>60</v>
      </c>
      <c r="K223">
        <v>26</v>
      </c>
      <c r="L223">
        <v>0.76470000000000005</v>
      </c>
      <c r="M223" t="s">
        <v>3368</v>
      </c>
      <c r="N223">
        <v>223</v>
      </c>
    </row>
    <row r="224" spans="1:14" x14ac:dyDescent="0.25">
      <c r="A224" t="s">
        <v>1992</v>
      </c>
      <c r="B224">
        <v>220</v>
      </c>
      <c r="C224">
        <v>1220</v>
      </c>
      <c r="D224" s="1" t="s">
        <v>259</v>
      </c>
      <c r="G224" t="s">
        <v>24</v>
      </c>
      <c r="I224">
        <v>63.5</v>
      </c>
      <c r="J224">
        <v>95</v>
      </c>
      <c r="K224">
        <v>31.5</v>
      </c>
      <c r="L224">
        <v>0.49609999999999999</v>
      </c>
      <c r="M224" t="s">
        <v>3368</v>
      </c>
      <c r="N224">
        <v>224</v>
      </c>
    </row>
    <row r="225" spans="1:14" x14ac:dyDescent="0.25">
      <c r="A225" t="s">
        <v>1993</v>
      </c>
      <c r="B225">
        <v>221</v>
      </c>
      <c r="C225">
        <v>1221</v>
      </c>
      <c r="D225" s="1" t="s">
        <v>260</v>
      </c>
      <c r="G225" t="s">
        <v>24</v>
      </c>
      <c r="I225">
        <v>63.5</v>
      </c>
      <c r="J225">
        <v>95</v>
      </c>
      <c r="K225">
        <v>31.5</v>
      </c>
      <c r="L225">
        <v>0.49609999999999999</v>
      </c>
      <c r="M225" t="s">
        <v>3368</v>
      </c>
      <c r="N225">
        <v>225</v>
      </c>
    </row>
    <row r="226" spans="1:14" x14ac:dyDescent="0.25">
      <c r="A226" t="s">
        <v>1994</v>
      </c>
      <c r="B226">
        <v>222</v>
      </c>
      <c r="C226">
        <v>1222</v>
      </c>
      <c r="D226" s="1" t="s">
        <v>261</v>
      </c>
      <c r="G226" t="s">
        <v>24</v>
      </c>
      <c r="I226">
        <v>63.5</v>
      </c>
      <c r="J226">
        <v>95</v>
      </c>
      <c r="K226">
        <v>31.5</v>
      </c>
      <c r="L226">
        <v>0.49609999999999999</v>
      </c>
      <c r="M226" t="s">
        <v>3368</v>
      </c>
      <c r="N226">
        <v>226</v>
      </c>
    </row>
    <row r="227" spans="1:14" x14ac:dyDescent="0.25">
      <c r="A227" t="s">
        <v>1995</v>
      </c>
      <c r="B227">
        <v>223</v>
      </c>
      <c r="C227">
        <v>1223</v>
      </c>
      <c r="D227" s="1" t="s">
        <v>262</v>
      </c>
      <c r="G227" t="s">
        <v>24</v>
      </c>
      <c r="I227">
        <v>63.5</v>
      </c>
      <c r="J227">
        <v>95</v>
      </c>
      <c r="K227">
        <v>31.5</v>
      </c>
      <c r="L227">
        <v>0.49609999999999999</v>
      </c>
      <c r="M227" t="s">
        <v>3368</v>
      </c>
      <c r="N227">
        <v>227</v>
      </c>
    </row>
    <row r="228" spans="1:14" x14ac:dyDescent="0.25">
      <c r="A228" t="s">
        <v>1996</v>
      </c>
      <c r="B228">
        <v>224</v>
      </c>
      <c r="C228">
        <v>1224</v>
      </c>
      <c r="D228" s="1" t="s">
        <v>263</v>
      </c>
      <c r="E228" t="s">
        <v>264</v>
      </c>
      <c r="G228" t="s">
        <v>24</v>
      </c>
      <c r="I228">
        <v>150</v>
      </c>
      <c r="J228">
        <v>220</v>
      </c>
      <c r="K228">
        <v>70</v>
      </c>
      <c r="L228">
        <v>0.4667</v>
      </c>
      <c r="M228" t="s">
        <v>3368</v>
      </c>
      <c r="N228">
        <v>228</v>
      </c>
    </row>
    <row r="229" spans="1:14" x14ac:dyDescent="0.25">
      <c r="A229" t="s">
        <v>1997</v>
      </c>
      <c r="B229">
        <v>225</v>
      </c>
      <c r="C229">
        <v>1225</v>
      </c>
      <c r="D229" s="1" t="s">
        <v>265</v>
      </c>
      <c r="E229" t="s">
        <v>264</v>
      </c>
      <c r="G229" t="s">
        <v>24</v>
      </c>
      <c r="I229">
        <v>175</v>
      </c>
      <c r="J229">
        <v>245</v>
      </c>
      <c r="K229">
        <v>70</v>
      </c>
      <c r="L229">
        <v>0.4</v>
      </c>
      <c r="M229" t="s">
        <v>3368</v>
      </c>
      <c r="N229">
        <v>229</v>
      </c>
    </row>
    <row r="230" spans="1:14" x14ac:dyDescent="0.25">
      <c r="A230" t="s">
        <v>1998</v>
      </c>
      <c r="B230">
        <v>226</v>
      </c>
      <c r="C230">
        <v>1226</v>
      </c>
      <c r="D230" s="1" t="s">
        <v>266</v>
      </c>
      <c r="E230" t="s">
        <v>264</v>
      </c>
      <c r="G230" t="s">
        <v>24</v>
      </c>
      <c r="I230">
        <v>200</v>
      </c>
      <c r="J230">
        <v>270</v>
      </c>
      <c r="K230">
        <v>70</v>
      </c>
      <c r="L230">
        <v>0.35</v>
      </c>
      <c r="M230" t="s">
        <v>3368</v>
      </c>
      <c r="N230">
        <v>230</v>
      </c>
    </row>
    <row r="231" spans="1:14" x14ac:dyDescent="0.25">
      <c r="A231" t="s">
        <v>1999</v>
      </c>
      <c r="B231">
        <v>227</v>
      </c>
      <c r="C231">
        <v>1227</v>
      </c>
      <c r="D231" s="1" t="s">
        <v>267</v>
      </c>
      <c r="E231" t="s">
        <v>268</v>
      </c>
      <c r="G231" t="s">
        <v>24</v>
      </c>
      <c r="I231">
        <v>160</v>
      </c>
      <c r="J231">
        <v>240</v>
      </c>
      <c r="K231">
        <v>80</v>
      </c>
      <c r="L231">
        <v>0.5</v>
      </c>
      <c r="M231" t="s">
        <v>3368</v>
      </c>
      <c r="N231">
        <v>231</v>
      </c>
    </row>
    <row r="232" spans="1:14" x14ac:dyDescent="0.25">
      <c r="A232" t="s">
        <v>2000</v>
      </c>
      <c r="B232">
        <v>228</v>
      </c>
      <c r="C232">
        <v>1228</v>
      </c>
      <c r="D232" s="1" t="s">
        <v>269</v>
      </c>
      <c r="E232" t="s">
        <v>268</v>
      </c>
      <c r="G232" t="s">
        <v>24</v>
      </c>
      <c r="I232">
        <v>145</v>
      </c>
      <c r="J232">
        <v>220</v>
      </c>
      <c r="K232">
        <v>75</v>
      </c>
      <c r="L232">
        <v>0.51719999999999999</v>
      </c>
      <c r="M232" t="s">
        <v>3368</v>
      </c>
      <c r="N232">
        <v>232</v>
      </c>
    </row>
    <row r="233" spans="1:14" x14ac:dyDescent="0.25">
      <c r="A233" t="s">
        <v>2001</v>
      </c>
      <c r="B233">
        <v>229</v>
      </c>
      <c r="C233">
        <v>1229</v>
      </c>
      <c r="D233" s="1" t="s">
        <v>270</v>
      </c>
      <c r="E233" t="s">
        <v>268</v>
      </c>
      <c r="G233" t="s">
        <v>24</v>
      </c>
      <c r="I233">
        <v>140</v>
      </c>
      <c r="J233">
        <v>195</v>
      </c>
      <c r="K233">
        <v>55</v>
      </c>
      <c r="L233">
        <v>0.39290000000000003</v>
      </c>
      <c r="M233" t="s">
        <v>3368</v>
      </c>
      <c r="N233">
        <v>233</v>
      </c>
    </row>
    <row r="234" spans="1:14" x14ac:dyDescent="0.25">
      <c r="A234" t="s">
        <v>2002</v>
      </c>
      <c r="B234">
        <v>230</v>
      </c>
      <c r="C234">
        <v>1230</v>
      </c>
      <c r="D234" s="1" t="s">
        <v>271</v>
      </c>
      <c r="G234" t="s">
        <v>24</v>
      </c>
      <c r="I234">
        <v>175</v>
      </c>
      <c r="J234">
        <v>295</v>
      </c>
      <c r="K234">
        <v>120</v>
      </c>
      <c r="L234">
        <v>0.68569999999999998</v>
      </c>
      <c r="M234" t="s">
        <v>3368</v>
      </c>
      <c r="N234">
        <v>234</v>
      </c>
    </row>
    <row r="235" spans="1:14" x14ac:dyDescent="0.25">
      <c r="A235" t="s">
        <v>2003</v>
      </c>
      <c r="B235">
        <v>231</v>
      </c>
      <c r="C235">
        <v>1231</v>
      </c>
      <c r="D235" s="1" t="s">
        <v>272</v>
      </c>
      <c r="E235" t="s">
        <v>273</v>
      </c>
      <c r="G235" t="s">
        <v>24</v>
      </c>
      <c r="I235">
        <v>90</v>
      </c>
      <c r="J235">
        <v>150</v>
      </c>
      <c r="K235">
        <v>60</v>
      </c>
      <c r="L235">
        <v>0.66669999999999996</v>
      </c>
      <c r="M235" t="s">
        <v>3368</v>
      </c>
      <c r="N235">
        <v>235</v>
      </c>
    </row>
    <row r="236" spans="1:14" x14ac:dyDescent="0.25">
      <c r="A236" t="s">
        <v>2004</v>
      </c>
      <c r="B236">
        <v>232</v>
      </c>
      <c r="C236">
        <v>1232</v>
      </c>
      <c r="D236" s="1" t="s">
        <v>274</v>
      </c>
      <c r="E236" t="s">
        <v>273</v>
      </c>
      <c r="G236" t="s">
        <v>24</v>
      </c>
      <c r="I236">
        <v>98</v>
      </c>
      <c r="J236">
        <v>170</v>
      </c>
      <c r="K236">
        <v>72</v>
      </c>
      <c r="L236">
        <v>0.73470000000000002</v>
      </c>
      <c r="M236" t="s">
        <v>3368</v>
      </c>
      <c r="N236">
        <v>236</v>
      </c>
    </row>
    <row r="237" spans="1:14" x14ac:dyDescent="0.25">
      <c r="A237" t="s">
        <v>2005</v>
      </c>
      <c r="B237">
        <v>233</v>
      </c>
      <c r="C237">
        <v>1233</v>
      </c>
      <c r="D237" s="1" t="s">
        <v>275</v>
      </c>
      <c r="E237" t="s">
        <v>273</v>
      </c>
      <c r="G237" t="s">
        <v>24</v>
      </c>
      <c r="I237">
        <v>115</v>
      </c>
      <c r="J237">
        <v>195</v>
      </c>
      <c r="K237">
        <v>80</v>
      </c>
      <c r="L237">
        <v>0.69569999999999999</v>
      </c>
      <c r="M237" t="s">
        <v>3368</v>
      </c>
      <c r="N237">
        <v>237</v>
      </c>
    </row>
    <row r="238" spans="1:14" x14ac:dyDescent="0.25">
      <c r="A238" t="s">
        <v>2006</v>
      </c>
      <c r="B238">
        <v>234</v>
      </c>
      <c r="C238">
        <v>1234</v>
      </c>
      <c r="D238" s="1" t="s">
        <v>276</v>
      </c>
      <c r="E238" t="s">
        <v>273</v>
      </c>
      <c r="G238" t="s">
        <v>24</v>
      </c>
      <c r="I238">
        <v>167</v>
      </c>
      <c r="J238">
        <v>230</v>
      </c>
      <c r="K238">
        <v>63</v>
      </c>
      <c r="L238">
        <v>0.37719999999999998</v>
      </c>
      <c r="M238" t="s">
        <v>3368</v>
      </c>
      <c r="N238">
        <v>238</v>
      </c>
    </row>
    <row r="239" spans="1:14" x14ac:dyDescent="0.25">
      <c r="A239" t="s">
        <v>2007</v>
      </c>
      <c r="B239">
        <v>235</v>
      </c>
      <c r="C239">
        <v>1235</v>
      </c>
      <c r="D239" s="1" t="s">
        <v>277</v>
      </c>
      <c r="G239" t="s">
        <v>24</v>
      </c>
      <c r="I239">
        <v>110</v>
      </c>
      <c r="J239">
        <v>190</v>
      </c>
      <c r="K239">
        <v>80</v>
      </c>
      <c r="L239">
        <v>0.72729999999999995</v>
      </c>
      <c r="M239" t="s">
        <v>3368</v>
      </c>
      <c r="N239">
        <v>239</v>
      </c>
    </row>
    <row r="240" spans="1:14" x14ac:dyDescent="0.25">
      <c r="A240" t="s">
        <v>2008</v>
      </c>
      <c r="B240">
        <v>236</v>
      </c>
      <c r="C240">
        <v>1236</v>
      </c>
      <c r="D240" s="1" t="s">
        <v>278</v>
      </c>
      <c r="G240" t="s">
        <v>24</v>
      </c>
      <c r="I240">
        <v>260</v>
      </c>
      <c r="J240">
        <v>375</v>
      </c>
      <c r="K240">
        <v>115</v>
      </c>
      <c r="L240">
        <v>0.44230000000000003</v>
      </c>
      <c r="M240" t="s">
        <v>3368</v>
      </c>
      <c r="N240">
        <v>240</v>
      </c>
    </row>
    <row r="241" spans="1:14" x14ac:dyDescent="0.25">
      <c r="A241" t="s">
        <v>2009</v>
      </c>
      <c r="B241">
        <v>237</v>
      </c>
      <c r="C241">
        <v>1237</v>
      </c>
      <c r="D241" s="1" t="s">
        <v>279</v>
      </c>
      <c r="G241" t="s">
        <v>24</v>
      </c>
      <c r="I241">
        <v>180</v>
      </c>
      <c r="J241">
        <v>240</v>
      </c>
      <c r="K241">
        <v>60</v>
      </c>
      <c r="L241">
        <v>0.33329999999999999</v>
      </c>
      <c r="M241" t="s">
        <v>3368</v>
      </c>
      <c r="N241">
        <v>241</v>
      </c>
    </row>
    <row r="242" spans="1:14" x14ac:dyDescent="0.25">
      <c r="A242" t="s">
        <v>2010</v>
      </c>
      <c r="B242">
        <v>238</v>
      </c>
      <c r="C242">
        <v>1238</v>
      </c>
      <c r="D242" s="1" t="s">
        <v>280</v>
      </c>
      <c r="G242" t="s">
        <v>24</v>
      </c>
      <c r="I242">
        <v>251</v>
      </c>
      <c r="J242">
        <v>320</v>
      </c>
      <c r="K242">
        <v>69</v>
      </c>
      <c r="L242">
        <v>0.27489999999999998</v>
      </c>
      <c r="M242" t="s">
        <v>3368</v>
      </c>
      <c r="N242">
        <v>242</v>
      </c>
    </row>
    <row r="243" spans="1:14" x14ac:dyDescent="0.25">
      <c r="A243" t="s">
        <v>2011</v>
      </c>
      <c r="B243">
        <v>239</v>
      </c>
      <c r="C243">
        <v>1239</v>
      </c>
      <c r="D243" s="1" t="s">
        <v>281</v>
      </c>
      <c r="G243" t="s">
        <v>24</v>
      </c>
      <c r="I243">
        <v>333</v>
      </c>
      <c r="J243">
        <v>395</v>
      </c>
      <c r="K243">
        <v>62</v>
      </c>
      <c r="L243">
        <v>0.1862</v>
      </c>
      <c r="M243" t="s">
        <v>3368</v>
      </c>
      <c r="N243">
        <v>243</v>
      </c>
    </row>
    <row r="244" spans="1:14" x14ac:dyDescent="0.25">
      <c r="A244" t="s">
        <v>2012</v>
      </c>
      <c r="B244">
        <v>240</v>
      </c>
      <c r="C244">
        <v>1240</v>
      </c>
      <c r="D244" s="1" t="s">
        <v>282</v>
      </c>
      <c r="E244" t="s">
        <v>252</v>
      </c>
      <c r="G244" t="s">
        <v>24</v>
      </c>
      <c r="I244">
        <v>46</v>
      </c>
      <c r="J244">
        <v>120</v>
      </c>
      <c r="K244">
        <v>74</v>
      </c>
      <c r="L244">
        <v>1.6087</v>
      </c>
      <c r="M244" t="s">
        <v>3368</v>
      </c>
      <c r="N244">
        <v>244</v>
      </c>
    </row>
    <row r="245" spans="1:14" x14ac:dyDescent="0.25">
      <c r="A245" t="s">
        <v>2013</v>
      </c>
      <c r="B245">
        <v>241</v>
      </c>
      <c r="C245">
        <v>1241</v>
      </c>
      <c r="D245" s="1" t="s">
        <v>283</v>
      </c>
      <c r="E245" t="s">
        <v>252</v>
      </c>
      <c r="G245" t="s">
        <v>24</v>
      </c>
      <c r="I245">
        <v>62</v>
      </c>
      <c r="J245">
        <v>160</v>
      </c>
      <c r="K245">
        <v>98</v>
      </c>
      <c r="L245">
        <v>1.5806</v>
      </c>
      <c r="M245" t="s">
        <v>3368</v>
      </c>
      <c r="N245">
        <v>245</v>
      </c>
    </row>
    <row r="246" spans="1:14" x14ac:dyDescent="0.25">
      <c r="A246" t="s">
        <v>2014</v>
      </c>
      <c r="B246">
        <v>242</v>
      </c>
      <c r="C246">
        <v>1242</v>
      </c>
      <c r="D246" s="1" t="s">
        <v>284</v>
      </c>
      <c r="E246" t="s">
        <v>252</v>
      </c>
      <c r="G246" t="s">
        <v>24</v>
      </c>
      <c r="I246">
        <v>105</v>
      </c>
      <c r="J246">
        <v>200</v>
      </c>
      <c r="K246">
        <v>95</v>
      </c>
      <c r="L246">
        <v>0.90480000000000005</v>
      </c>
      <c r="M246" t="s">
        <v>3368</v>
      </c>
      <c r="N246">
        <v>246</v>
      </c>
    </row>
    <row r="247" spans="1:14" x14ac:dyDescent="0.25">
      <c r="A247" t="s">
        <v>2015</v>
      </c>
      <c r="B247">
        <v>243</v>
      </c>
      <c r="C247">
        <v>1243</v>
      </c>
      <c r="D247" s="1" t="s">
        <v>285</v>
      </c>
      <c r="G247" t="s">
        <v>24</v>
      </c>
      <c r="I247">
        <v>175</v>
      </c>
      <c r="J247">
        <v>280</v>
      </c>
      <c r="K247">
        <v>105</v>
      </c>
      <c r="L247">
        <v>0.6</v>
      </c>
      <c r="M247" t="s">
        <v>3368</v>
      </c>
      <c r="N247">
        <v>247</v>
      </c>
    </row>
    <row r="248" spans="1:14" x14ac:dyDescent="0.25">
      <c r="A248" t="s">
        <v>2016</v>
      </c>
      <c r="B248">
        <v>244</v>
      </c>
      <c r="C248">
        <v>1244</v>
      </c>
      <c r="D248" s="1" t="s">
        <v>286</v>
      </c>
      <c r="G248" t="s">
        <v>24</v>
      </c>
      <c r="I248">
        <v>210</v>
      </c>
      <c r="J248">
        <v>320</v>
      </c>
      <c r="K248">
        <v>110</v>
      </c>
      <c r="L248">
        <v>0.52380000000000004</v>
      </c>
      <c r="M248" t="s">
        <v>3368</v>
      </c>
      <c r="N248">
        <v>248</v>
      </c>
    </row>
    <row r="249" spans="1:14" x14ac:dyDescent="0.25">
      <c r="A249" t="s">
        <v>2017</v>
      </c>
      <c r="B249">
        <v>245</v>
      </c>
      <c r="C249">
        <v>1245</v>
      </c>
      <c r="D249" s="1" t="s">
        <v>287</v>
      </c>
      <c r="E249" t="s">
        <v>288</v>
      </c>
      <c r="G249" t="s">
        <v>24</v>
      </c>
      <c r="I249">
        <v>151</v>
      </c>
      <c r="J249">
        <v>325</v>
      </c>
      <c r="K249">
        <v>174</v>
      </c>
      <c r="L249">
        <v>1.1523000000000001</v>
      </c>
      <c r="M249" t="s">
        <v>3368</v>
      </c>
      <c r="N249">
        <v>249</v>
      </c>
    </row>
    <row r="250" spans="1:14" x14ac:dyDescent="0.25">
      <c r="A250" t="s">
        <v>2018</v>
      </c>
      <c r="B250">
        <v>246</v>
      </c>
      <c r="C250">
        <v>1246</v>
      </c>
      <c r="D250" s="1" t="s">
        <v>289</v>
      </c>
      <c r="E250" t="s">
        <v>273</v>
      </c>
      <c r="G250" t="s">
        <v>24</v>
      </c>
      <c r="I250">
        <v>135</v>
      </c>
      <c r="J250">
        <v>235</v>
      </c>
      <c r="K250">
        <v>100</v>
      </c>
      <c r="L250">
        <v>0.74070000000000003</v>
      </c>
      <c r="M250" t="s">
        <v>3368</v>
      </c>
      <c r="N250">
        <v>250</v>
      </c>
    </row>
    <row r="251" spans="1:14" x14ac:dyDescent="0.25">
      <c r="A251" t="s">
        <v>2019</v>
      </c>
      <c r="B251">
        <v>247</v>
      </c>
      <c r="C251">
        <v>1247</v>
      </c>
      <c r="D251" s="1" t="s">
        <v>290</v>
      </c>
      <c r="E251" t="s">
        <v>273</v>
      </c>
      <c r="G251" t="s">
        <v>24</v>
      </c>
      <c r="I251">
        <v>115</v>
      </c>
      <c r="J251">
        <v>210</v>
      </c>
      <c r="K251">
        <v>95</v>
      </c>
      <c r="L251">
        <v>0.82609999999999995</v>
      </c>
      <c r="M251" t="s">
        <v>3368</v>
      </c>
      <c r="N251">
        <v>251</v>
      </c>
    </row>
    <row r="252" spans="1:14" x14ac:dyDescent="0.25">
      <c r="A252" t="s">
        <v>2020</v>
      </c>
      <c r="B252">
        <v>248</v>
      </c>
      <c r="C252">
        <v>1248</v>
      </c>
      <c r="D252" s="1" t="s">
        <v>291</v>
      </c>
      <c r="E252" t="s">
        <v>273</v>
      </c>
      <c r="G252" t="s">
        <v>24</v>
      </c>
      <c r="I252">
        <v>60</v>
      </c>
      <c r="J252">
        <v>110</v>
      </c>
      <c r="K252">
        <v>50</v>
      </c>
      <c r="L252">
        <v>0.83330000000000004</v>
      </c>
      <c r="M252" t="s">
        <v>3368</v>
      </c>
      <c r="N252">
        <v>252</v>
      </c>
    </row>
    <row r="253" spans="1:14" x14ac:dyDescent="0.25">
      <c r="A253" t="s">
        <v>2021</v>
      </c>
      <c r="B253">
        <v>249</v>
      </c>
      <c r="C253">
        <v>1249</v>
      </c>
      <c r="D253" s="1" t="s">
        <v>292</v>
      </c>
      <c r="E253" t="s">
        <v>273</v>
      </c>
      <c r="G253" t="s">
        <v>24</v>
      </c>
      <c r="I253">
        <v>58</v>
      </c>
      <c r="J253">
        <v>130</v>
      </c>
      <c r="K253">
        <v>72</v>
      </c>
      <c r="L253">
        <v>1.2414000000000001</v>
      </c>
      <c r="M253" t="s">
        <v>3368</v>
      </c>
      <c r="N253">
        <v>253</v>
      </c>
    </row>
    <row r="254" spans="1:14" x14ac:dyDescent="0.25">
      <c r="A254" t="s">
        <v>2022</v>
      </c>
      <c r="B254">
        <v>250</v>
      </c>
      <c r="C254">
        <v>1250</v>
      </c>
      <c r="D254" s="1" t="s">
        <v>293</v>
      </c>
      <c r="E254" t="s">
        <v>273</v>
      </c>
      <c r="G254" t="s">
        <v>24</v>
      </c>
      <c r="I254">
        <v>52</v>
      </c>
      <c r="J254">
        <v>90</v>
      </c>
      <c r="K254">
        <v>38</v>
      </c>
      <c r="L254">
        <v>0.73080000000000001</v>
      </c>
      <c r="M254" t="s">
        <v>3368</v>
      </c>
      <c r="N254">
        <v>254</v>
      </c>
    </row>
    <row r="255" spans="1:14" x14ac:dyDescent="0.25">
      <c r="A255" t="s">
        <v>2023</v>
      </c>
      <c r="B255">
        <v>251</v>
      </c>
      <c r="C255">
        <v>1251</v>
      </c>
      <c r="D255" s="1" t="s">
        <v>294</v>
      </c>
      <c r="G255" t="s">
        <v>24</v>
      </c>
      <c r="I255">
        <v>128</v>
      </c>
      <c r="J255">
        <v>175</v>
      </c>
      <c r="K255">
        <v>47</v>
      </c>
      <c r="L255">
        <v>0.36720000000000003</v>
      </c>
      <c r="M255" t="s">
        <v>3368</v>
      </c>
      <c r="N255">
        <v>255</v>
      </c>
    </row>
    <row r="256" spans="1:14" x14ac:dyDescent="0.25">
      <c r="A256" t="s">
        <v>2024</v>
      </c>
      <c r="B256">
        <v>252</v>
      </c>
      <c r="C256">
        <v>1252</v>
      </c>
      <c r="D256" s="1" t="s">
        <v>295</v>
      </c>
      <c r="G256" t="s">
        <v>24</v>
      </c>
      <c r="I256">
        <v>190</v>
      </c>
      <c r="J256">
        <v>235</v>
      </c>
      <c r="K256">
        <v>45</v>
      </c>
      <c r="L256">
        <v>0.23680000000000001</v>
      </c>
      <c r="M256" t="s">
        <v>3368</v>
      </c>
      <c r="N256">
        <v>256</v>
      </c>
    </row>
    <row r="257" spans="1:14" x14ac:dyDescent="0.25">
      <c r="A257" t="s">
        <v>2025</v>
      </c>
      <c r="B257">
        <v>253</v>
      </c>
      <c r="C257">
        <v>1253</v>
      </c>
      <c r="D257" s="1" t="s">
        <v>296</v>
      </c>
      <c r="G257" t="s">
        <v>24</v>
      </c>
      <c r="I257">
        <v>24</v>
      </c>
      <c r="J257">
        <v>40</v>
      </c>
      <c r="K257">
        <v>16</v>
      </c>
      <c r="L257">
        <v>0.66669999999999996</v>
      </c>
      <c r="M257" t="s">
        <v>3368</v>
      </c>
      <c r="N257">
        <v>257</v>
      </c>
    </row>
    <row r="258" spans="1:14" x14ac:dyDescent="0.25">
      <c r="A258" t="s">
        <v>2026</v>
      </c>
      <c r="B258">
        <v>254</v>
      </c>
      <c r="C258">
        <v>1254</v>
      </c>
      <c r="D258" s="1" t="s">
        <v>297</v>
      </c>
      <c r="G258" t="s">
        <v>24</v>
      </c>
      <c r="I258">
        <v>18</v>
      </c>
      <c r="J258">
        <v>35</v>
      </c>
      <c r="K258">
        <v>17</v>
      </c>
      <c r="L258">
        <v>0.94440000000000002</v>
      </c>
      <c r="M258" t="s">
        <v>3368</v>
      </c>
      <c r="N258">
        <v>258</v>
      </c>
    </row>
    <row r="259" spans="1:14" x14ac:dyDescent="0.25">
      <c r="A259" t="s">
        <v>2027</v>
      </c>
      <c r="B259">
        <v>255</v>
      </c>
      <c r="C259">
        <v>1255</v>
      </c>
      <c r="D259" s="1" t="s">
        <v>298</v>
      </c>
      <c r="G259" t="s">
        <v>24</v>
      </c>
      <c r="I259">
        <v>11.8</v>
      </c>
      <c r="J259">
        <v>20</v>
      </c>
      <c r="K259">
        <v>8.1999999999999993</v>
      </c>
      <c r="L259">
        <v>0.69489999999999996</v>
      </c>
      <c r="M259" t="s">
        <v>3368</v>
      </c>
      <c r="N259">
        <v>259</v>
      </c>
    </row>
    <row r="260" spans="1:14" x14ac:dyDescent="0.25">
      <c r="A260" t="s">
        <v>2028</v>
      </c>
      <c r="B260">
        <v>256</v>
      </c>
      <c r="C260">
        <v>1256</v>
      </c>
      <c r="D260" s="1" t="s">
        <v>299</v>
      </c>
      <c r="G260" t="s">
        <v>24</v>
      </c>
      <c r="I260">
        <v>8.5</v>
      </c>
      <c r="J260">
        <v>18</v>
      </c>
      <c r="K260">
        <v>9.5</v>
      </c>
      <c r="L260">
        <v>1.1175999999999999</v>
      </c>
      <c r="M260" t="s">
        <v>3368</v>
      </c>
      <c r="N260">
        <v>260</v>
      </c>
    </row>
    <row r="261" spans="1:14" x14ac:dyDescent="0.25">
      <c r="A261" t="s">
        <v>2029</v>
      </c>
      <c r="B261">
        <v>257</v>
      </c>
      <c r="C261">
        <v>1257</v>
      </c>
      <c r="D261" s="1" t="s">
        <v>300</v>
      </c>
      <c r="G261" t="s">
        <v>24</v>
      </c>
      <c r="I261">
        <v>1.2</v>
      </c>
      <c r="J261">
        <v>2.5</v>
      </c>
      <c r="K261">
        <v>1.3</v>
      </c>
      <c r="L261">
        <v>1.0832999999999999</v>
      </c>
      <c r="M261" t="s">
        <v>3368</v>
      </c>
      <c r="N261">
        <v>261</v>
      </c>
    </row>
    <row r="262" spans="1:14" x14ac:dyDescent="0.25">
      <c r="A262" t="s">
        <v>2030</v>
      </c>
      <c r="B262">
        <v>258</v>
      </c>
      <c r="C262">
        <v>1258</v>
      </c>
      <c r="D262" s="1" t="s">
        <v>301</v>
      </c>
      <c r="G262" t="s">
        <v>24</v>
      </c>
      <c r="I262">
        <v>1.5</v>
      </c>
      <c r="J262">
        <v>3</v>
      </c>
      <c r="K262">
        <v>1.5</v>
      </c>
      <c r="L262">
        <v>1</v>
      </c>
      <c r="M262" t="s">
        <v>3368</v>
      </c>
      <c r="N262">
        <v>262</v>
      </c>
    </row>
    <row r="263" spans="1:14" x14ac:dyDescent="0.25">
      <c r="A263" t="s">
        <v>2031</v>
      </c>
      <c r="B263">
        <v>259</v>
      </c>
      <c r="C263">
        <v>1259</v>
      </c>
      <c r="D263" s="1" t="s">
        <v>302</v>
      </c>
      <c r="G263" t="s">
        <v>24</v>
      </c>
      <c r="I263">
        <v>5</v>
      </c>
      <c r="J263">
        <v>10</v>
      </c>
      <c r="K263">
        <v>5</v>
      </c>
      <c r="L263">
        <v>1</v>
      </c>
      <c r="M263" t="s">
        <v>3368</v>
      </c>
      <c r="N263">
        <v>263</v>
      </c>
    </row>
    <row r="264" spans="1:14" x14ac:dyDescent="0.25">
      <c r="A264" t="s">
        <v>2032</v>
      </c>
      <c r="B264">
        <v>260</v>
      </c>
      <c r="C264">
        <v>1260</v>
      </c>
      <c r="D264" s="1" t="s">
        <v>303</v>
      </c>
      <c r="G264" t="s">
        <v>24</v>
      </c>
      <c r="I264">
        <v>6</v>
      </c>
      <c r="J264">
        <v>12</v>
      </c>
      <c r="K264">
        <v>6</v>
      </c>
      <c r="L264">
        <v>1</v>
      </c>
      <c r="M264" t="s">
        <v>3368</v>
      </c>
      <c r="N264">
        <v>264</v>
      </c>
    </row>
    <row r="265" spans="1:14" x14ac:dyDescent="0.25">
      <c r="A265" t="s">
        <v>2033</v>
      </c>
      <c r="B265">
        <v>261</v>
      </c>
      <c r="C265">
        <v>1261</v>
      </c>
      <c r="D265" s="1" t="s">
        <v>304</v>
      </c>
      <c r="G265" t="s">
        <v>24</v>
      </c>
      <c r="I265">
        <v>18</v>
      </c>
      <c r="J265">
        <v>30</v>
      </c>
      <c r="K265">
        <v>12</v>
      </c>
      <c r="L265">
        <v>0.66669999999999996</v>
      </c>
      <c r="M265" t="s">
        <v>3368</v>
      </c>
      <c r="N265">
        <v>265</v>
      </c>
    </row>
    <row r="266" spans="1:14" x14ac:dyDescent="0.25">
      <c r="A266" t="s">
        <v>2034</v>
      </c>
      <c r="B266">
        <v>262</v>
      </c>
      <c r="C266">
        <v>1262</v>
      </c>
      <c r="D266" s="1" t="s">
        <v>305</v>
      </c>
      <c r="G266" t="s">
        <v>24</v>
      </c>
      <c r="I266">
        <v>13.8</v>
      </c>
      <c r="J266">
        <v>25</v>
      </c>
      <c r="K266">
        <v>11.2</v>
      </c>
      <c r="L266">
        <v>0.81159999999999999</v>
      </c>
      <c r="M266" t="s">
        <v>3368</v>
      </c>
      <c r="N266">
        <v>266</v>
      </c>
    </row>
    <row r="267" spans="1:14" x14ac:dyDescent="0.25">
      <c r="A267" t="s">
        <v>2035</v>
      </c>
      <c r="B267">
        <v>263</v>
      </c>
      <c r="C267">
        <v>1263</v>
      </c>
      <c r="D267" s="1" t="s">
        <v>306</v>
      </c>
      <c r="G267" t="s">
        <v>24</v>
      </c>
      <c r="I267">
        <v>236</v>
      </c>
      <c r="J267">
        <v>350</v>
      </c>
      <c r="K267">
        <v>114</v>
      </c>
      <c r="L267">
        <v>0.48309999999999997</v>
      </c>
      <c r="M267" t="s">
        <v>3368</v>
      </c>
      <c r="N267">
        <v>267</v>
      </c>
    </row>
    <row r="268" spans="1:14" x14ac:dyDescent="0.25">
      <c r="A268" t="s">
        <v>2036</v>
      </c>
      <c r="B268">
        <v>264</v>
      </c>
      <c r="C268">
        <v>1264</v>
      </c>
      <c r="D268" s="1" t="s">
        <v>307</v>
      </c>
      <c r="G268" t="s">
        <v>24</v>
      </c>
      <c r="I268">
        <v>15.8</v>
      </c>
      <c r="J268">
        <v>30</v>
      </c>
      <c r="K268">
        <v>14.2</v>
      </c>
      <c r="L268">
        <v>0.89870000000000005</v>
      </c>
      <c r="M268" t="s">
        <v>3368</v>
      </c>
      <c r="N268">
        <v>268</v>
      </c>
    </row>
    <row r="269" spans="1:14" x14ac:dyDescent="0.25">
      <c r="A269" t="s">
        <v>2037</v>
      </c>
      <c r="B269">
        <v>265</v>
      </c>
      <c r="C269">
        <v>1265</v>
      </c>
      <c r="D269" s="1" t="s">
        <v>308</v>
      </c>
      <c r="G269" t="s">
        <v>24</v>
      </c>
      <c r="I269">
        <v>15</v>
      </c>
      <c r="J269">
        <v>25</v>
      </c>
      <c r="K269">
        <v>10</v>
      </c>
      <c r="L269">
        <v>0.66669999999999996</v>
      </c>
      <c r="M269" t="s">
        <v>3368</v>
      </c>
      <c r="N269">
        <v>269</v>
      </c>
    </row>
    <row r="270" spans="1:14" x14ac:dyDescent="0.25">
      <c r="A270" t="s">
        <v>2038</v>
      </c>
      <c r="B270">
        <v>266</v>
      </c>
      <c r="C270">
        <v>1266</v>
      </c>
      <c r="D270" s="1" t="s">
        <v>309</v>
      </c>
      <c r="G270" t="s">
        <v>24</v>
      </c>
      <c r="I270">
        <v>42</v>
      </c>
      <c r="J270">
        <v>90</v>
      </c>
      <c r="K270">
        <v>48</v>
      </c>
      <c r="L270">
        <v>1.1429</v>
      </c>
      <c r="M270" t="s">
        <v>3368</v>
      </c>
      <c r="N270">
        <v>270</v>
      </c>
    </row>
    <row r="271" spans="1:14" x14ac:dyDescent="0.25">
      <c r="A271" t="s">
        <v>2039</v>
      </c>
      <c r="B271">
        <v>267</v>
      </c>
      <c r="C271">
        <v>1267</v>
      </c>
      <c r="D271" s="1" t="s">
        <v>310</v>
      </c>
      <c r="G271" t="s">
        <v>24</v>
      </c>
      <c r="I271">
        <v>121</v>
      </c>
      <c r="J271">
        <v>160</v>
      </c>
      <c r="K271">
        <v>39</v>
      </c>
      <c r="L271">
        <v>0.32229999999999998</v>
      </c>
      <c r="M271" t="s">
        <v>3368</v>
      </c>
      <c r="N271">
        <v>271</v>
      </c>
    </row>
    <row r="272" spans="1:14" x14ac:dyDescent="0.25">
      <c r="A272" t="s">
        <v>2040</v>
      </c>
      <c r="B272">
        <v>268</v>
      </c>
      <c r="C272">
        <v>1268</v>
      </c>
      <c r="D272" s="1" t="s">
        <v>311</v>
      </c>
      <c r="G272" t="s">
        <v>24</v>
      </c>
      <c r="I272">
        <v>65</v>
      </c>
      <c r="J272">
        <v>95</v>
      </c>
      <c r="K272">
        <v>30</v>
      </c>
      <c r="L272">
        <v>0.46150000000000002</v>
      </c>
      <c r="M272" t="s">
        <v>3368</v>
      </c>
      <c r="N272">
        <v>272</v>
      </c>
    </row>
    <row r="273" spans="1:14" x14ac:dyDescent="0.25">
      <c r="A273" t="s">
        <v>2041</v>
      </c>
      <c r="B273">
        <v>269</v>
      </c>
      <c r="C273">
        <v>1269</v>
      </c>
      <c r="D273" s="1" t="s">
        <v>312</v>
      </c>
      <c r="G273" t="s">
        <v>24</v>
      </c>
      <c r="I273">
        <v>65</v>
      </c>
      <c r="J273">
        <v>95</v>
      </c>
      <c r="K273">
        <v>30</v>
      </c>
      <c r="L273">
        <v>0.46150000000000002</v>
      </c>
      <c r="M273" t="s">
        <v>3368</v>
      </c>
      <c r="N273">
        <v>273</v>
      </c>
    </row>
    <row r="274" spans="1:14" x14ac:dyDescent="0.25">
      <c r="A274" t="s">
        <v>2042</v>
      </c>
      <c r="B274">
        <v>270</v>
      </c>
      <c r="C274">
        <v>1270</v>
      </c>
      <c r="D274" s="1" t="s">
        <v>313</v>
      </c>
      <c r="G274" t="s">
        <v>24</v>
      </c>
      <c r="I274">
        <v>13</v>
      </c>
      <c r="J274">
        <v>20</v>
      </c>
      <c r="K274">
        <v>7</v>
      </c>
      <c r="L274">
        <v>0.53849999999999998</v>
      </c>
      <c r="M274" t="s">
        <v>3368</v>
      </c>
      <c r="N274">
        <v>274</v>
      </c>
    </row>
    <row r="275" spans="1:14" x14ac:dyDescent="0.25">
      <c r="A275" t="s">
        <v>2043</v>
      </c>
      <c r="B275">
        <v>271</v>
      </c>
      <c r="C275">
        <v>1271</v>
      </c>
      <c r="D275" s="1" t="s">
        <v>314</v>
      </c>
      <c r="G275" t="s">
        <v>24</v>
      </c>
      <c r="I275">
        <v>46.8</v>
      </c>
      <c r="J275">
        <v>60</v>
      </c>
      <c r="K275">
        <v>13.2</v>
      </c>
      <c r="L275">
        <v>0.28210000000000002</v>
      </c>
      <c r="M275" t="s">
        <v>3368</v>
      </c>
      <c r="N275">
        <v>275</v>
      </c>
    </row>
    <row r="276" spans="1:14" x14ac:dyDescent="0.25">
      <c r="A276" t="s">
        <v>2044</v>
      </c>
      <c r="B276">
        <v>272</v>
      </c>
      <c r="C276">
        <v>1272</v>
      </c>
      <c r="D276" s="1" t="s">
        <v>315</v>
      </c>
      <c r="G276" t="s">
        <v>24</v>
      </c>
      <c r="I276">
        <v>260</v>
      </c>
      <c r="J276">
        <v>350</v>
      </c>
      <c r="K276">
        <v>90</v>
      </c>
      <c r="L276">
        <v>0.34620000000000001</v>
      </c>
      <c r="M276" t="s">
        <v>3368</v>
      </c>
      <c r="N276">
        <v>276</v>
      </c>
    </row>
    <row r="277" spans="1:14" x14ac:dyDescent="0.25">
      <c r="A277" t="s">
        <v>2045</v>
      </c>
      <c r="B277">
        <v>273</v>
      </c>
      <c r="C277">
        <v>1273</v>
      </c>
      <c r="D277" s="1" t="s">
        <v>316</v>
      </c>
      <c r="G277" t="s">
        <v>24</v>
      </c>
      <c r="I277">
        <v>7.8</v>
      </c>
      <c r="J277">
        <v>15</v>
      </c>
      <c r="K277">
        <v>7.2</v>
      </c>
      <c r="L277">
        <v>0.92310000000000003</v>
      </c>
      <c r="M277" t="s">
        <v>3368</v>
      </c>
      <c r="N277">
        <v>277</v>
      </c>
    </row>
    <row r="278" spans="1:14" x14ac:dyDescent="0.25">
      <c r="A278" t="s">
        <v>2046</v>
      </c>
      <c r="B278">
        <v>274</v>
      </c>
      <c r="C278">
        <v>1274</v>
      </c>
      <c r="D278" s="1" t="s">
        <v>317</v>
      </c>
      <c r="G278" t="s">
        <v>24</v>
      </c>
      <c r="I278">
        <v>12.18</v>
      </c>
      <c r="J278">
        <v>20</v>
      </c>
      <c r="K278">
        <v>7.82</v>
      </c>
      <c r="L278">
        <v>0.64200000000000002</v>
      </c>
      <c r="M278" t="s">
        <v>3368</v>
      </c>
      <c r="N278">
        <v>278</v>
      </c>
    </row>
    <row r="279" spans="1:14" x14ac:dyDescent="0.25">
      <c r="A279" t="s">
        <v>2047</v>
      </c>
      <c r="B279">
        <v>275</v>
      </c>
      <c r="C279">
        <v>1275</v>
      </c>
      <c r="D279" s="1" t="s">
        <v>318</v>
      </c>
      <c r="G279" t="s">
        <v>24</v>
      </c>
      <c r="I279">
        <v>53.8</v>
      </c>
      <c r="J279">
        <v>85</v>
      </c>
      <c r="K279">
        <v>31.2</v>
      </c>
      <c r="L279">
        <v>0.57989999999999997</v>
      </c>
      <c r="M279" t="s">
        <v>3368</v>
      </c>
      <c r="N279">
        <v>279</v>
      </c>
    </row>
    <row r="280" spans="1:14" x14ac:dyDescent="0.25">
      <c r="A280" t="s">
        <v>2048</v>
      </c>
      <c r="B280">
        <v>276</v>
      </c>
      <c r="C280">
        <v>1276</v>
      </c>
      <c r="D280" s="1" t="s">
        <v>319</v>
      </c>
      <c r="G280" t="s">
        <v>24</v>
      </c>
      <c r="I280">
        <v>91.8</v>
      </c>
      <c r="J280">
        <v>125</v>
      </c>
      <c r="K280">
        <v>33.200000000000003</v>
      </c>
      <c r="L280">
        <v>0.36170000000000002</v>
      </c>
      <c r="M280" t="s">
        <v>3368</v>
      </c>
      <c r="N280">
        <v>280</v>
      </c>
    </row>
    <row r="281" spans="1:14" x14ac:dyDescent="0.25">
      <c r="A281" t="s">
        <v>2049</v>
      </c>
      <c r="B281">
        <v>277</v>
      </c>
      <c r="C281">
        <v>1277</v>
      </c>
      <c r="D281" s="1" t="s">
        <v>320</v>
      </c>
      <c r="G281" t="s">
        <v>24</v>
      </c>
      <c r="I281">
        <v>8</v>
      </c>
      <c r="J281">
        <v>14</v>
      </c>
      <c r="K281">
        <v>6</v>
      </c>
      <c r="L281">
        <v>0.75</v>
      </c>
      <c r="M281" t="s">
        <v>3368</v>
      </c>
      <c r="N281">
        <v>281</v>
      </c>
    </row>
    <row r="282" spans="1:14" x14ac:dyDescent="0.25">
      <c r="A282" t="s">
        <v>2050</v>
      </c>
      <c r="B282">
        <v>278</v>
      </c>
      <c r="C282">
        <v>1278</v>
      </c>
      <c r="D282" s="1" t="s">
        <v>321</v>
      </c>
      <c r="G282" t="s">
        <v>24</v>
      </c>
      <c r="I282">
        <v>15.8</v>
      </c>
      <c r="J282">
        <v>25</v>
      </c>
      <c r="K282">
        <v>9.1999999999999993</v>
      </c>
      <c r="L282">
        <v>0.58230000000000004</v>
      </c>
      <c r="M282" t="s">
        <v>3368</v>
      </c>
      <c r="N282">
        <v>282</v>
      </c>
    </row>
    <row r="283" spans="1:14" x14ac:dyDescent="0.25">
      <c r="A283" t="s">
        <v>2051</v>
      </c>
      <c r="B283">
        <v>279</v>
      </c>
      <c r="C283">
        <v>1279</v>
      </c>
      <c r="D283" s="1" t="s">
        <v>322</v>
      </c>
      <c r="G283" t="s">
        <v>24</v>
      </c>
      <c r="I283">
        <v>12</v>
      </c>
      <c r="J283">
        <v>20</v>
      </c>
      <c r="K283">
        <v>8</v>
      </c>
      <c r="L283">
        <v>0.66669999999999996</v>
      </c>
      <c r="M283" t="s">
        <v>3368</v>
      </c>
      <c r="N283">
        <v>283</v>
      </c>
    </row>
    <row r="284" spans="1:14" x14ac:dyDescent="0.25">
      <c r="A284" t="s">
        <v>2052</v>
      </c>
      <c r="B284">
        <v>280</v>
      </c>
      <c r="C284">
        <v>1280</v>
      </c>
      <c r="D284" s="1" t="s">
        <v>323</v>
      </c>
      <c r="G284" t="s">
        <v>24</v>
      </c>
      <c r="I284">
        <v>21.8</v>
      </c>
      <c r="J284">
        <v>32</v>
      </c>
      <c r="K284">
        <v>10.199999999999999</v>
      </c>
      <c r="L284">
        <v>0.46789999999999998</v>
      </c>
      <c r="M284" t="s">
        <v>3368</v>
      </c>
      <c r="N284">
        <v>284</v>
      </c>
    </row>
    <row r="285" spans="1:14" x14ac:dyDescent="0.25">
      <c r="A285" t="s">
        <v>2053</v>
      </c>
      <c r="B285">
        <v>281</v>
      </c>
      <c r="C285">
        <v>1281</v>
      </c>
      <c r="D285" s="1" t="s">
        <v>324</v>
      </c>
      <c r="G285" t="s">
        <v>24</v>
      </c>
      <c r="I285">
        <v>8.8000000000000007</v>
      </c>
      <c r="J285">
        <v>15</v>
      </c>
      <c r="K285">
        <v>6.2</v>
      </c>
      <c r="L285">
        <v>0.70450000000000002</v>
      </c>
      <c r="M285" t="s">
        <v>3368</v>
      </c>
      <c r="N285">
        <v>285</v>
      </c>
    </row>
    <row r="286" spans="1:14" x14ac:dyDescent="0.25">
      <c r="A286" t="s">
        <v>2054</v>
      </c>
      <c r="B286">
        <v>282</v>
      </c>
      <c r="C286">
        <v>1282</v>
      </c>
      <c r="D286" s="1" t="s">
        <v>325</v>
      </c>
      <c r="G286" t="s">
        <v>24</v>
      </c>
      <c r="I286">
        <v>12.5</v>
      </c>
      <c r="J286">
        <v>20</v>
      </c>
      <c r="K286">
        <v>7.5</v>
      </c>
      <c r="L286">
        <v>0.6</v>
      </c>
      <c r="M286" t="s">
        <v>3368</v>
      </c>
      <c r="N286">
        <v>286</v>
      </c>
    </row>
    <row r="287" spans="1:14" x14ac:dyDescent="0.25">
      <c r="A287" t="s">
        <v>2055</v>
      </c>
      <c r="B287">
        <v>283</v>
      </c>
      <c r="C287">
        <v>1283</v>
      </c>
      <c r="D287" s="1" t="s">
        <v>326</v>
      </c>
      <c r="G287" t="s">
        <v>24</v>
      </c>
      <c r="I287">
        <v>6.5</v>
      </c>
      <c r="J287">
        <v>12</v>
      </c>
      <c r="K287">
        <v>5.5</v>
      </c>
      <c r="L287">
        <v>0.84619999999999995</v>
      </c>
      <c r="M287" t="s">
        <v>3368</v>
      </c>
      <c r="N287">
        <v>287</v>
      </c>
    </row>
    <row r="288" spans="1:14" x14ac:dyDescent="0.25">
      <c r="A288" t="s">
        <v>2056</v>
      </c>
      <c r="B288">
        <v>284</v>
      </c>
      <c r="C288">
        <v>1284</v>
      </c>
      <c r="D288" s="1" t="s">
        <v>327</v>
      </c>
      <c r="G288" t="s">
        <v>24</v>
      </c>
      <c r="I288">
        <v>7.5</v>
      </c>
      <c r="J288">
        <v>12</v>
      </c>
      <c r="K288">
        <v>4.5</v>
      </c>
      <c r="L288">
        <v>0.6</v>
      </c>
      <c r="M288" t="s">
        <v>3368</v>
      </c>
      <c r="N288">
        <v>288</v>
      </c>
    </row>
    <row r="289" spans="1:14" x14ac:dyDescent="0.25">
      <c r="A289" t="s">
        <v>2057</v>
      </c>
      <c r="B289">
        <v>285</v>
      </c>
      <c r="C289">
        <v>1285</v>
      </c>
      <c r="D289" s="1" t="s">
        <v>328</v>
      </c>
      <c r="G289" t="s">
        <v>24</v>
      </c>
      <c r="I289">
        <v>16.8</v>
      </c>
      <c r="J289">
        <v>30</v>
      </c>
      <c r="K289">
        <v>13.2</v>
      </c>
      <c r="L289">
        <v>0.78569999999999995</v>
      </c>
      <c r="M289" t="s">
        <v>3368</v>
      </c>
      <c r="N289">
        <v>289</v>
      </c>
    </row>
    <row r="290" spans="1:14" x14ac:dyDescent="0.25">
      <c r="A290" t="s">
        <v>2058</v>
      </c>
      <c r="B290">
        <v>286</v>
      </c>
      <c r="C290">
        <v>1286</v>
      </c>
      <c r="D290" s="1" t="s">
        <v>329</v>
      </c>
      <c r="G290" t="s">
        <v>24</v>
      </c>
      <c r="I290">
        <v>12.8</v>
      </c>
      <c r="J290">
        <v>25</v>
      </c>
      <c r="K290">
        <v>12.2</v>
      </c>
      <c r="L290">
        <v>0.95309999999999995</v>
      </c>
      <c r="M290" t="s">
        <v>3368</v>
      </c>
      <c r="N290">
        <v>290</v>
      </c>
    </row>
    <row r="291" spans="1:14" x14ac:dyDescent="0.25">
      <c r="A291" t="s">
        <v>2059</v>
      </c>
      <c r="B291">
        <v>287</v>
      </c>
      <c r="C291">
        <v>1287</v>
      </c>
      <c r="D291" s="1" t="s">
        <v>330</v>
      </c>
      <c r="G291" t="s">
        <v>24</v>
      </c>
      <c r="I291">
        <v>54.8</v>
      </c>
      <c r="J291">
        <v>75</v>
      </c>
      <c r="K291">
        <v>20.2</v>
      </c>
      <c r="L291">
        <v>0.36859999999999998</v>
      </c>
      <c r="M291" t="s">
        <v>3368</v>
      </c>
      <c r="N291">
        <v>291</v>
      </c>
    </row>
    <row r="292" spans="1:14" x14ac:dyDescent="0.25">
      <c r="A292" t="s">
        <v>2060</v>
      </c>
      <c r="B292">
        <v>288</v>
      </c>
      <c r="C292">
        <v>1288</v>
      </c>
      <c r="D292" s="1" t="s">
        <v>331</v>
      </c>
      <c r="G292" t="s">
        <v>24</v>
      </c>
      <c r="I292">
        <v>88.8</v>
      </c>
      <c r="J292">
        <v>120</v>
      </c>
      <c r="K292">
        <v>31.2</v>
      </c>
      <c r="L292">
        <v>0.35139999999999999</v>
      </c>
      <c r="M292" t="s">
        <v>3368</v>
      </c>
      <c r="N292">
        <v>292</v>
      </c>
    </row>
    <row r="293" spans="1:14" x14ac:dyDescent="0.25">
      <c r="A293" t="s">
        <v>2061</v>
      </c>
      <c r="B293">
        <v>289</v>
      </c>
      <c r="C293">
        <v>1289</v>
      </c>
      <c r="D293" s="1" t="s">
        <v>332</v>
      </c>
      <c r="G293" t="s">
        <v>24</v>
      </c>
      <c r="I293">
        <v>121.8</v>
      </c>
      <c r="J293">
        <v>160</v>
      </c>
      <c r="K293">
        <v>38.200000000000003</v>
      </c>
      <c r="L293">
        <v>0.31359999999999999</v>
      </c>
      <c r="M293" t="s">
        <v>3368</v>
      </c>
      <c r="N293">
        <v>293</v>
      </c>
    </row>
    <row r="294" spans="1:14" x14ac:dyDescent="0.25">
      <c r="A294" t="s">
        <v>2062</v>
      </c>
      <c r="B294">
        <v>290</v>
      </c>
      <c r="C294">
        <v>1290</v>
      </c>
      <c r="D294" s="1" t="s">
        <v>333</v>
      </c>
      <c r="G294" t="s">
        <v>24</v>
      </c>
      <c r="I294">
        <v>54.8</v>
      </c>
      <c r="J294">
        <v>75</v>
      </c>
      <c r="K294">
        <v>20.2</v>
      </c>
      <c r="L294">
        <v>0.36859999999999998</v>
      </c>
      <c r="M294" t="s">
        <v>3368</v>
      </c>
      <c r="N294">
        <v>294</v>
      </c>
    </row>
    <row r="295" spans="1:14" x14ac:dyDescent="0.25">
      <c r="A295" t="s">
        <v>2063</v>
      </c>
      <c r="B295">
        <v>291</v>
      </c>
      <c r="C295">
        <v>1291</v>
      </c>
      <c r="D295" s="1" t="s">
        <v>334</v>
      </c>
      <c r="G295" t="s">
        <v>24</v>
      </c>
      <c r="I295">
        <v>88.8</v>
      </c>
      <c r="J295">
        <v>120</v>
      </c>
      <c r="K295">
        <v>31.2</v>
      </c>
      <c r="L295">
        <v>0.35139999999999999</v>
      </c>
      <c r="M295" t="s">
        <v>3368</v>
      </c>
      <c r="N295">
        <v>295</v>
      </c>
    </row>
    <row r="296" spans="1:14" x14ac:dyDescent="0.25">
      <c r="A296" t="s">
        <v>2064</v>
      </c>
      <c r="B296">
        <v>292</v>
      </c>
      <c r="C296">
        <v>1292</v>
      </c>
      <c r="D296" s="1" t="s">
        <v>335</v>
      </c>
      <c r="G296" t="s">
        <v>24</v>
      </c>
      <c r="I296">
        <v>121.8</v>
      </c>
      <c r="J296">
        <v>160</v>
      </c>
      <c r="K296">
        <v>38.200000000000003</v>
      </c>
      <c r="L296">
        <v>0.31359999999999999</v>
      </c>
      <c r="M296" t="s">
        <v>3368</v>
      </c>
      <c r="N296">
        <v>296</v>
      </c>
    </row>
    <row r="297" spans="1:14" x14ac:dyDescent="0.25">
      <c r="A297" t="s">
        <v>2065</v>
      </c>
      <c r="B297">
        <v>293</v>
      </c>
      <c r="C297">
        <v>1293</v>
      </c>
      <c r="D297" s="1" t="s">
        <v>336</v>
      </c>
      <c r="G297" t="s">
        <v>24</v>
      </c>
      <c r="I297">
        <v>23.8</v>
      </c>
      <c r="J297">
        <v>35</v>
      </c>
      <c r="K297">
        <v>11.2</v>
      </c>
      <c r="L297">
        <v>0.47060000000000002</v>
      </c>
      <c r="M297" t="s">
        <v>3368</v>
      </c>
      <c r="N297">
        <v>297</v>
      </c>
    </row>
    <row r="298" spans="1:14" x14ac:dyDescent="0.25">
      <c r="A298" t="s">
        <v>2066</v>
      </c>
      <c r="B298">
        <v>294</v>
      </c>
      <c r="C298">
        <v>1294</v>
      </c>
      <c r="D298" s="1" t="s">
        <v>337</v>
      </c>
      <c r="G298" t="s">
        <v>24</v>
      </c>
      <c r="I298">
        <v>43.8</v>
      </c>
      <c r="J298">
        <v>60</v>
      </c>
      <c r="K298">
        <v>16.2</v>
      </c>
      <c r="L298">
        <v>0.36990000000000001</v>
      </c>
      <c r="M298" t="s">
        <v>3368</v>
      </c>
      <c r="N298">
        <v>298</v>
      </c>
    </row>
    <row r="299" spans="1:14" x14ac:dyDescent="0.25">
      <c r="A299" t="s">
        <v>2067</v>
      </c>
      <c r="B299">
        <v>295</v>
      </c>
      <c r="C299">
        <v>1295</v>
      </c>
      <c r="D299" s="1" t="s">
        <v>338</v>
      </c>
      <c r="G299" t="s">
        <v>24</v>
      </c>
      <c r="I299">
        <v>40</v>
      </c>
      <c r="J299">
        <v>65</v>
      </c>
      <c r="K299">
        <v>25</v>
      </c>
      <c r="L299">
        <v>0.625</v>
      </c>
      <c r="M299" t="s">
        <v>3368</v>
      </c>
      <c r="N299">
        <v>299</v>
      </c>
    </row>
    <row r="300" spans="1:14" x14ac:dyDescent="0.25">
      <c r="A300" t="s">
        <v>2068</v>
      </c>
      <c r="B300">
        <v>296</v>
      </c>
      <c r="C300">
        <v>1296</v>
      </c>
      <c r="D300" s="1" t="s">
        <v>339</v>
      </c>
      <c r="G300" t="s">
        <v>24</v>
      </c>
      <c r="I300">
        <v>53</v>
      </c>
      <c r="J300">
        <v>85</v>
      </c>
      <c r="K300">
        <v>32</v>
      </c>
      <c r="L300">
        <v>0.6038</v>
      </c>
      <c r="M300" t="s">
        <v>3368</v>
      </c>
      <c r="N300">
        <v>300</v>
      </c>
    </row>
    <row r="301" spans="1:14" x14ac:dyDescent="0.25">
      <c r="A301" t="s">
        <v>2069</v>
      </c>
      <c r="B301">
        <v>297</v>
      </c>
      <c r="C301">
        <v>1297</v>
      </c>
      <c r="D301" s="1" t="s">
        <v>340</v>
      </c>
      <c r="G301" t="s">
        <v>24</v>
      </c>
      <c r="I301">
        <v>80</v>
      </c>
      <c r="J301">
        <v>110</v>
      </c>
      <c r="K301">
        <v>30</v>
      </c>
      <c r="L301">
        <v>0.375</v>
      </c>
      <c r="M301" t="s">
        <v>3368</v>
      </c>
      <c r="N301">
        <v>301</v>
      </c>
    </row>
    <row r="302" spans="1:14" x14ac:dyDescent="0.25">
      <c r="A302" t="s">
        <v>2070</v>
      </c>
      <c r="B302">
        <v>298</v>
      </c>
      <c r="C302">
        <v>1298</v>
      </c>
      <c r="D302" s="1" t="s">
        <v>341</v>
      </c>
      <c r="E302" t="s">
        <v>342</v>
      </c>
      <c r="G302" t="s">
        <v>24</v>
      </c>
      <c r="I302">
        <v>145</v>
      </c>
      <c r="J302">
        <v>195</v>
      </c>
      <c r="K302">
        <v>50</v>
      </c>
      <c r="L302">
        <v>0.3448</v>
      </c>
      <c r="M302" t="s">
        <v>3368</v>
      </c>
      <c r="N302">
        <v>302</v>
      </c>
    </row>
    <row r="303" spans="1:14" x14ac:dyDescent="0.25">
      <c r="A303" t="s">
        <v>2071</v>
      </c>
      <c r="B303">
        <v>299</v>
      </c>
      <c r="C303">
        <v>1299</v>
      </c>
      <c r="D303" s="1" t="s">
        <v>343</v>
      </c>
      <c r="E303" t="s">
        <v>288</v>
      </c>
      <c r="G303" t="s">
        <v>24</v>
      </c>
      <c r="I303">
        <v>69.75</v>
      </c>
      <c r="J303">
        <v>95</v>
      </c>
      <c r="K303">
        <v>25.25</v>
      </c>
      <c r="L303">
        <v>0.36199999999999999</v>
      </c>
      <c r="M303" t="s">
        <v>3368</v>
      </c>
      <c r="N303">
        <v>303</v>
      </c>
    </row>
    <row r="304" spans="1:14" x14ac:dyDescent="0.25">
      <c r="A304" t="s">
        <v>2072</v>
      </c>
      <c r="B304">
        <v>300</v>
      </c>
      <c r="C304">
        <v>1300</v>
      </c>
      <c r="D304" s="1" t="s">
        <v>344</v>
      </c>
      <c r="E304" t="s">
        <v>345</v>
      </c>
      <c r="G304" t="s">
        <v>24</v>
      </c>
      <c r="I304">
        <v>49</v>
      </c>
      <c r="J304">
        <v>75</v>
      </c>
      <c r="K304">
        <v>26</v>
      </c>
      <c r="L304">
        <v>0.53059999999999996</v>
      </c>
      <c r="M304" t="s">
        <v>3368</v>
      </c>
      <c r="N304">
        <v>304</v>
      </c>
    </row>
    <row r="305" spans="1:14" x14ac:dyDescent="0.25">
      <c r="A305" t="s">
        <v>2073</v>
      </c>
      <c r="B305">
        <v>301</v>
      </c>
      <c r="C305">
        <v>1301</v>
      </c>
      <c r="D305" s="1" t="s">
        <v>346</v>
      </c>
      <c r="E305" t="s">
        <v>345</v>
      </c>
      <c r="G305" t="s">
        <v>24</v>
      </c>
      <c r="I305">
        <v>24</v>
      </c>
      <c r="J305">
        <v>50</v>
      </c>
      <c r="K305">
        <v>26</v>
      </c>
      <c r="L305">
        <v>1.0832999999999999</v>
      </c>
      <c r="M305" t="s">
        <v>3368</v>
      </c>
      <c r="N305">
        <v>305</v>
      </c>
    </row>
    <row r="306" spans="1:14" x14ac:dyDescent="0.25">
      <c r="A306" t="s">
        <v>2074</v>
      </c>
      <c r="B306">
        <v>302</v>
      </c>
      <c r="C306">
        <v>1302</v>
      </c>
      <c r="D306" s="1" t="s">
        <v>347</v>
      </c>
      <c r="E306" t="s">
        <v>348</v>
      </c>
      <c r="G306" t="s">
        <v>24</v>
      </c>
      <c r="I306">
        <v>62</v>
      </c>
      <c r="J306">
        <v>90</v>
      </c>
      <c r="K306">
        <v>28</v>
      </c>
      <c r="L306">
        <v>0.4516</v>
      </c>
      <c r="M306" t="s">
        <v>3368</v>
      </c>
      <c r="N306">
        <v>306</v>
      </c>
    </row>
    <row r="307" spans="1:14" x14ac:dyDescent="0.25">
      <c r="A307" t="s">
        <v>2075</v>
      </c>
      <c r="B307">
        <v>303</v>
      </c>
      <c r="C307">
        <v>1303</v>
      </c>
      <c r="D307" s="1" t="s">
        <v>349</v>
      </c>
      <c r="E307" t="s">
        <v>350</v>
      </c>
      <c r="G307" t="s">
        <v>24</v>
      </c>
      <c r="I307">
        <v>115</v>
      </c>
      <c r="J307">
        <v>160</v>
      </c>
      <c r="K307">
        <v>45</v>
      </c>
      <c r="L307">
        <v>0.39129999999999998</v>
      </c>
      <c r="M307" t="s">
        <v>3368</v>
      </c>
      <c r="N307">
        <v>307</v>
      </c>
    </row>
    <row r="308" spans="1:14" x14ac:dyDescent="0.25">
      <c r="A308" t="s">
        <v>2076</v>
      </c>
      <c r="B308">
        <v>304</v>
      </c>
      <c r="C308">
        <v>1304</v>
      </c>
      <c r="D308" s="1" t="s">
        <v>351</v>
      </c>
      <c r="E308" t="s">
        <v>350</v>
      </c>
      <c r="G308" t="s">
        <v>24</v>
      </c>
      <c r="I308">
        <v>45</v>
      </c>
      <c r="J308">
        <v>65</v>
      </c>
      <c r="K308">
        <v>20</v>
      </c>
      <c r="L308">
        <v>0.44440000000000002</v>
      </c>
      <c r="M308" t="s">
        <v>3368</v>
      </c>
      <c r="N308">
        <v>308</v>
      </c>
    </row>
    <row r="309" spans="1:14" x14ac:dyDescent="0.25">
      <c r="A309" t="s">
        <v>2077</v>
      </c>
      <c r="B309">
        <v>305</v>
      </c>
      <c r="C309">
        <v>1305</v>
      </c>
      <c r="D309" s="1" t="s">
        <v>352</v>
      </c>
      <c r="E309" t="s">
        <v>350</v>
      </c>
      <c r="G309" t="s">
        <v>24</v>
      </c>
      <c r="I309">
        <v>30</v>
      </c>
      <c r="J309">
        <v>45</v>
      </c>
      <c r="K309">
        <v>15</v>
      </c>
      <c r="L309">
        <v>0.5</v>
      </c>
      <c r="M309" t="s">
        <v>3368</v>
      </c>
      <c r="N309">
        <v>309</v>
      </c>
    </row>
    <row r="310" spans="1:14" x14ac:dyDescent="0.25">
      <c r="A310" t="s">
        <v>2078</v>
      </c>
      <c r="B310">
        <v>306</v>
      </c>
      <c r="C310">
        <v>1306</v>
      </c>
      <c r="D310" s="1" t="s">
        <v>353</v>
      </c>
      <c r="G310" t="s">
        <v>24</v>
      </c>
      <c r="I310">
        <v>45</v>
      </c>
      <c r="J310">
        <v>75</v>
      </c>
      <c r="K310">
        <v>30</v>
      </c>
      <c r="L310">
        <v>0.66669999999999996</v>
      </c>
      <c r="M310" t="s">
        <v>3368</v>
      </c>
      <c r="N310">
        <v>310</v>
      </c>
    </row>
    <row r="311" spans="1:14" x14ac:dyDescent="0.25">
      <c r="A311" t="s">
        <v>2079</v>
      </c>
      <c r="B311">
        <v>307</v>
      </c>
      <c r="C311">
        <v>1307</v>
      </c>
      <c r="D311" s="1" t="s">
        <v>354</v>
      </c>
      <c r="G311" t="s">
        <v>24</v>
      </c>
      <c r="I311">
        <v>30</v>
      </c>
      <c r="J311">
        <v>42</v>
      </c>
      <c r="K311">
        <v>12</v>
      </c>
      <c r="L311">
        <v>0.4</v>
      </c>
      <c r="M311" t="s">
        <v>3368</v>
      </c>
      <c r="N311">
        <v>311</v>
      </c>
    </row>
    <row r="312" spans="1:14" x14ac:dyDescent="0.25">
      <c r="A312" t="s">
        <v>2080</v>
      </c>
      <c r="B312">
        <v>308</v>
      </c>
      <c r="C312">
        <v>1308</v>
      </c>
      <c r="D312" s="1" t="s">
        <v>355</v>
      </c>
      <c r="G312" t="s">
        <v>24</v>
      </c>
      <c r="I312">
        <v>40</v>
      </c>
      <c r="J312">
        <v>55</v>
      </c>
      <c r="K312">
        <v>15</v>
      </c>
      <c r="L312">
        <v>0.375</v>
      </c>
      <c r="M312" t="s">
        <v>3368</v>
      </c>
      <c r="N312">
        <v>312</v>
      </c>
    </row>
    <row r="313" spans="1:14" x14ac:dyDescent="0.25">
      <c r="A313" t="s">
        <v>2081</v>
      </c>
      <c r="B313">
        <v>309</v>
      </c>
      <c r="C313">
        <v>1309</v>
      </c>
      <c r="D313" s="1" t="s">
        <v>356</v>
      </c>
      <c r="G313" t="s">
        <v>24</v>
      </c>
      <c r="I313">
        <v>80</v>
      </c>
      <c r="J313">
        <v>120</v>
      </c>
      <c r="K313">
        <v>40</v>
      </c>
      <c r="L313">
        <v>0.5</v>
      </c>
      <c r="M313" t="s">
        <v>3368</v>
      </c>
      <c r="N313">
        <v>313</v>
      </c>
    </row>
    <row r="314" spans="1:14" x14ac:dyDescent="0.25">
      <c r="A314" t="s">
        <v>2082</v>
      </c>
      <c r="B314">
        <v>310</v>
      </c>
      <c r="C314">
        <v>1310</v>
      </c>
      <c r="D314" s="1" t="s">
        <v>357</v>
      </c>
      <c r="G314" t="s">
        <v>24</v>
      </c>
      <c r="I314">
        <v>18</v>
      </c>
      <c r="J314">
        <v>32</v>
      </c>
      <c r="K314">
        <v>14</v>
      </c>
      <c r="L314">
        <v>0.77780000000000005</v>
      </c>
      <c r="M314" t="s">
        <v>3368</v>
      </c>
      <c r="N314">
        <v>314</v>
      </c>
    </row>
    <row r="315" spans="1:14" x14ac:dyDescent="0.25">
      <c r="A315" t="s">
        <v>2083</v>
      </c>
      <c r="B315">
        <v>311</v>
      </c>
      <c r="C315">
        <v>1311</v>
      </c>
      <c r="D315" s="1" t="s">
        <v>358</v>
      </c>
      <c r="G315" t="s">
        <v>24</v>
      </c>
      <c r="I315">
        <v>28</v>
      </c>
      <c r="J315">
        <v>60</v>
      </c>
      <c r="K315">
        <v>32</v>
      </c>
      <c r="L315">
        <v>1.1429</v>
      </c>
      <c r="M315" t="s">
        <v>3368</v>
      </c>
      <c r="N315">
        <v>315</v>
      </c>
    </row>
    <row r="316" spans="1:14" x14ac:dyDescent="0.25">
      <c r="A316" t="s">
        <v>2084</v>
      </c>
      <c r="B316">
        <v>312</v>
      </c>
      <c r="C316">
        <v>1312</v>
      </c>
      <c r="D316" s="1" t="s">
        <v>359</v>
      </c>
      <c r="E316" t="s">
        <v>360</v>
      </c>
      <c r="G316" t="s">
        <v>24</v>
      </c>
      <c r="I316">
        <v>26.45</v>
      </c>
      <c r="J316">
        <v>40</v>
      </c>
      <c r="K316">
        <v>13.55</v>
      </c>
      <c r="L316">
        <v>0.51229999999999998</v>
      </c>
      <c r="M316" t="s">
        <v>3368</v>
      </c>
      <c r="N316">
        <v>316</v>
      </c>
    </row>
    <row r="317" spans="1:14" x14ac:dyDescent="0.25">
      <c r="A317" t="s">
        <v>2085</v>
      </c>
      <c r="B317">
        <v>313</v>
      </c>
      <c r="C317">
        <v>1313</v>
      </c>
      <c r="D317" s="1" t="s">
        <v>361</v>
      </c>
      <c r="E317" t="s">
        <v>360</v>
      </c>
      <c r="G317" t="s">
        <v>24</v>
      </c>
      <c r="I317">
        <v>48.3</v>
      </c>
      <c r="J317">
        <v>70</v>
      </c>
      <c r="K317">
        <v>21.7</v>
      </c>
      <c r="L317">
        <v>0.44929999999999998</v>
      </c>
      <c r="M317" t="s">
        <v>3368</v>
      </c>
      <c r="N317">
        <v>317</v>
      </c>
    </row>
    <row r="318" spans="1:14" x14ac:dyDescent="0.25">
      <c r="A318" t="s">
        <v>2086</v>
      </c>
      <c r="B318">
        <v>314</v>
      </c>
      <c r="C318">
        <v>1314</v>
      </c>
      <c r="D318" s="1" t="s">
        <v>362</v>
      </c>
      <c r="G318" t="s">
        <v>24</v>
      </c>
      <c r="I318">
        <v>57</v>
      </c>
      <c r="J318">
        <v>98</v>
      </c>
      <c r="K318">
        <v>41</v>
      </c>
      <c r="L318">
        <v>0.71930000000000005</v>
      </c>
      <c r="M318" t="s">
        <v>3368</v>
      </c>
      <c r="N318">
        <v>318</v>
      </c>
    </row>
    <row r="319" spans="1:14" x14ac:dyDescent="0.25">
      <c r="A319" t="s">
        <v>2087</v>
      </c>
      <c r="B319">
        <v>315</v>
      </c>
      <c r="C319">
        <v>1315</v>
      </c>
      <c r="D319" s="1" t="s">
        <v>363</v>
      </c>
      <c r="G319" t="s">
        <v>24</v>
      </c>
      <c r="I319">
        <v>76</v>
      </c>
      <c r="J319">
        <v>100</v>
      </c>
      <c r="K319">
        <v>24</v>
      </c>
      <c r="L319">
        <v>0.31580000000000003</v>
      </c>
      <c r="M319" t="s">
        <v>3368</v>
      </c>
      <c r="N319">
        <v>319</v>
      </c>
    </row>
    <row r="320" spans="1:14" x14ac:dyDescent="0.25">
      <c r="A320" t="s">
        <v>2088</v>
      </c>
      <c r="B320">
        <v>316</v>
      </c>
      <c r="C320">
        <v>1316</v>
      </c>
      <c r="D320" s="1" t="s">
        <v>364</v>
      </c>
      <c r="G320" t="s">
        <v>24</v>
      </c>
      <c r="I320">
        <v>35</v>
      </c>
      <c r="J320">
        <v>65</v>
      </c>
      <c r="K320">
        <v>30</v>
      </c>
      <c r="L320">
        <v>0.85709999999999997</v>
      </c>
      <c r="M320" t="s">
        <v>3368</v>
      </c>
      <c r="N320">
        <v>320</v>
      </c>
    </row>
    <row r="321" spans="1:14" x14ac:dyDescent="0.25">
      <c r="A321" t="s">
        <v>2089</v>
      </c>
      <c r="B321">
        <v>317</v>
      </c>
      <c r="C321">
        <v>1317</v>
      </c>
      <c r="D321" s="1" t="s">
        <v>365</v>
      </c>
      <c r="G321" t="s">
        <v>24</v>
      </c>
      <c r="I321">
        <v>67</v>
      </c>
      <c r="J321">
        <v>100</v>
      </c>
      <c r="K321">
        <v>33</v>
      </c>
      <c r="L321">
        <v>0.49249999999999999</v>
      </c>
      <c r="M321" t="s">
        <v>3368</v>
      </c>
      <c r="N321">
        <v>321</v>
      </c>
    </row>
    <row r="322" spans="1:14" x14ac:dyDescent="0.25">
      <c r="A322" t="s">
        <v>2090</v>
      </c>
      <c r="B322">
        <v>318</v>
      </c>
      <c r="C322">
        <v>1318</v>
      </c>
      <c r="D322" s="1" t="s">
        <v>366</v>
      </c>
      <c r="G322" t="s">
        <v>24</v>
      </c>
      <c r="I322">
        <v>96</v>
      </c>
      <c r="J322">
        <v>40</v>
      </c>
      <c r="K322">
        <v>44</v>
      </c>
      <c r="L322">
        <v>0.45829999999999999</v>
      </c>
      <c r="M322" t="s">
        <v>3368</v>
      </c>
      <c r="N322">
        <v>322</v>
      </c>
    </row>
    <row r="323" spans="1:14" x14ac:dyDescent="0.25">
      <c r="A323" t="s">
        <v>2091</v>
      </c>
      <c r="B323">
        <v>319</v>
      </c>
      <c r="C323">
        <v>1319</v>
      </c>
      <c r="D323" s="1" t="s">
        <v>367</v>
      </c>
      <c r="G323" t="s">
        <v>24</v>
      </c>
      <c r="I323">
        <v>139</v>
      </c>
      <c r="J323">
        <v>160</v>
      </c>
      <c r="K323">
        <v>21</v>
      </c>
      <c r="L323">
        <v>0.15110000000000001</v>
      </c>
      <c r="M323" t="s">
        <v>3368</v>
      </c>
      <c r="N323">
        <v>323</v>
      </c>
    </row>
    <row r="324" spans="1:14" x14ac:dyDescent="0.25">
      <c r="A324" t="s">
        <v>2092</v>
      </c>
      <c r="B324">
        <v>320</v>
      </c>
      <c r="C324">
        <v>1320</v>
      </c>
      <c r="D324" s="1" t="s">
        <v>368</v>
      </c>
      <c r="G324" t="s">
        <v>24</v>
      </c>
      <c r="I324">
        <v>150</v>
      </c>
      <c r="J324">
        <v>170</v>
      </c>
      <c r="K324">
        <v>20</v>
      </c>
      <c r="L324">
        <v>0.1333</v>
      </c>
      <c r="M324" t="s">
        <v>3368</v>
      </c>
      <c r="N324">
        <v>324</v>
      </c>
    </row>
    <row r="325" spans="1:14" x14ac:dyDescent="0.25">
      <c r="A325" t="s">
        <v>2093</v>
      </c>
      <c r="B325">
        <v>321</v>
      </c>
      <c r="C325">
        <v>1321</v>
      </c>
      <c r="D325" s="1" t="s">
        <v>369</v>
      </c>
      <c r="G325" t="s">
        <v>24</v>
      </c>
      <c r="I325">
        <v>113</v>
      </c>
      <c r="J325">
        <v>145</v>
      </c>
      <c r="K325">
        <v>32</v>
      </c>
      <c r="L325">
        <v>0.28320000000000001</v>
      </c>
      <c r="M325" t="s">
        <v>3368</v>
      </c>
      <c r="N325">
        <v>325</v>
      </c>
    </row>
    <row r="326" spans="1:14" x14ac:dyDescent="0.25">
      <c r="A326" t="s">
        <v>2094</v>
      </c>
      <c r="B326">
        <v>322</v>
      </c>
      <c r="C326">
        <v>1322</v>
      </c>
      <c r="D326" s="1" t="s">
        <v>370</v>
      </c>
      <c r="G326" t="s">
        <v>24</v>
      </c>
      <c r="I326">
        <v>3.5</v>
      </c>
      <c r="J326">
        <v>6</v>
      </c>
      <c r="K326">
        <v>2.5</v>
      </c>
      <c r="L326">
        <v>0.71430000000000005</v>
      </c>
      <c r="M326" t="s">
        <v>3368</v>
      </c>
      <c r="N326">
        <v>326</v>
      </c>
    </row>
    <row r="327" spans="1:14" x14ac:dyDescent="0.25">
      <c r="A327" t="s">
        <v>2095</v>
      </c>
      <c r="B327">
        <v>323</v>
      </c>
      <c r="C327">
        <v>1323</v>
      </c>
      <c r="D327" s="1" t="s">
        <v>371</v>
      </c>
      <c r="G327" t="s">
        <v>24</v>
      </c>
      <c r="I327">
        <v>134.5</v>
      </c>
      <c r="J327">
        <v>185</v>
      </c>
      <c r="K327">
        <v>50.5</v>
      </c>
      <c r="L327">
        <v>0.3755</v>
      </c>
      <c r="M327" t="s">
        <v>3368</v>
      </c>
      <c r="N327">
        <v>327</v>
      </c>
    </row>
    <row r="328" spans="1:14" x14ac:dyDescent="0.25">
      <c r="A328" t="s">
        <v>2096</v>
      </c>
      <c r="B328">
        <v>324</v>
      </c>
      <c r="C328">
        <v>1324</v>
      </c>
      <c r="D328" s="1" t="s">
        <v>372</v>
      </c>
      <c r="G328" t="s">
        <v>24</v>
      </c>
      <c r="I328">
        <v>99</v>
      </c>
      <c r="J328">
        <v>150</v>
      </c>
      <c r="K328">
        <v>51</v>
      </c>
      <c r="L328">
        <v>0.51519999999999999</v>
      </c>
      <c r="M328" t="s">
        <v>3368</v>
      </c>
      <c r="N328">
        <v>328</v>
      </c>
    </row>
    <row r="329" spans="1:14" x14ac:dyDescent="0.25">
      <c r="A329" t="s">
        <v>2097</v>
      </c>
      <c r="B329">
        <v>325</v>
      </c>
      <c r="C329">
        <v>1325</v>
      </c>
      <c r="D329" s="1" t="s">
        <v>373</v>
      </c>
      <c r="G329" t="s">
        <v>24</v>
      </c>
      <c r="I329">
        <v>257.5</v>
      </c>
      <c r="J329">
        <v>310</v>
      </c>
      <c r="K329">
        <v>52.5</v>
      </c>
      <c r="L329">
        <v>0.2039</v>
      </c>
      <c r="M329" t="s">
        <v>3368</v>
      </c>
      <c r="N329">
        <v>329</v>
      </c>
    </row>
    <row r="330" spans="1:14" x14ac:dyDescent="0.25">
      <c r="A330" t="s">
        <v>2098</v>
      </c>
      <c r="B330">
        <v>326</v>
      </c>
      <c r="C330">
        <v>1326</v>
      </c>
      <c r="D330" s="1" t="s">
        <v>374</v>
      </c>
      <c r="G330" t="s">
        <v>24</v>
      </c>
      <c r="I330">
        <v>197</v>
      </c>
      <c r="J330">
        <v>295</v>
      </c>
      <c r="K330">
        <v>98</v>
      </c>
      <c r="L330">
        <v>0.4975</v>
      </c>
      <c r="M330" t="s">
        <v>3368</v>
      </c>
      <c r="N330">
        <v>330</v>
      </c>
    </row>
    <row r="331" spans="1:14" x14ac:dyDescent="0.25">
      <c r="A331" t="s">
        <v>2099</v>
      </c>
      <c r="B331">
        <v>327</v>
      </c>
      <c r="C331">
        <v>1327</v>
      </c>
      <c r="D331" s="1" t="s">
        <v>375</v>
      </c>
      <c r="G331" t="s">
        <v>24</v>
      </c>
      <c r="I331">
        <v>480</v>
      </c>
      <c r="J331">
        <v>695</v>
      </c>
      <c r="K331">
        <v>215</v>
      </c>
      <c r="L331">
        <v>0.44790000000000002</v>
      </c>
      <c r="M331" t="s">
        <v>3368</v>
      </c>
      <c r="N331">
        <v>331</v>
      </c>
    </row>
    <row r="332" spans="1:14" x14ac:dyDescent="0.25">
      <c r="A332" t="s">
        <v>2100</v>
      </c>
      <c r="B332">
        <v>328</v>
      </c>
      <c r="C332">
        <v>1328</v>
      </c>
      <c r="D332" s="1" t="s">
        <v>376</v>
      </c>
      <c r="G332" t="s">
        <v>24</v>
      </c>
      <c r="I332">
        <v>210</v>
      </c>
      <c r="J332">
        <v>265</v>
      </c>
      <c r="K332">
        <v>55</v>
      </c>
      <c r="L332">
        <v>0.26190000000000002</v>
      </c>
      <c r="M332" t="s">
        <v>3368</v>
      </c>
      <c r="N332">
        <v>332</v>
      </c>
    </row>
    <row r="333" spans="1:14" x14ac:dyDescent="0.25">
      <c r="A333" t="s">
        <v>2101</v>
      </c>
      <c r="B333">
        <v>329</v>
      </c>
      <c r="C333">
        <v>1329</v>
      </c>
      <c r="D333" s="1" t="s">
        <v>377</v>
      </c>
      <c r="E333" t="s">
        <v>378</v>
      </c>
      <c r="G333" t="s">
        <v>24</v>
      </c>
      <c r="I333">
        <v>330</v>
      </c>
      <c r="J333">
        <v>420</v>
      </c>
      <c r="K333">
        <v>90</v>
      </c>
      <c r="L333">
        <v>0.2727</v>
      </c>
      <c r="M333" t="s">
        <v>3368</v>
      </c>
      <c r="N333">
        <v>333</v>
      </c>
    </row>
    <row r="334" spans="1:14" x14ac:dyDescent="0.25">
      <c r="A334" t="s">
        <v>2102</v>
      </c>
      <c r="B334">
        <v>330</v>
      </c>
      <c r="C334">
        <v>1330</v>
      </c>
      <c r="D334" s="1" t="s">
        <v>379</v>
      </c>
      <c r="G334" t="s">
        <v>24</v>
      </c>
      <c r="I334">
        <v>60</v>
      </c>
      <c r="J334">
        <v>90</v>
      </c>
      <c r="K334">
        <v>30</v>
      </c>
      <c r="L334">
        <v>0.5</v>
      </c>
      <c r="M334" t="s">
        <v>3368</v>
      </c>
      <c r="N334">
        <v>334</v>
      </c>
    </row>
    <row r="335" spans="1:14" x14ac:dyDescent="0.25">
      <c r="A335" t="s">
        <v>2103</v>
      </c>
      <c r="B335">
        <v>331</v>
      </c>
      <c r="C335">
        <v>1331</v>
      </c>
      <c r="D335" s="1" t="s">
        <v>380</v>
      </c>
      <c r="G335" t="s">
        <v>24</v>
      </c>
      <c r="I335">
        <v>356</v>
      </c>
      <c r="J335">
        <v>420</v>
      </c>
      <c r="K335">
        <v>64</v>
      </c>
      <c r="L335">
        <v>0.17979999999999999</v>
      </c>
      <c r="M335" t="s">
        <v>3368</v>
      </c>
      <c r="N335">
        <v>335</v>
      </c>
    </row>
    <row r="336" spans="1:14" x14ac:dyDescent="0.25">
      <c r="A336" t="s">
        <v>2104</v>
      </c>
      <c r="B336">
        <v>332</v>
      </c>
      <c r="C336">
        <v>1332</v>
      </c>
      <c r="D336" s="1" t="s">
        <v>381</v>
      </c>
      <c r="G336" t="s">
        <v>24</v>
      </c>
      <c r="I336">
        <v>390</v>
      </c>
      <c r="J336">
        <v>490</v>
      </c>
      <c r="K336">
        <v>100</v>
      </c>
      <c r="L336">
        <v>0.25640000000000002</v>
      </c>
      <c r="M336" t="s">
        <v>3368</v>
      </c>
      <c r="N336">
        <v>336</v>
      </c>
    </row>
    <row r="337" spans="1:14" x14ac:dyDescent="0.25">
      <c r="A337" t="s">
        <v>2105</v>
      </c>
      <c r="B337">
        <v>333</v>
      </c>
      <c r="C337">
        <v>1333</v>
      </c>
      <c r="D337" s="1" t="s">
        <v>382</v>
      </c>
      <c r="G337" t="s">
        <v>55</v>
      </c>
      <c r="I337">
        <v>80</v>
      </c>
      <c r="J337">
        <v>110</v>
      </c>
      <c r="K337">
        <v>30</v>
      </c>
      <c r="L337">
        <v>0.375</v>
      </c>
      <c r="M337" t="s">
        <v>3368</v>
      </c>
      <c r="N337">
        <v>337</v>
      </c>
    </row>
    <row r="338" spans="1:14" x14ac:dyDescent="0.25">
      <c r="A338" t="s">
        <v>2106</v>
      </c>
      <c r="B338">
        <v>334</v>
      </c>
      <c r="C338">
        <v>1334</v>
      </c>
      <c r="D338" s="1" t="s">
        <v>383</v>
      </c>
      <c r="E338" t="s">
        <v>384</v>
      </c>
      <c r="G338" t="s">
        <v>24</v>
      </c>
      <c r="I338">
        <v>25</v>
      </c>
      <c r="J338">
        <v>50</v>
      </c>
      <c r="K338">
        <v>25</v>
      </c>
      <c r="L338">
        <v>1</v>
      </c>
      <c r="M338" t="s">
        <v>3368</v>
      </c>
      <c r="N338">
        <v>338</v>
      </c>
    </row>
    <row r="339" spans="1:14" x14ac:dyDescent="0.25">
      <c r="A339" t="s">
        <v>2107</v>
      </c>
      <c r="B339">
        <v>335</v>
      </c>
      <c r="C339">
        <v>1335</v>
      </c>
      <c r="D339" s="1" t="s">
        <v>385</v>
      </c>
      <c r="E339" t="s">
        <v>386</v>
      </c>
      <c r="G339" t="s">
        <v>24</v>
      </c>
      <c r="I339">
        <v>23</v>
      </c>
      <c r="J339">
        <v>45</v>
      </c>
      <c r="K339">
        <v>22</v>
      </c>
      <c r="L339">
        <v>0.95650000000000002</v>
      </c>
      <c r="M339" t="s">
        <v>3368</v>
      </c>
      <c r="N339">
        <v>339</v>
      </c>
    </row>
    <row r="340" spans="1:14" x14ac:dyDescent="0.25">
      <c r="A340" t="s">
        <v>2108</v>
      </c>
      <c r="B340">
        <v>336</v>
      </c>
      <c r="C340">
        <v>1336</v>
      </c>
      <c r="D340" s="1" t="s">
        <v>387</v>
      </c>
      <c r="E340" t="s">
        <v>388</v>
      </c>
      <c r="G340" t="s">
        <v>24</v>
      </c>
      <c r="I340">
        <v>10.4</v>
      </c>
      <c r="J340">
        <v>25</v>
      </c>
      <c r="K340">
        <v>14.6</v>
      </c>
      <c r="L340">
        <v>1.4037999999999999</v>
      </c>
      <c r="M340" t="s">
        <v>3368</v>
      </c>
      <c r="N340">
        <v>340</v>
      </c>
    </row>
    <row r="341" spans="1:14" x14ac:dyDescent="0.25">
      <c r="A341" t="s">
        <v>2109</v>
      </c>
      <c r="B341">
        <v>337</v>
      </c>
      <c r="C341">
        <v>1337</v>
      </c>
      <c r="D341" s="1" t="s">
        <v>389</v>
      </c>
      <c r="E341" t="s">
        <v>388</v>
      </c>
      <c r="G341" t="s">
        <v>24</v>
      </c>
      <c r="I341">
        <v>30.4</v>
      </c>
      <c r="J341">
        <v>65</v>
      </c>
      <c r="K341">
        <v>34.6</v>
      </c>
      <c r="L341">
        <v>1.1382000000000001</v>
      </c>
      <c r="M341" t="s">
        <v>3368</v>
      </c>
      <c r="N341">
        <v>341</v>
      </c>
    </row>
    <row r="342" spans="1:14" x14ac:dyDescent="0.25">
      <c r="A342" t="s">
        <v>2110</v>
      </c>
      <c r="B342">
        <v>338</v>
      </c>
      <c r="C342">
        <v>1338</v>
      </c>
      <c r="D342" s="1" t="s">
        <v>390</v>
      </c>
      <c r="E342" t="s">
        <v>388</v>
      </c>
      <c r="G342" t="s">
        <v>24</v>
      </c>
      <c r="I342">
        <v>23.2</v>
      </c>
      <c r="J342">
        <v>55</v>
      </c>
      <c r="K342">
        <v>31.8</v>
      </c>
      <c r="L342">
        <v>1.3707</v>
      </c>
      <c r="M342" t="s">
        <v>3368</v>
      </c>
      <c r="N342">
        <v>342</v>
      </c>
    </row>
    <row r="343" spans="1:14" x14ac:dyDescent="0.25">
      <c r="A343" t="s">
        <v>2111</v>
      </c>
      <c r="B343">
        <v>339</v>
      </c>
      <c r="C343">
        <v>1339</v>
      </c>
      <c r="D343" s="1" t="s">
        <v>391</v>
      </c>
      <c r="E343" t="s">
        <v>388</v>
      </c>
      <c r="G343" t="s">
        <v>24</v>
      </c>
      <c r="I343">
        <v>15.2</v>
      </c>
      <c r="J343">
        <v>35</v>
      </c>
      <c r="K343">
        <v>19.8</v>
      </c>
      <c r="L343">
        <v>1.3026</v>
      </c>
      <c r="M343" t="s">
        <v>3368</v>
      </c>
      <c r="N343">
        <v>343</v>
      </c>
    </row>
    <row r="344" spans="1:14" x14ac:dyDescent="0.25">
      <c r="A344" t="s">
        <v>2112</v>
      </c>
      <c r="B344">
        <v>340</v>
      </c>
      <c r="C344">
        <v>1340</v>
      </c>
      <c r="D344" s="1" t="s">
        <v>392</v>
      </c>
      <c r="G344" t="s">
        <v>24</v>
      </c>
      <c r="I344">
        <v>17</v>
      </c>
      <c r="J344">
        <v>45</v>
      </c>
      <c r="K344">
        <v>28</v>
      </c>
      <c r="L344">
        <v>1.6471</v>
      </c>
      <c r="M344" t="s">
        <v>3368</v>
      </c>
      <c r="N344">
        <v>344</v>
      </c>
    </row>
    <row r="345" spans="1:14" x14ac:dyDescent="0.25">
      <c r="A345" t="s">
        <v>2113</v>
      </c>
      <c r="B345">
        <v>341</v>
      </c>
      <c r="C345">
        <v>1341</v>
      </c>
      <c r="D345" s="1" t="s">
        <v>393</v>
      </c>
      <c r="G345" t="s">
        <v>24</v>
      </c>
      <c r="I345">
        <v>36</v>
      </c>
      <c r="J345">
        <v>85</v>
      </c>
      <c r="K345">
        <v>49</v>
      </c>
      <c r="L345">
        <v>1.3611</v>
      </c>
      <c r="M345" t="s">
        <v>3368</v>
      </c>
      <c r="N345">
        <v>345</v>
      </c>
    </row>
    <row r="346" spans="1:14" x14ac:dyDescent="0.25">
      <c r="A346" t="s">
        <v>2114</v>
      </c>
      <c r="B346">
        <v>342</v>
      </c>
      <c r="C346">
        <v>1342</v>
      </c>
      <c r="D346" s="1" t="s">
        <v>394</v>
      </c>
      <c r="G346" t="s">
        <v>24</v>
      </c>
      <c r="I346">
        <v>39</v>
      </c>
      <c r="J346">
        <v>110</v>
      </c>
      <c r="K346">
        <v>71</v>
      </c>
      <c r="L346">
        <v>1.8205</v>
      </c>
      <c r="M346" t="s">
        <v>3368</v>
      </c>
      <c r="N346">
        <v>346</v>
      </c>
    </row>
    <row r="347" spans="1:14" x14ac:dyDescent="0.25">
      <c r="A347" t="s">
        <v>2115</v>
      </c>
      <c r="B347">
        <v>343</v>
      </c>
      <c r="C347">
        <v>1343</v>
      </c>
      <c r="D347" s="1" t="s">
        <v>395</v>
      </c>
      <c r="G347" t="s">
        <v>24</v>
      </c>
      <c r="I347">
        <v>63</v>
      </c>
      <c r="J347">
        <v>95</v>
      </c>
      <c r="K347">
        <v>32</v>
      </c>
      <c r="L347">
        <v>0.50790000000000002</v>
      </c>
      <c r="M347" t="s">
        <v>3368</v>
      </c>
      <c r="N347">
        <v>347</v>
      </c>
    </row>
    <row r="348" spans="1:14" x14ac:dyDescent="0.25">
      <c r="A348" t="s">
        <v>2116</v>
      </c>
      <c r="B348">
        <v>344</v>
      </c>
      <c r="C348">
        <v>1344</v>
      </c>
      <c r="D348" s="1" t="s">
        <v>396</v>
      </c>
      <c r="G348" t="s">
        <v>24</v>
      </c>
      <c r="I348">
        <v>60</v>
      </c>
      <c r="J348">
        <v>90</v>
      </c>
      <c r="K348">
        <v>30</v>
      </c>
      <c r="L348">
        <v>0.5</v>
      </c>
      <c r="M348" t="s">
        <v>3368</v>
      </c>
      <c r="N348">
        <v>348</v>
      </c>
    </row>
    <row r="349" spans="1:14" x14ac:dyDescent="0.25">
      <c r="A349" t="s">
        <v>2117</v>
      </c>
      <c r="B349">
        <v>345</v>
      </c>
      <c r="C349">
        <v>1345</v>
      </c>
      <c r="D349" s="1" t="s">
        <v>397</v>
      </c>
      <c r="F349" t="s">
        <v>398</v>
      </c>
      <c r="G349" t="s">
        <v>24</v>
      </c>
      <c r="I349">
        <v>20</v>
      </c>
      <c r="J349">
        <v>30</v>
      </c>
      <c r="K349">
        <v>10</v>
      </c>
      <c r="L349">
        <v>0.5</v>
      </c>
      <c r="M349" t="s">
        <v>3368</v>
      </c>
      <c r="N349">
        <v>349</v>
      </c>
    </row>
    <row r="350" spans="1:14" x14ac:dyDescent="0.25">
      <c r="A350" t="s">
        <v>2118</v>
      </c>
      <c r="B350">
        <v>346</v>
      </c>
      <c r="C350">
        <v>1346</v>
      </c>
      <c r="D350" s="1" t="s">
        <v>399</v>
      </c>
      <c r="F350" t="s">
        <v>400</v>
      </c>
      <c r="G350" t="s">
        <v>24</v>
      </c>
      <c r="I350">
        <v>35</v>
      </c>
      <c r="J350">
        <v>65</v>
      </c>
      <c r="K350">
        <v>30</v>
      </c>
      <c r="L350">
        <v>0.85709999999999997</v>
      </c>
      <c r="M350" t="s">
        <v>3368</v>
      </c>
      <c r="N350">
        <v>350</v>
      </c>
    </row>
    <row r="351" spans="1:14" x14ac:dyDescent="0.25">
      <c r="A351" t="s">
        <v>2119</v>
      </c>
      <c r="B351">
        <v>347</v>
      </c>
      <c r="C351">
        <v>1347</v>
      </c>
      <c r="D351" s="1" t="s">
        <v>401</v>
      </c>
      <c r="F351" t="s">
        <v>398</v>
      </c>
      <c r="G351" t="s">
        <v>24</v>
      </c>
      <c r="I351">
        <v>27</v>
      </c>
      <c r="J351">
        <v>45</v>
      </c>
      <c r="K351">
        <v>18</v>
      </c>
      <c r="L351">
        <v>0.66669999999999996</v>
      </c>
      <c r="M351" t="s">
        <v>3368</v>
      </c>
      <c r="N351">
        <v>351</v>
      </c>
    </row>
    <row r="352" spans="1:14" x14ac:dyDescent="0.25">
      <c r="A352" t="s">
        <v>2120</v>
      </c>
      <c r="B352">
        <v>348</v>
      </c>
      <c r="C352">
        <v>1348</v>
      </c>
      <c r="D352" s="1" t="s">
        <v>402</v>
      </c>
      <c r="E352" t="s">
        <v>403</v>
      </c>
      <c r="G352" t="s">
        <v>24</v>
      </c>
      <c r="I352">
        <v>50</v>
      </c>
      <c r="J352">
        <v>80</v>
      </c>
      <c r="K352">
        <v>30</v>
      </c>
      <c r="L352">
        <v>0.6</v>
      </c>
      <c r="M352" t="s">
        <v>3368</v>
      </c>
      <c r="N352">
        <v>352</v>
      </c>
    </row>
    <row r="353" spans="1:14" x14ac:dyDescent="0.25">
      <c r="A353" t="s">
        <v>2121</v>
      </c>
      <c r="B353">
        <v>349</v>
      </c>
      <c r="C353">
        <v>1349</v>
      </c>
      <c r="D353" s="1" t="s">
        <v>404</v>
      </c>
      <c r="F353" t="s">
        <v>400</v>
      </c>
      <c r="G353" t="s">
        <v>24</v>
      </c>
      <c r="I353">
        <v>32</v>
      </c>
      <c r="J353">
        <v>50</v>
      </c>
      <c r="K353">
        <v>18</v>
      </c>
      <c r="L353">
        <v>0.5625</v>
      </c>
      <c r="M353" t="s">
        <v>3368</v>
      </c>
      <c r="N353">
        <v>353</v>
      </c>
    </row>
    <row r="354" spans="1:14" x14ac:dyDescent="0.25">
      <c r="A354" t="s">
        <v>2122</v>
      </c>
      <c r="B354">
        <v>350</v>
      </c>
      <c r="C354">
        <v>1350</v>
      </c>
      <c r="D354" s="1" t="s">
        <v>405</v>
      </c>
      <c r="F354" t="s">
        <v>400</v>
      </c>
      <c r="G354" t="s">
        <v>24</v>
      </c>
      <c r="I354">
        <v>29</v>
      </c>
      <c r="J354">
        <v>50</v>
      </c>
      <c r="K354">
        <v>21</v>
      </c>
      <c r="L354">
        <v>0.72409999999999997</v>
      </c>
      <c r="M354" t="s">
        <v>3368</v>
      </c>
      <c r="N354">
        <v>354</v>
      </c>
    </row>
    <row r="355" spans="1:14" x14ac:dyDescent="0.25">
      <c r="A355" t="s">
        <v>2123</v>
      </c>
      <c r="B355">
        <v>351</v>
      </c>
      <c r="C355">
        <v>1351</v>
      </c>
      <c r="D355" s="1" t="s">
        <v>406</v>
      </c>
      <c r="G355" t="s">
        <v>24</v>
      </c>
      <c r="I355">
        <v>18</v>
      </c>
      <c r="J355">
        <v>30</v>
      </c>
      <c r="K355">
        <v>12</v>
      </c>
      <c r="L355">
        <v>0.66669999999999996</v>
      </c>
      <c r="M355" t="s">
        <v>3368</v>
      </c>
      <c r="N355">
        <v>355</v>
      </c>
    </row>
    <row r="356" spans="1:14" x14ac:dyDescent="0.25">
      <c r="A356" t="s">
        <v>2124</v>
      </c>
      <c r="B356">
        <v>352</v>
      </c>
      <c r="C356">
        <v>1352</v>
      </c>
      <c r="D356" s="1" t="s">
        <v>407</v>
      </c>
      <c r="G356" t="s">
        <v>24</v>
      </c>
      <c r="I356">
        <v>13</v>
      </c>
      <c r="J356">
        <v>25</v>
      </c>
      <c r="K356">
        <v>12</v>
      </c>
      <c r="L356">
        <v>0.92310000000000003</v>
      </c>
      <c r="M356" t="s">
        <v>3368</v>
      </c>
      <c r="N356">
        <v>356</v>
      </c>
    </row>
    <row r="357" spans="1:14" x14ac:dyDescent="0.25">
      <c r="A357" t="s">
        <v>2125</v>
      </c>
      <c r="B357">
        <v>353</v>
      </c>
      <c r="C357">
        <v>1353</v>
      </c>
      <c r="D357" s="1" t="s">
        <v>408</v>
      </c>
      <c r="G357" t="s">
        <v>24</v>
      </c>
      <c r="I357">
        <v>45</v>
      </c>
      <c r="J357">
        <v>70</v>
      </c>
      <c r="K357">
        <v>25</v>
      </c>
      <c r="L357">
        <v>0.55559999999999998</v>
      </c>
      <c r="M357" t="s">
        <v>3368</v>
      </c>
      <c r="N357">
        <v>357</v>
      </c>
    </row>
    <row r="358" spans="1:14" x14ac:dyDescent="0.25">
      <c r="A358" t="s">
        <v>2126</v>
      </c>
      <c r="B358">
        <v>354</v>
      </c>
      <c r="C358">
        <v>1354</v>
      </c>
      <c r="D358" s="1" t="s">
        <v>409</v>
      </c>
      <c r="E358" t="s">
        <v>410</v>
      </c>
      <c r="G358" t="s">
        <v>24</v>
      </c>
      <c r="I358">
        <v>81</v>
      </c>
      <c r="J358">
        <v>140</v>
      </c>
      <c r="K358">
        <v>59</v>
      </c>
      <c r="L358">
        <v>0.72840000000000005</v>
      </c>
      <c r="M358" t="s">
        <v>3368</v>
      </c>
      <c r="N358">
        <v>358</v>
      </c>
    </row>
    <row r="359" spans="1:14" x14ac:dyDescent="0.25">
      <c r="A359" t="s">
        <v>2127</v>
      </c>
      <c r="B359">
        <v>355</v>
      </c>
      <c r="C359">
        <v>1355</v>
      </c>
      <c r="D359" s="1" t="s">
        <v>411</v>
      </c>
      <c r="E359" t="s">
        <v>412</v>
      </c>
      <c r="G359" t="s">
        <v>24</v>
      </c>
      <c r="I359">
        <v>85</v>
      </c>
      <c r="J359">
        <v>140</v>
      </c>
      <c r="K359">
        <v>55</v>
      </c>
      <c r="L359">
        <v>0.64710000000000001</v>
      </c>
      <c r="M359" t="s">
        <v>3368</v>
      </c>
      <c r="N359">
        <v>359</v>
      </c>
    </row>
    <row r="360" spans="1:14" x14ac:dyDescent="0.25">
      <c r="A360" t="s">
        <v>2128</v>
      </c>
      <c r="B360">
        <v>356</v>
      </c>
      <c r="C360">
        <v>1356</v>
      </c>
      <c r="D360" s="1" t="s">
        <v>413</v>
      </c>
      <c r="E360" t="s">
        <v>414</v>
      </c>
      <c r="G360" t="s">
        <v>24</v>
      </c>
      <c r="I360">
        <v>90</v>
      </c>
      <c r="J360">
        <v>150</v>
      </c>
      <c r="K360">
        <v>60</v>
      </c>
      <c r="L360">
        <v>0.66669999999999996</v>
      </c>
      <c r="M360" t="s">
        <v>3368</v>
      </c>
      <c r="N360">
        <v>360</v>
      </c>
    </row>
    <row r="361" spans="1:14" x14ac:dyDescent="0.25">
      <c r="A361" t="s">
        <v>2129</v>
      </c>
      <c r="B361">
        <v>357</v>
      </c>
      <c r="C361">
        <v>1357</v>
      </c>
      <c r="D361" s="1" t="s">
        <v>415</v>
      </c>
      <c r="E361" t="s">
        <v>414</v>
      </c>
      <c r="G361" t="s">
        <v>24</v>
      </c>
      <c r="I361">
        <v>90</v>
      </c>
      <c r="J361">
        <v>150</v>
      </c>
      <c r="K361">
        <v>60</v>
      </c>
      <c r="L361">
        <v>0.66669999999999996</v>
      </c>
      <c r="M361" t="s">
        <v>3368</v>
      </c>
      <c r="N361">
        <v>361</v>
      </c>
    </row>
    <row r="362" spans="1:14" x14ac:dyDescent="0.25">
      <c r="A362" t="s">
        <v>2130</v>
      </c>
      <c r="B362">
        <v>358</v>
      </c>
      <c r="C362">
        <v>1358</v>
      </c>
      <c r="D362" s="1" t="s">
        <v>416</v>
      </c>
      <c r="G362" t="s">
        <v>24</v>
      </c>
      <c r="I362">
        <v>75</v>
      </c>
      <c r="J362">
        <v>130</v>
      </c>
      <c r="K362">
        <v>55</v>
      </c>
      <c r="L362">
        <v>0.73329999999999995</v>
      </c>
      <c r="M362" t="s">
        <v>3368</v>
      </c>
      <c r="N362">
        <v>362</v>
      </c>
    </row>
    <row r="363" spans="1:14" x14ac:dyDescent="0.25">
      <c r="A363" t="s">
        <v>2131</v>
      </c>
      <c r="B363">
        <v>359</v>
      </c>
      <c r="C363">
        <v>1359</v>
      </c>
      <c r="D363" s="1" t="s">
        <v>417</v>
      </c>
      <c r="E363" t="s">
        <v>418</v>
      </c>
      <c r="G363" t="s">
        <v>24</v>
      </c>
      <c r="I363">
        <v>40</v>
      </c>
      <c r="J363">
        <v>80</v>
      </c>
      <c r="K363">
        <v>40</v>
      </c>
      <c r="L363">
        <v>1</v>
      </c>
      <c r="M363" t="s">
        <v>3368</v>
      </c>
      <c r="N363">
        <v>363</v>
      </c>
    </row>
    <row r="364" spans="1:14" x14ac:dyDescent="0.25">
      <c r="A364" t="s">
        <v>2132</v>
      </c>
      <c r="B364">
        <v>360</v>
      </c>
      <c r="C364">
        <v>1360</v>
      </c>
      <c r="D364" s="1" t="s">
        <v>419</v>
      </c>
      <c r="E364" t="s">
        <v>410</v>
      </c>
      <c r="G364" t="s">
        <v>24</v>
      </c>
      <c r="I364">
        <v>70</v>
      </c>
      <c r="J364">
        <v>110</v>
      </c>
      <c r="K364">
        <v>40</v>
      </c>
      <c r="L364">
        <v>0.57140000000000002</v>
      </c>
      <c r="M364" t="s">
        <v>3368</v>
      </c>
      <c r="N364">
        <v>364</v>
      </c>
    </row>
    <row r="365" spans="1:14" x14ac:dyDescent="0.25">
      <c r="A365" t="s">
        <v>2133</v>
      </c>
      <c r="B365">
        <v>361</v>
      </c>
      <c r="C365">
        <v>1361</v>
      </c>
      <c r="D365" s="1" t="s">
        <v>420</v>
      </c>
      <c r="E365" t="s">
        <v>421</v>
      </c>
      <c r="G365" t="s">
        <v>24</v>
      </c>
      <c r="I365">
        <v>80</v>
      </c>
      <c r="J365">
        <v>120</v>
      </c>
      <c r="K365">
        <v>40</v>
      </c>
      <c r="L365">
        <v>0.5</v>
      </c>
      <c r="M365" t="s">
        <v>3368</v>
      </c>
      <c r="N365">
        <v>365</v>
      </c>
    </row>
    <row r="366" spans="1:14" x14ac:dyDescent="0.25">
      <c r="A366" t="s">
        <v>2134</v>
      </c>
      <c r="B366">
        <v>362</v>
      </c>
      <c r="C366">
        <v>1362</v>
      </c>
      <c r="D366" s="1" t="s">
        <v>422</v>
      </c>
      <c r="E366" t="s">
        <v>421</v>
      </c>
      <c r="G366" t="s">
        <v>24</v>
      </c>
      <c r="I366">
        <v>15</v>
      </c>
      <c r="J366">
        <v>30</v>
      </c>
      <c r="K366">
        <v>15</v>
      </c>
      <c r="L366">
        <v>1</v>
      </c>
      <c r="M366" t="s">
        <v>3368</v>
      </c>
      <c r="N366">
        <v>366</v>
      </c>
    </row>
    <row r="367" spans="1:14" x14ac:dyDescent="0.25">
      <c r="A367" t="s">
        <v>2135</v>
      </c>
      <c r="B367">
        <v>363</v>
      </c>
      <c r="C367">
        <v>1363</v>
      </c>
      <c r="D367" s="1" t="s">
        <v>423</v>
      </c>
      <c r="E367" t="s">
        <v>421</v>
      </c>
      <c r="G367" t="s">
        <v>24</v>
      </c>
      <c r="I367">
        <v>20</v>
      </c>
      <c r="J367">
        <v>40</v>
      </c>
      <c r="K367">
        <v>20</v>
      </c>
      <c r="L367">
        <v>1</v>
      </c>
      <c r="M367" t="s">
        <v>3368</v>
      </c>
      <c r="N367">
        <v>367</v>
      </c>
    </row>
    <row r="368" spans="1:14" x14ac:dyDescent="0.25">
      <c r="A368" t="s">
        <v>2136</v>
      </c>
      <c r="B368">
        <v>364</v>
      </c>
      <c r="C368">
        <v>1364</v>
      </c>
      <c r="D368" s="1" t="s">
        <v>424</v>
      </c>
      <c r="G368" t="s">
        <v>24</v>
      </c>
      <c r="I368">
        <v>20</v>
      </c>
      <c r="J368">
        <v>55</v>
      </c>
      <c r="K368">
        <v>35</v>
      </c>
      <c r="L368">
        <v>1.75</v>
      </c>
      <c r="M368" t="s">
        <v>3368</v>
      </c>
      <c r="N368">
        <v>368</v>
      </c>
    </row>
    <row r="369" spans="1:14" x14ac:dyDescent="0.25">
      <c r="A369" t="s">
        <v>2137</v>
      </c>
      <c r="B369">
        <v>365</v>
      </c>
      <c r="C369">
        <v>1365</v>
      </c>
      <c r="D369" s="1" t="s">
        <v>425</v>
      </c>
      <c r="G369" t="s">
        <v>24</v>
      </c>
      <c r="I369">
        <v>28</v>
      </c>
      <c r="J369">
        <v>45</v>
      </c>
      <c r="K369">
        <v>17</v>
      </c>
      <c r="L369">
        <v>0.60709999999999997</v>
      </c>
      <c r="M369" t="s">
        <v>3368</v>
      </c>
      <c r="N369">
        <v>369</v>
      </c>
    </row>
    <row r="370" spans="1:14" x14ac:dyDescent="0.25">
      <c r="A370" t="s">
        <v>2138</v>
      </c>
      <c r="B370">
        <v>366</v>
      </c>
      <c r="C370">
        <v>1366</v>
      </c>
      <c r="D370" s="1" t="s">
        <v>426</v>
      </c>
      <c r="E370" t="s">
        <v>427</v>
      </c>
      <c r="G370" t="s">
        <v>24</v>
      </c>
      <c r="I370">
        <v>95</v>
      </c>
      <c r="J370">
        <v>125</v>
      </c>
      <c r="K370">
        <v>30</v>
      </c>
      <c r="L370">
        <v>0.31580000000000003</v>
      </c>
      <c r="M370" t="s">
        <v>3368</v>
      </c>
      <c r="N370">
        <v>370</v>
      </c>
    </row>
    <row r="371" spans="1:14" x14ac:dyDescent="0.25">
      <c r="A371" t="s">
        <v>2139</v>
      </c>
      <c r="B371">
        <v>367</v>
      </c>
      <c r="C371">
        <v>1367</v>
      </c>
      <c r="D371" s="1" t="s">
        <v>428</v>
      </c>
      <c r="E371" t="s">
        <v>427</v>
      </c>
      <c r="G371" t="s">
        <v>24</v>
      </c>
      <c r="I371">
        <v>95</v>
      </c>
      <c r="J371">
        <v>125</v>
      </c>
      <c r="K371">
        <v>30</v>
      </c>
      <c r="L371">
        <v>0.31580000000000003</v>
      </c>
      <c r="M371" t="s">
        <v>3368</v>
      </c>
      <c r="N371">
        <v>371</v>
      </c>
    </row>
    <row r="372" spans="1:14" x14ac:dyDescent="0.25">
      <c r="A372" t="s">
        <v>2140</v>
      </c>
      <c r="B372">
        <v>368</v>
      </c>
      <c r="C372">
        <v>1368</v>
      </c>
      <c r="D372" s="1" t="s">
        <v>429</v>
      </c>
      <c r="E372" t="s">
        <v>427</v>
      </c>
      <c r="G372" t="s">
        <v>24</v>
      </c>
      <c r="I372">
        <v>95</v>
      </c>
      <c r="J372">
        <v>125</v>
      </c>
      <c r="K372">
        <v>30</v>
      </c>
      <c r="L372">
        <v>0.31580000000000003</v>
      </c>
      <c r="M372" t="s">
        <v>3368</v>
      </c>
      <c r="N372">
        <v>372</v>
      </c>
    </row>
    <row r="373" spans="1:14" x14ac:dyDescent="0.25">
      <c r="A373" t="s">
        <v>2141</v>
      </c>
      <c r="B373">
        <v>369</v>
      </c>
      <c r="C373">
        <v>1369</v>
      </c>
      <c r="D373" s="1" t="s">
        <v>430</v>
      </c>
      <c r="E373" t="s">
        <v>427</v>
      </c>
      <c r="G373" t="s">
        <v>24</v>
      </c>
      <c r="I373">
        <v>95</v>
      </c>
      <c r="J373">
        <v>125</v>
      </c>
      <c r="K373">
        <v>30</v>
      </c>
      <c r="L373">
        <v>0.31580000000000003</v>
      </c>
      <c r="M373" t="s">
        <v>3368</v>
      </c>
      <c r="N373">
        <v>373</v>
      </c>
    </row>
    <row r="374" spans="1:14" x14ac:dyDescent="0.25">
      <c r="A374" t="s">
        <v>2142</v>
      </c>
      <c r="B374">
        <v>370</v>
      </c>
      <c r="C374">
        <v>1370</v>
      </c>
      <c r="D374" s="1" t="s">
        <v>431</v>
      </c>
      <c r="E374" t="s">
        <v>427</v>
      </c>
      <c r="G374" t="s">
        <v>24</v>
      </c>
      <c r="I374">
        <v>95</v>
      </c>
      <c r="J374">
        <v>125</v>
      </c>
      <c r="K374">
        <v>30</v>
      </c>
      <c r="L374">
        <v>0.31580000000000003</v>
      </c>
      <c r="M374" t="s">
        <v>3368</v>
      </c>
      <c r="N374">
        <v>374</v>
      </c>
    </row>
    <row r="375" spans="1:14" x14ac:dyDescent="0.25">
      <c r="A375" t="s">
        <v>2143</v>
      </c>
      <c r="B375">
        <v>371</v>
      </c>
      <c r="C375">
        <v>1371</v>
      </c>
      <c r="D375" s="1" t="s">
        <v>432</v>
      </c>
      <c r="E375" t="s">
        <v>427</v>
      </c>
      <c r="G375" t="s">
        <v>24</v>
      </c>
      <c r="I375">
        <v>95</v>
      </c>
      <c r="J375">
        <v>125</v>
      </c>
      <c r="K375">
        <v>30</v>
      </c>
      <c r="L375">
        <v>0.31580000000000003</v>
      </c>
      <c r="M375" t="s">
        <v>3368</v>
      </c>
      <c r="N375">
        <v>375</v>
      </c>
    </row>
    <row r="376" spans="1:14" x14ac:dyDescent="0.25">
      <c r="A376" t="s">
        <v>2144</v>
      </c>
      <c r="B376">
        <v>372</v>
      </c>
      <c r="C376">
        <v>1372</v>
      </c>
      <c r="D376" s="1" t="s">
        <v>433</v>
      </c>
      <c r="E376" t="s">
        <v>427</v>
      </c>
      <c r="G376" t="s">
        <v>24</v>
      </c>
      <c r="I376">
        <v>95</v>
      </c>
      <c r="J376">
        <v>125</v>
      </c>
      <c r="K376">
        <v>30</v>
      </c>
      <c r="L376">
        <v>0.31580000000000003</v>
      </c>
      <c r="M376" t="s">
        <v>3368</v>
      </c>
      <c r="N376">
        <v>376</v>
      </c>
    </row>
    <row r="377" spans="1:14" x14ac:dyDescent="0.25">
      <c r="A377" t="s">
        <v>2145</v>
      </c>
      <c r="B377">
        <v>373</v>
      </c>
      <c r="C377">
        <v>1373</v>
      </c>
      <c r="D377" s="1" t="s">
        <v>434</v>
      </c>
      <c r="G377" t="s">
        <v>24</v>
      </c>
      <c r="I377">
        <v>50.54</v>
      </c>
      <c r="J377">
        <v>85</v>
      </c>
      <c r="K377">
        <v>34.46</v>
      </c>
      <c r="L377">
        <v>0.68179999999999996</v>
      </c>
      <c r="M377" t="s">
        <v>3368</v>
      </c>
      <c r="N377">
        <v>377</v>
      </c>
    </row>
    <row r="378" spans="1:14" x14ac:dyDescent="0.25">
      <c r="A378" t="s">
        <v>2146</v>
      </c>
      <c r="B378">
        <v>374</v>
      </c>
      <c r="C378">
        <v>1374</v>
      </c>
      <c r="D378" s="1" t="s">
        <v>435</v>
      </c>
      <c r="G378" t="s">
        <v>24</v>
      </c>
      <c r="I378">
        <v>108</v>
      </c>
      <c r="J378">
        <v>135</v>
      </c>
      <c r="K378">
        <v>27</v>
      </c>
      <c r="L378">
        <v>0.25</v>
      </c>
      <c r="M378" t="s">
        <v>3368</v>
      </c>
      <c r="N378">
        <v>378</v>
      </c>
    </row>
    <row r="379" spans="1:14" x14ac:dyDescent="0.25">
      <c r="A379" t="s">
        <v>2147</v>
      </c>
      <c r="B379">
        <v>375</v>
      </c>
      <c r="C379">
        <v>1375</v>
      </c>
      <c r="D379" s="1" t="s">
        <v>436</v>
      </c>
      <c r="E379" t="s">
        <v>70</v>
      </c>
      <c r="G379" t="s">
        <v>24</v>
      </c>
      <c r="I379">
        <v>252</v>
      </c>
      <c r="J379">
        <v>325</v>
      </c>
      <c r="K379">
        <v>73</v>
      </c>
      <c r="L379">
        <v>0.28970000000000001</v>
      </c>
      <c r="M379" t="s">
        <v>3368</v>
      </c>
      <c r="N379">
        <v>379</v>
      </c>
    </row>
    <row r="380" spans="1:14" x14ac:dyDescent="0.25">
      <c r="A380" t="s">
        <v>2148</v>
      </c>
      <c r="B380">
        <v>376</v>
      </c>
      <c r="C380">
        <v>1376</v>
      </c>
      <c r="D380" s="1" t="s">
        <v>437</v>
      </c>
      <c r="E380" t="s">
        <v>76</v>
      </c>
      <c r="G380" t="s">
        <v>24</v>
      </c>
      <c r="I380">
        <v>360</v>
      </c>
      <c r="J380">
        <v>440</v>
      </c>
      <c r="K380">
        <v>80</v>
      </c>
      <c r="L380">
        <v>0.22220000000000001</v>
      </c>
      <c r="M380" t="s">
        <v>3368</v>
      </c>
      <c r="N380">
        <v>380</v>
      </c>
    </row>
    <row r="381" spans="1:14" x14ac:dyDescent="0.25">
      <c r="A381" t="s">
        <v>2149</v>
      </c>
      <c r="B381">
        <v>377</v>
      </c>
      <c r="C381">
        <v>1377</v>
      </c>
      <c r="D381" s="1" t="s">
        <v>438</v>
      </c>
      <c r="E381" t="s">
        <v>70</v>
      </c>
      <c r="G381" t="s">
        <v>24</v>
      </c>
      <c r="I381">
        <v>252</v>
      </c>
      <c r="J381">
        <v>325</v>
      </c>
      <c r="K381">
        <v>73</v>
      </c>
      <c r="L381">
        <v>0.28970000000000001</v>
      </c>
      <c r="M381" t="s">
        <v>3368</v>
      </c>
      <c r="N381">
        <v>381</v>
      </c>
    </row>
    <row r="382" spans="1:14" x14ac:dyDescent="0.25">
      <c r="A382" t="s">
        <v>2150</v>
      </c>
      <c r="B382">
        <v>378</v>
      </c>
      <c r="C382">
        <v>1378</v>
      </c>
      <c r="D382" s="1" t="s">
        <v>439</v>
      </c>
      <c r="E382" t="s">
        <v>440</v>
      </c>
      <c r="G382" t="s">
        <v>24</v>
      </c>
      <c r="I382">
        <v>210</v>
      </c>
      <c r="J382">
        <v>260</v>
      </c>
      <c r="K382">
        <v>50</v>
      </c>
      <c r="L382">
        <v>0.23810000000000001</v>
      </c>
      <c r="M382" t="s">
        <v>3368</v>
      </c>
      <c r="N382">
        <v>382</v>
      </c>
    </row>
    <row r="383" spans="1:14" x14ac:dyDescent="0.25">
      <c r="A383" t="s">
        <v>2151</v>
      </c>
      <c r="B383">
        <v>379</v>
      </c>
      <c r="C383">
        <v>1379</v>
      </c>
      <c r="D383" s="1" t="s">
        <v>441</v>
      </c>
      <c r="E383" t="s">
        <v>90</v>
      </c>
      <c r="G383" t="s">
        <v>24</v>
      </c>
      <c r="I383">
        <v>588</v>
      </c>
      <c r="J383">
        <v>790</v>
      </c>
      <c r="K383">
        <v>202</v>
      </c>
      <c r="L383">
        <v>0.34350000000000003</v>
      </c>
      <c r="M383" t="s">
        <v>3368</v>
      </c>
      <c r="N383">
        <v>383</v>
      </c>
    </row>
    <row r="384" spans="1:14" x14ac:dyDescent="0.25">
      <c r="A384" t="s">
        <v>2152</v>
      </c>
      <c r="B384">
        <v>380</v>
      </c>
      <c r="C384">
        <v>1380</v>
      </c>
      <c r="D384" s="1" t="s">
        <v>442</v>
      </c>
      <c r="E384" t="s">
        <v>90</v>
      </c>
      <c r="G384" t="s">
        <v>24</v>
      </c>
      <c r="I384">
        <v>537</v>
      </c>
      <c r="J384">
        <v>685</v>
      </c>
      <c r="K384">
        <v>148</v>
      </c>
      <c r="L384">
        <v>0.27560000000000001</v>
      </c>
      <c r="M384" t="s">
        <v>3368</v>
      </c>
      <c r="N384">
        <v>384</v>
      </c>
    </row>
    <row r="385" spans="1:14" x14ac:dyDescent="0.25">
      <c r="A385" t="s">
        <v>2153</v>
      </c>
      <c r="B385">
        <v>381</v>
      </c>
      <c r="C385">
        <v>1381</v>
      </c>
      <c r="D385" s="1" t="s">
        <v>443</v>
      </c>
      <c r="E385" t="s">
        <v>90</v>
      </c>
      <c r="G385" t="s">
        <v>24</v>
      </c>
      <c r="I385">
        <v>650</v>
      </c>
      <c r="J385">
        <v>860</v>
      </c>
      <c r="K385">
        <v>210</v>
      </c>
      <c r="L385">
        <v>0.3231</v>
      </c>
      <c r="M385" t="s">
        <v>3368</v>
      </c>
      <c r="N385">
        <v>385</v>
      </c>
    </row>
    <row r="386" spans="1:14" x14ac:dyDescent="0.25">
      <c r="A386" t="s">
        <v>2154</v>
      </c>
      <c r="B386">
        <v>382</v>
      </c>
      <c r="C386">
        <v>1382</v>
      </c>
      <c r="D386" s="1" t="s">
        <v>444</v>
      </c>
      <c r="E386" t="s">
        <v>90</v>
      </c>
      <c r="G386" t="s">
        <v>24</v>
      </c>
      <c r="I386">
        <v>160</v>
      </c>
      <c r="J386">
        <v>195</v>
      </c>
      <c r="K386">
        <v>35</v>
      </c>
      <c r="L386">
        <v>0.21879999999999999</v>
      </c>
      <c r="M386" t="s">
        <v>3368</v>
      </c>
      <c r="N386">
        <v>386</v>
      </c>
    </row>
    <row r="387" spans="1:14" x14ac:dyDescent="0.25">
      <c r="A387" t="s">
        <v>2155</v>
      </c>
      <c r="B387">
        <v>383</v>
      </c>
      <c r="C387">
        <v>1383</v>
      </c>
      <c r="D387" s="1" t="s">
        <v>445</v>
      </c>
      <c r="E387" t="s">
        <v>90</v>
      </c>
      <c r="G387" t="s">
        <v>24</v>
      </c>
      <c r="I387">
        <v>174</v>
      </c>
      <c r="J387">
        <v>225</v>
      </c>
      <c r="K387">
        <v>51</v>
      </c>
      <c r="L387">
        <v>0.29310000000000003</v>
      </c>
      <c r="M387" t="s">
        <v>3368</v>
      </c>
      <c r="N387">
        <v>387</v>
      </c>
    </row>
    <row r="388" spans="1:14" x14ac:dyDescent="0.25">
      <c r="A388" t="s">
        <v>2156</v>
      </c>
      <c r="B388">
        <v>384</v>
      </c>
      <c r="C388">
        <v>1384</v>
      </c>
      <c r="D388" s="1" t="s">
        <v>446</v>
      </c>
      <c r="G388" t="s">
        <v>24</v>
      </c>
      <c r="I388">
        <v>25</v>
      </c>
      <c r="J388">
        <v>48</v>
      </c>
      <c r="K388">
        <v>23</v>
      </c>
      <c r="L388">
        <v>0.92</v>
      </c>
      <c r="M388" t="s">
        <v>3368</v>
      </c>
      <c r="N388">
        <v>388</v>
      </c>
    </row>
    <row r="389" spans="1:14" x14ac:dyDescent="0.25">
      <c r="A389" t="s">
        <v>2157</v>
      </c>
      <c r="B389">
        <v>385</v>
      </c>
      <c r="C389">
        <v>1385</v>
      </c>
      <c r="D389" s="1" t="s">
        <v>447</v>
      </c>
      <c r="G389" t="s">
        <v>24</v>
      </c>
      <c r="I389">
        <v>13</v>
      </c>
      <c r="J389">
        <v>20</v>
      </c>
      <c r="K389">
        <v>7</v>
      </c>
      <c r="L389">
        <v>0.53849999999999998</v>
      </c>
      <c r="M389" t="s">
        <v>3368</v>
      </c>
      <c r="N389">
        <v>389</v>
      </c>
    </row>
    <row r="390" spans="1:14" x14ac:dyDescent="0.25">
      <c r="A390" t="s">
        <v>2158</v>
      </c>
      <c r="B390">
        <v>386</v>
      </c>
      <c r="C390">
        <v>1386</v>
      </c>
      <c r="D390" s="1" t="s">
        <v>448</v>
      </c>
      <c r="G390" t="s">
        <v>24</v>
      </c>
      <c r="I390">
        <v>48</v>
      </c>
      <c r="J390">
        <v>75</v>
      </c>
      <c r="K390">
        <v>27</v>
      </c>
      <c r="L390">
        <v>0.5625</v>
      </c>
      <c r="M390" t="s">
        <v>3368</v>
      </c>
      <c r="N390">
        <v>390</v>
      </c>
    </row>
    <row r="391" spans="1:14" x14ac:dyDescent="0.25">
      <c r="A391" t="s">
        <v>2159</v>
      </c>
      <c r="B391">
        <v>387</v>
      </c>
      <c r="C391">
        <v>1387</v>
      </c>
      <c r="D391" s="1" t="s">
        <v>449</v>
      </c>
      <c r="G391" t="s">
        <v>24</v>
      </c>
      <c r="I391">
        <v>26</v>
      </c>
      <c r="J391">
        <v>80</v>
      </c>
      <c r="K391">
        <v>54</v>
      </c>
      <c r="L391">
        <v>2.0769000000000002</v>
      </c>
      <c r="M391" t="s">
        <v>3368</v>
      </c>
      <c r="N391">
        <v>391</v>
      </c>
    </row>
    <row r="392" spans="1:14" x14ac:dyDescent="0.25">
      <c r="A392" t="s">
        <v>2160</v>
      </c>
      <c r="B392">
        <v>388</v>
      </c>
      <c r="C392">
        <v>1388</v>
      </c>
      <c r="D392" s="1" t="s">
        <v>450</v>
      </c>
      <c r="G392" t="s">
        <v>24</v>
      </c>
      <c r="I392">
        <v>32</v>
      </c>
      <c r="J392">
        <v>75</v>
      </c>
      <c r="K392">
        <v>43</v>
      </c>
      <c r="L392">
        <v>1.3438000000000001</v>
      </c>
      <c r="M392" t="s">
        <v>3368</v>
      </c>
      <c r="N392">
        <v>392</v>
      </c>
    </row>
    <row r="393" spans="1:14" x14ac:dyDescent="0.25">
      <c r="A393" t="s">
        <v>2161</v>
      </c>
      <c r="B393">
        <v>389</v>
      </c>
      <c r="C393">
        <v>1389</v>
      </c>
      <c r="D393" s="1" t="s">
        <v>451</v>
      </c>
      <c r="G393" t="s">
        <v>24</v>
      </c>
      <c r="I393">
        <v>74</v>
      </c>
      <c r="J393">
        <v>160</v>
      </c>
      <c r="K393">
        <v>86</v>
      </c>
      <c r="L393">
        <v>1.1621999999999999</v>
      </c>
      <c r="M393" t="s">
        <v>3369</v>
      </c>
      <c r="N393">
        <v>393</v>
      </c>
    </row>
    <row r="394" spans="1:14" x14ac:dyDescent="0.25">
      <c r="A394" t="s">
        <v>2162</v>
      </c>
      <c r="B394">
        <v>390</v>
      </c>
      <c r="C394">
        <v>1390</v>
      </c>
      <c r="D394" s="1" t="s">
        <v>452</v>
      </c>
      <c r="G394" t="s">
        <v>24</v>
      </c>
      <c r="I394">
        <v>60</v>
      </c>
      <c r="J394">
        <v>95</v>
      </c>
      <c r="K394">
        <v>35</v>
      </c>
      <c r="L394">
        <v>0.58330000000000004</v>
      </c>
      <c r="M394" t="s">
        <v>3369</v>
      </c>
      <c r="N394">
        <v>394</v>
      </c>
    </row>
    <row r="395" spans="1:14" x14ac:dyDescent="0.25">
      <c r="A395" t="s">
        <v>2163</v>
      </c>
      <c r="B395">
        <v>391</v>
      </c>
      <c r="C395">
        <v>1391</v>
      </c>
      <c r="D395" s="1" t="s">
        <v>453</v>
      </c>
      <c r="G395" t="s">
        <v>24</v>
      </c>
      <c r="I395">
        <v>20</v>
      </c>
      <c r="J395">
        <v>40</v>
      </c>
      <c r="K395">
        <v>20</v>
      </c>
      <c r="L395">
        <v>1</v>
      </c>
      <c r="M395" t="s">
        <v>3369</v>
      </c>
      <c r="N395">
        <v>395</v>
      </c>
    </row>
    <row r="396" spans="1:14" x14ac:dyDescent="0.25">
      <c r="A396" t="s">
        <v>2164</v>
      </c>
      <c r="B396">
        <v>392</v>
      </c>
      <c r="C396">
        <v>1392</v>
      </c>
      <c r="D396" s="1" t="s">
        <v>454</v>
      </c>
      <c r="E396" t="s">
        <v>410</v>
      </c>
      <c r="G396" t="s">
        <v>24</v>
      </c>
      <c r="I396">
        <v>10</v>
      </c>
      <c r="J396">
        <v>18</v>
      </c>
      <c r="K396">
        <v>8</v>
      </c>
      <c r="L396">
        <v>0.8</v>
      </c>
      <c r="M396" t="s">
        <v>3369</v>
      </c>
      <c r="N396">
        <v>396</v>
      </c>
    </row>
    <row r="397" spans="1:14" x14ac:dyDescent="0.25">
      <c r="A397" t="s">
        <v>2165</v>
      </c>
      <c r="B397">
        <v>393</v>
      </c>
      <c r="C397">
        <v>1393</v>
      </c>
      <c r="D397" s="1" t="s">
        <v>455</v>
      </c>
      <c r="E397" t="s">
        <v>410</v>
      </c>
      <c r="G397" t="s">
        <v>24</v>
      </c>
      <c r="I397">
        <v>18</v>
      </c>
      <c r="J397">
        <v>30</v>
      </c>
      <c r="K397">
        <v>12</v>
      </c>
      <c r="L397">
        <v>0.66669999999999996</v>
      </c>
      <c r="M397" t="s">
        <v>3369</v>
      </c>
      <c r="N397">
        <v>397</v>
      </c>
    </row>
    <row r="398" spans="1:14" x14ac:dyDescent="0.25">
      <c r="A398" t="s">
        <v>2166</v>
      </c>
      <c r="B398">
        <v>394</v>
      </c>
      <c r="C398">
        <v>1394</v>
      </c>
      <c r="D398" s="1" t="s">
        <v>456</v>
      </c>
      <c r="G398" t="s">
        <v>24</v>
      </c>
      <c r="I398">
        <v>23.16</v>
      </c>
      <c r="J398">
        <v>55</v>
      </c>
      <c r="K398">
        <v>31.84</v>
      </c>
      <c r="L398">
        <v>1.3748</v>
      </c>
      <c r="M398" t="s">
        <v>3369</v>
      </c>
      <c r="N398">
        <v>398</v>
      </c>
    </row>
    <row r="399" spans="1:14" x14ac:dyDescent="0.25">
      <c r="A399" t="s">
        <v>2167</v>
      </c>
      <c r="B399">
        <v>395</v>
      </c>
      <c r="C399">
        <v>1395</v>
      </c>
      <c r="D399" s="1" t="s">
        <v>457</v>
      </c>
      <c r="G399" t="s">
        <v>24</v>
      </c>
      <c r="I399">
        <v>46</v>
      </c>
      <c r="J399">
        <v>65</v>
      </c>
      <c r="K399">
        <v>19</v>
      </c>
      <c r="L399">
        <v>0.41299999999999998</v>
      </c>
      <c r="M399" t="s">
        <v>3369</v>
      </c>
      <c r="N399">
        <v>399</v>
      </c>
    </row>
    <row r="400" spans="1:14" x14ac:dyDescent="0.25">
      <c r="A400" t="s">
        <v>2168</v>
      </c>
      <c r="B400">
        <v>396</v>
      </c>
      <c r="C400">
        <v>1396</v>
      </c>
      <c r="D400" s="1" t="s">
        <v>458</v>
      </c>
      <c r="E400" t="s">
        <v>459</v>
      </c>
      <c r="G400" t="s">
        <v>24</v>
      </c>
      <c r="I400">
        <v>17.8</v>
      </c>
      <c r="J400">
        <v>40</v>
      </c>
      <c r="K400">
        <v>22.2</v>
      </c>
      <c r="L400">
        <v>1.2472000000000001</v>
      </c>
      <c r="M400" t="s">
        <v>3369</v>
      </c>
      <c r="N400">
        <v>400</v>
      </c>
    </row>
    <row r="401" spans="1:14" x14ac:dyDescent="0.25">
      <c r="A401" t="s">
        <v>2169</v>
      </c>
      <c r="B401">
        <v>397</v>
      </c>
      <c r="C401">
        <v>1397</v>
      </c>
      <c r="D401" s="1" t="s">
        <v>460</v>
      </c>
      <c r="E401" t="s">
        <v>459</v>
      </c>
      <c r="G401" t="s">
        <v>24</v>
      </c>
      <c r="I401">
        <v>24</v>
      </c>
      <c r="J401">
        <v>50</v>
      </c>
      <c r="K401">
        <v>26</v>
      </c>
      <c r="L401">
        <v>1.0832999999999999</v>
      </c>
      <c r="M401" t="s">
        <v>3369</v>
      </c>
      <c r="N401">
        <v>401</v>
      </c>
    </row>
    <row r="402" spans="1:14" x14ac:dyDescent="0.25">
      <c r="A402" t="s">
        <v>2170</v>
      </c>
      <c r="B402">
        <v>398</v>
      </c>
      <c r="C402">
        <v>1398</v>
      </c>
      <c r="D402" s="1" t="s">
        <v>461</v>
      </c>
      <c r="E402" t="s">
        <v>462</v>
      </c>
      <c r="G402" t="s">
        <v>24</v>
      </c>
      <c r="I402">
        <v>26.8</v>
      </c>
      <c r="J402">
        <v>45</v>
      </c>
      <c r="K402">
        <v>18.2</v>
      </c>
      <c r="L402">
        <v>0.67910000000000004</v>
      </c>
      <c r="M402" t="s">
        <v>3369</v>
      </c>
      <c r="N402">
        <v>402</v>
      </c>
    </row>
    <row r="403" spans="1:14" x14ac:dyDescent="0.25">
      <c r="A403" t="s">
        <v>2171</v>
      </c>
      <c r="B403">
        <v>399</v>
      </c>
      <c r="C403">
        <v>1399</v>
      </c>
      <c r="D403" s="1" t="s">
        <v>463</v>
      </c>
      <c r="E403" t="s">
        <v>462</v>
      </c>
      <c r="G403" t="s">
        <v>24</v>
      </c>
      <c r="I403">
        <v>27.2</v>
      </c>
      <c r="J403">
        <v>45</v>
      </c>
      <c r="K403">
        <v>17.8</v>
      </c>
      <c r="L403">
        <v>0.65439999999999998</v>
      </c>
      <c r="M403" t="s">
        <v>3369</v>
      </c>
      <c r="N403">
        <v>403</v>
      </c>
    </row>
    <row r="404" spans="1:14" x14ac:dyDescent="0.25">
      <c r="A404" t="s">
        <v>2172</v>
      </c>
      <c r="B404">
        <v>400</v>
      </c>
      <c r="C404">
        <v>1400</v>
      </c>
      <c r="D404" s="1" t="s">
        <v>464</v>
      </c>
      <c r="E404" t="s">
        <v>462</v>
      </c>
      <c r="G404" t="s">
        <v>24</v>
      </c>
      <c r="I404">
        <v>15.8</v>
      </c>
      <c r="J404">
        <v>25</v>
      </c>
      <c r="K404">
        <v>9.1999999999999993</v>
      </c>
      <c r="L404">
        <v>0.58230000000000004</v>
      </c>
      <c r="M404" t="s">
        <v>3369</v>
      </c>
      <c r="N404">
        <v>404</v>
      </c>
    </row>
    <row r="405" spans="1:14" x14ac:dyDescent="0.25">
      <c r="A405" t="s">
        <v>2173</v>
      </c>
      <c r="B405">
        <v>401</v>
      </c>
      <c r="C405">
        <v>1401</v>
      </c>
      <c r="D405" s="1" t="s">
        <v>465</v>
      </c>
      <c r="G405" t="s">
        <v>24</v>
      </c>
      <c r="I405">
        <v>16.5</v>
      </c>
      <c r="J405">
        <v>30</v>
      </c>
      <c r="K405">
        <v>13.5</v>
      </c>
      <c r="L405">
        <v>0.81820000000000004</v>
      </c>
      <c r="M405" t="s">
        <v>3369</v>
      </c>
      <c r="N405">
        <v>405</v>
      </c>
    </row>
    <row r="406" spans="1:14" x14ac:dyDescent="0.25">
      <c r="A406" t="s">
        <v>2174</v>
      </c>
      <c r="B406">
        <v>402</v>
      </c>
      <c r="C406">
        <v>1402</v>
      </c>
      <c r="D406" s="1" t="s">
        <v>466</v>
      </c>
      <c r="E406" t="s">
        <v>467</v>
      </c>
      <c r="G406" t="s">
        <v>24</v>
      </c>
      <c r="I406">
        <v>180</v>
      </c>
      <c r="J406">
        <v>240</v>
      </c>
      <c r="K406">
        <v>60</v>
      </c>
      <c r="L406">
        <v>0.33329999999999999</v>
      </c>
      <c r="M406" t="s">
        <v>3369</v>
      </c>
      <c r="N406">
        <v>406</v>
      </c>
    </row>
    <row r="407" spans="1:14" x14ac:dyDescent="0.25">
      <c r="A407" t="s">
        <v>2175</v>
      </c>
      <c r="B407">
        <v>403</v>
      </c>
      <c r="C407">
        <v>1403</v>
      </c>
      <c r="D407" s="1" t="s">
        <v>468</v>
      </c>
      <c r="E407" t="s">
        <v>467</v>
      </c>
      <c r="G407" t="s">
        <v>24</v>
      </c>
      <c r="I407">
        <v>120</v>
      </c>
      <c r="J407">
        <v>170</v>
      </c>
      <c r="K407">
        <v>50</v>
      </c>
      <c r="L407">
        <v>0.41670000000000001</v>
      </c>
      <c r="M407" t="s">
        <v>3369</v>
      </c>
      <c r="N407">
        <v>407</v>
      </c>
    </row>
    <row r="408" spans="1:14" x14ac:dyDescent="0.25">
      <c r="A408" t="s">
        <v>2176</v>
      </c>
      <c r="B408">
        <v>404</v>
      </c>
      <c r="C408">
        <v>1404</v>
      </c>
      <c r="D408" s="1" t="s">
        <v>469</v>
      </c>
      <c r="E408" t="s">
        <v>462</v>
      </c>
      <c r="G408" t="s">
        <v>24</v>
      </c>
      <c r="I408">
        <v>54.8</v>
      </c>
      <c r="J408">
        <v>85</v>
      </c>
      <c r="K408">
        <v>30.2</v>
      </c>
      <c r="L408">
        <v>0.55110000000000003</v>
      </c>
      <c r="M408" t="s">
        <v>3369</v>
      </c>
      <c r="N408">
        <v>408</v>
      </c>
    </row>
    <row r="409" spans="1:14" x14ac:dyDescent="0.25">
      <c r="A409" t="s">
        <v>2177</v>
      </c>
      <c r="B409">
        <v>405</v>
      </c>
      <c r="C409">
        <v>1405</v>
      </c>
      <c r="D409" s="1" t="s">
        <v>470</v>
      </c>
      <c r="E409" t="s">
        <v>462</v>
      </c>
      <c r="G409" t="s">
        <v>24</v>
      </c>
      <c r="I409">
        <v>42.8</v>
      </c>
      <c r="J409">
        <v>75</v>
      </c>
      <c r="K409">
        <v>32.200000000000003</v>
      </c>
      <c r="L409">
        <v>0.75229999999999997</v>
      </c>
      <c r="M409" t="s">
        <v>3369</v>
      </c>
      <c r="N409">
        <v>409</v>
      </c>
    </row>
    <row r="410" spans="1:14" x14ac:dyDescent="0.25">
      <c r="A410" t="s">
        <v>2178</v>
      </c>
      <c r="B410">
        <v>406</v>
      </c>
      <c r="C410">
        <v>1406</v>
      </c>
      <c r="D410" s="1" t="s">
        <v>471</v>
      </c>
      <c r="E410" t="s">
        <v>472</v>
      </c>
      <c r="G410" t="s">
        <v>24</v>
      </c>
      <c r="I410">
        <v>36</v>
      </c>
      <c r="J410">
        <v>55</v>
      </c>
      <c r="K410">
        <v>19</v>
      </c>
      <c r="L410">
        <v>0.52780000000000005</v>
      </c>
      <c r="M410" t="s">
        <v>3369</v>
      </c>
      <c r="N410">
        <v>410</v>
      </c>
    </row>
    <row r="411" spans="1:14" x14ac:dyDescent="0.25">
      <c r="A411" t="s">
        <v>2179</v>
      </c>
      <c r="B411">
        <v>407</v>
      </c>
      <c r="C411">
        <v>1407</v>
      </c>
      <c r="D411" s="1" t="s">
        <v>473</v>
      </c>
      <c r="E411" t="s">
        <v>474</v>
      </c>
      <c r="G411" t="s">
        <v>24</v>
      </c>
      <c r="I411">
        <v>49.8</v>
      </c>
      <c r="J411">
        <v>70</v>
      </c>
      <c r="K411">
        <v>20.2</v>
      </c>
      <c r="L411">
        <v>0.40560000000000002</v>
      </c>
      <c r="M411" t="s">
        <v>3369</v>
      </c>
      <c r="N411">
        <v>411</v>
      </c>
    </row>
    <row r="412" spans="1:14" x14ac:dyDescent="0.25">
      <c r="A412" t="s">
        <v>2180</v>
      </c>
      <c r="B412">
        <v>408</v>
      </c>
      <c r="C412">
        <v>1408</v>
      </c>
      <c r="D412" s="1" t="s">
        <v>475</v>
      </c>
      <c r="E412" t="s">
        <v>467</v>
      </c>
      <c r="G412" t="s">
        <v>24</v>
      </c>
      <c r="H412">
        <v>419</v>
      </c>
      <c r="I412">
        <v>20</v>
      </c>
      <c r="J412">
        <v>26</v>
      </c>
      <c r="K412">
        <v>6</v>
      </c>
      <c r="L412">
        <v>0.3</v>
      </c>
      <c r="M412" t="s">
        <v>3369</v>
      </c>
      <c r="N412">
        <v>412</v>
      </c>
    </row>
    <row r="413" spans="1:14" x14ac:dyDescent="0.25">
      <c r="A413" t="s">
        <v>2181</v>
      </c>
      <c r="B413">
        <v>409</v>
      </c>
      <c r="C413">
        <v>1409</v>
      </c>
      <c r="D413" s="1" t="s">
        <v>476</v>
      </c>
      <c r="G413" t="s">
        <v>24</v>
      </c>
      <c r="I413">
        <v>470</v>
      </c>
      <c r="J413">
        <v>580</v>
      </c>
      <c r="K413">
        <v>110</v>
      </c>
      <c r="L413">
        <v>0.23400000000000001</v>
      </c>
      <c r="M413" t="s">
        <v>3369</v>
      </c>
      <c r="N413">
        <v>413</v>
      </c>
    </row>
    <row r="414" spans="1:14" x14ac:dyDescent="0.25">
      <c r="A414" t="s">
        <v>2182</v>
      </c>
      <c r="B414">
        <v>410</v>
      </c>
      <c r="C414">
        <v>1410</v>
      </c>
      <c r="D414" s="1" t="s">
        <v>477</v>
      </c>
      <c r="E414" t="s">
        <v>462</v>
      </c>
      <c r="G414" t="s">
        <v>24</v>
      </c>
      <c r="I414">
        <v>58</v>
      </c>
      <c r="J414">
        <v>85</v>
      </c>
      <c r="K414">
        <v>27</v>
      </c>
      <c r="L414">
        <v>0.46550000000000002</v>
      </c>
      <c r="M414" t="s">
        <v>3369</v>
      </c>
      <c r="N414">
        <v>414</v>
      </c>
    </row>
    <row r="415" spans="1:14" x14ac:dyDescent="0.25">
      <c r="A415" t="s">
        <v>2183</v>
      </c>
      <c r="B415">
        <v>411</v>
      </c>
      <c r="C415">
        <v>1411</v>
      </c>
      <c r="D415" s="1" t="s">
        <v>478</v>
      </c>
      <c r="G415" t="s">
        <v>24</v>
      </c>
      <c r="I415">
        <v>0.55000000000000004</v>
      </c>
      <c r="J415">
        <v>2</v>
      </c>
      <c r="K415">
        <v>1.45</v>
      </c>
      <c r="L415">
        <v>2.6364000000000001</v>
      </c>
      <c r="M415" t="s">
        <v>3369</v>
      </c>
      <c r="N415">
        <v>415</v>
      </c>
    </row>
    <row r="416" spans="1:14" x14ac:dyDescent="0.25">
      <c r="A416" t="s">
        <v>2184</v>
      </c>
      <c r="B416">
        <v>412</v>
      </c>
      <c r="C416">
        <v>1412</v>
      </c>
      <c r="D416" s="1" t="s">
        <v>479</v>
      </c>
      <c r="G416" t="s">
        <v>24</v>
      </c>
      <c r="I416">
        <v>0.35</v>
      </c>
      <c r="J416">
        <v>1.5</v>
      </c>
      <c r="K416">
        <v>1.1499999999999999</v>
      </c>
      <c r="L416">
        <v>3.2856999999999998</v>
      </c>
      <c r="M416" t="s">
        <v>3369</v>
      </c>
      <c r="N416">
        <v>416</v>
      </c>
    </row>
    <row r="417" spans="1:14" x14ac:dyDescent="0.25">
      <c r="A417" t="s">
        <v>2185</v>
      </c>
      <c r="B417">
        <v>413</v>
      </c>
      <c r="C417">
        <v>1413</v>
      </c>
      <c r="D417" s="1" t="s">
        <v>480</v>
      </c>
      <c r="E417" t="s">
        <v>481</v>
      </c>
      <c r="G417" t="s">
        <v>24</v>
      </c>
      <c r="I417">
        <v>65</v>
      </c>
      <c r="J417">
        <v>95</v>
      </c>
      <c r="K417">
        <v>30</v>
      </c>
      <c r="L417">
        <v>0.46150000000000002</v>
      </c>
      <c r="M417" t="s">
        <v>3369</v>
      </c>
      <c r="N417">
        <v>417</v>
      </c>
    </row>
    <row r="418" spans="1:14" x14ac:dyDescent="0.25">
      <c r="A418" t="s">
        <v>2186</v>
      </c>
      <c r="B418">
        <v>414</v>
      </c>
      <c r="C418">
        <v>1414</v>
      </c>
      <c r="D418" s="1" t="s">
        <v>482</v>
      </c>
      <c r="E418" t="s">
        <v>483</v>
      </c>
      <c r="G418" t="s">
        <v>24</v>
      </c>
      <c r="I418">
        <v>24</v>
      </c>
      <c r="J418">
        <v>50</v>
      </c>
      <c r="K418">
        <v>26</v>
      </c>
      <c r="L418">
        <v>1.0832999999999999</v>
      </c>
      <c r="M418" t="s">
        <v>3369</v>
      </c>
      <c r="N418">
        <v>418</v>
      </c>
    </row>
    <row r="419" spans="1:14" x14ac:dyDescent="0.25">
      <c r="A419" t="s">
        <v>2187</v>
      </c>
      <c r="B419">
        <v>415</v>
      </c>
      <c r="C419">
        <v>1415</v>
      </c>
      <c r="D419" s="1" t="s">
        <v>484</v>
      </c>
      <c r="E419" t="s">
        <v>483</v>
      </c>
      <c r="G419" t="s">
        <v>24</v>
      </c>
      <c r="I419">
        <v>45</v>
      </c>
      <c r="J419">
        <v>90</v>
      </c>
      <c r="K419">
        <v>45</v>
      </c>
      <c r="L419">
        <v>1</v>
      </c>
      <c r="M419" t="s">
        <v>3369</v>
      </c>
      <c r="N419">
        <v>419</v>
      </c>
    </row>
    <row r="420" spans="1:14" x14ac:dyDescent="0.25">
      <c r="A420" t="s">
        <v>2188</v>
      </c>
      <c r="B420">
        <v>416</v>
      </c>
      <c r="C420">
        <v>1416</v>
      </c>
      <c r="D420" s="1" t="s">
        <v>485</v>
      </c>
      <c r="E420" t="s">
        <v>486</v>
      </c>
      <c r="G420" t="s">
        <v>24</v>
      </c>
      <c r="I420">
        <v>84</v>
      </c>
      <c r="J420">
        <v>140</v>
      </c>
      <c r="K420">
        <v>56</v>
      </c>
      <c r="L420">
        <v>0.66669999999999996</v>
      </c>
      <c r="M420" t="s">
        <v>3369</v>
      </c>
      <c r="N420">
        <v>420</v>
      </c>
    </row>
    <row r="421" spans="1:14" x14ac:dyDescent="0.25">
      <c r="A421" t="s">
        <v>2189</v>
      </c>
      <c r="B421">
        <v>417</v>
      </c>
      <c r="C421">
        <v>1417</v>
      </c>
      <c r="D421" s="1" t="s">
        <v>487</v>
      </c>
      <c r="E421" t="s">
        <v>486</v>
      </c>
      <c r="G421" t="s">
        <v>24</v>
      </c>
      <c r="I421">
        <v>130</v>
      </c>
      <c r="J421">
        <v>190</v>
      </c>
      <c r="K421">
        <v>60</v>
      </c>
      <c r="L421">
        <v>0.46150000000000002</v>
      </c>
      <c r="M421" t="s">
        <v>3369</v>
      </c>
      <c r="N421">
        <v>421</v>
      </c>
    </row>
    <row r="422" spans="1:14" x14ac:dyDescent="0.25">
      <c r="A422" t="s">
        <v>2190</v>
      </c>
      <c r="B422">
        <v>418</v>
      </c>
      <c r="C422">
        <v>1418</v>
      </c>
      <c r="D422" s="1" t="s">
        <v>488</v>
      </c>
      <c r="E422" t="s">
        <v>486</v>
      </c>
      <c r="G422" t="s">
        <v>24</v>
      </c>
      <c r="I422">
        <v>130</v>
      </c>
      <c r="J422">
        <v>190</v>
      </c>
      <c r="K422">
        <v>60</v>
      </c>
      <c r="L422">
        <v>0.46150000000000002</v>
      </c>
      <c r="M422" t="s">
        <v>3369</v>
      </c>
      <c r="N422">
        <v>422</v>
      </c>
    </row>
    <row r="423" spans="1:14" x14ac:dyDescent="0.25">
      <c r="A423" t="s">
        <v>2191</v>
      </c>
      <c r="B423">
        <v>419</v>
      </c>
      <c r="C423">
        <v>1419</v>
      </c>
      <c r="D423" s="1" t="s">
        <v>489</v>
      </c>
      <c r="E423" t="s">
        <v>114</v>
      </c>
      <c r="G423" t="s">
        <v>24</v>
      </c>
      <c r="I423">
        <v>250</v>
      </c>
      <c r="J423">
        <v>375</v>
      </c>
      <c r="K423">
        <v>125</v>
      </c>
      <c r="L423">
        <v>0.5</v>
      </c>
      <c r="M423" t="s">
        <v>3369</v>
      </c>
      <c r="N423">
        <v>423</v>
      </c>
    </row>
    <row r="424" spans="1:14" x14ac:dyDescent="0.25">
      <c r="A424" t="s">
        <v>2192</v>
      </c>
      <c r="B424">
        <v>420</v>
      </c>
      <c r="C424">
        <v>1420</v>
      </c>
      <c r="D424" s="1" t="s">
        <v>490</v>
      </c>
      <c r="E424" t="s">
        <v>124</v>
      </c>
      <c r="G424" t="s">
        <v>24</v>
      </c>
      <c r="I424">
        <v>30</v>
      </c>
      <c r="J424">
        <v>85</v>
      </c>
      <c r="K424">
        <v>55</v>
      </c>
      <c r="L424">
        <v>1.8332999999999999</v>
      </c>
      <c r="M424" t="s">
        <v>3369</v>
      </c>
      <c r="N424">
        <v>424</v>
      </c>
    </row>
    <row r="425" spans="1:14" x14ac:dyDescent="0.25">
      <c r="A425" t="s">
        <v>2193</v>
      </c>
      <c r="B425">
        <v>421</v>
      </c>
      <c r="C425">
        <v>1421</v>
      </c>
      <c r="D425" s="1" t="s">
        <v>491</v>
      </c>
      <c r="G425" t="s">
        <v>24</v>
      </c>
      <c r="I425">
        <v>154</v>
      </c>
      <c r="J425">
        <v>195</v>
      </c>
      <c r="K425">
        <v>41</v>
      </c>
      <c r="L425">
        <v>0.26619999999999999</v>
      </c>
      <c r="M425" t="s">
        <v>3369</v>
      </c>
      <c r="N425">
        <v>425</v>
      </c>
    </row>
    <row r="426" spans="1:14" x14ac:dyDescent="0.25">
      <c r="A426" t="s">
        <v>2194</v>
      </c>
      <c r="B426">
        <v>422</v>
      </c>
      <c r="C426">
        <v>1422</v>
      </c>
      <c r="D426" s="1" t="s">
        <v>492</v>
      </c>
      <c r="E426" t="s">
        <v>493</v>
      </c>
      <c r="G426" t="s">
        <v>24</v>
      </c>
      <c r="I426">
        <v>120</v>
      </c>
      <c r="J426">
        <v>180</v>
      </c>
      <c r="K426">
        <v>60</v>
      </c>
      <c r="L426">
        <v>0.5</v>
      </c>
      <c r="M426" t="s">
        <v>3369</v>
      </c>
      <c r="N426">
        <v>426</v>
      </c>
    </row>
    <row r="427" spans="1:14" x14ac:dyDescent="0.25">
      <c r="A427" t="s">
        <v>2195</v>
      </c>
      <c r="B427">
        <v>423</v>
      </c>
      <c r="C427">
        <v>1423</v>
      </c>
      <c r="D427" s="1" t="s">
        <v>494</v>
      </c>
      <c r="E427" t="s">
        <v>493</v>
      </c>
      <c r="G427" t="s">
        <v>24</v>
      </c>
      <c r="I427">
        <v>135</v>
      </c>
      <c r="J427">
        <v>195</v>
      </c>
      <c r="K427">
        <v>60</v>
      </c>
      <c r="L427">
        <v>0.44440000000000002</v>
      </c>
      <c r="M427" t="s">
        <v>3369</v>
      </c>
      <c r="N427">
        <v>427</v>
      </c>
    </row>
    <row r="428" spans="1:14" x14ac:dyDescent="0.25">
      <c r="A428" t="s">
        <v>2196</v>
      </c>
      <c r="B428">
        <v>424</v>
      </c>
      <c r="C428">
        <v>1424</v>
      </c>
      <c r="D428" s="1" t="s">
        <v>495</v>
      </c>
      <c r="E428" t="s">
        <v>496</v>
      </c>
      <c r="G428" t="s">
        <v>24</v>
      </c>
      <c r="I428">
        <v>111.25</v>
      </c>
      <c r="J428">
        <v>190</v>
      </c>
      <c r="K428">
        <v>78.75</v>
      </c>
      <c r="L428">
        <v>0.70789999999999997</v>
      </c>
      <c r="M428" t="s">
        <v>3369</v>
      </c>
      <c r="N428">
        <v>428</v>
      </c>
    </row>
    <row r="429" spans="1:14" x14ac:dyDescent="0.25">
      <c r="A429" t="s">
        <v>2197</v>
      </c>
      <c r="B429">
        <v>425</v>
      </c>
      <c r="C429">
        <v>1425</v>
      </c>
      <c r="D429" s="1" t="s">
        <v>497</v>
      </c>
      <c r="E429" t="s">
        <v>498</v>
      </c>
      <c r="G429" t="s">
        <v>24</v>
      </c>
      <c r="I429">
        <v>329</v>
      </c>
      <c r="J429">
        <v>440</v>
      </c>
      <c r="K429">
        <v>111</v>
      </c>
      <c r="L429">
        <v>0.33739999999999998</v>
      </c>
      <c r="M429" t="s">
        <v>3369</v>
      </c>
      <c r="N429">
        <v>429</v>
      </c>
    </row>
    <row r="430" spans="1:14" x14ac:dyDescent="0.25">
      <c r="A430" t="s">
        <v>2198</v>
      </c>
      <c r="B430">
        <v>426</v>
      </c>
      <c r="C430">
        <v>1426</v>
      </c>
      <c r="D430" s="1" t="s">
        <v>499</v>
      </c>
      <c r="E430" t="s">
        <v>498</v>
      </c>
      <c r="G430" t="s">
        <v>24</v>
      </c>
      <c r="I430">
        <v>346</v>
      </c>
      <c r="J430">
        <v>460</v>
      </c>
      <c r="K430">
        <v>114</v>
      </c>
      <c r="L430">
        <v>0.32950000000000002</v>
      </c>
      <c r="M430" t="s">
        <v>3369</v>
      </c>
      <c r="N430">
        <v>430</v>
      </c>
    </row>
    <row r="431" spans="1:14" x14ac:dyDescent="0.25">
      <c r="A431" t="s">
        <v>2199</v>
      </c>
      <c r="B431">
        <v>427</v>
      </c>
      <c r="C431">
        <v>1427</v>
      </c>
      <c r="D431" s="1" t="s">
        <v>500</v>
      </c>
      <c r="E431" t="s">
        <v>486</v>
      </c>
      <c r="G431" t="s">
        <v>24</v>
      </c>
      <c r="I431">
        <v>245</v>
      </c>
      <c r="J431">
        <v>295</v>
      </c>
      <c r="K431">
        <v>50</v>
      </c>
      <c r="L431">
        <v>0.2041</v>
      </c>
      <c r="M431" t="s">
        <v>3369</v>
      </c>
      <c r="N431">
        <v>431</v>
      </c>
    </row>
    <row r="432" spans="1:14" x14ac:dyDescent="0.25">
      <c r="A432" t="s">
        <v>2200</v>
      </c>
      <c r="B432">
        <v>428</v>
      </c>
      <c r="C432">
        <v>1428</v>
      </c>
      <c r="D432" s="1" t="s">
        <v>501</v>
      </c>
      <c r="E432" t="s">
        <v>502</v>
      </c>
      <c r="G432" t="s">
        <v>24</v>
      </c>
      <c r="I432">
        <v>343</v>
      </c>
      <c r="J432">
        <v>420</v>
      </c>
      <c r="K432">
        <v>77</v>
      </c>
      <c r="L432">
        <v>0.22450000000000001</v>
      </c>
      <c r="M432" t="s">
        <v>3369</v>
      </c>
      <c r="N432">
        <v>432</v>
      </c>
    </row>
    <row r="433" spans="1:14" x14ac:dyDescent="0.25">
      <c r="A433" t="s">
        <v>2201</v>
      </c>
      <c r="B433">
        <v>429</v>
      </c>
      <c r="C433">
        <v>1429</v>
      </c>
      <c r="D433" s="1" t="s">
        <v>503</v>
      </c>
      <c r="E433" t="s">
        <v>504</v>
      </c>
      <c r="G433" t="s">
        <v>24</v>
      </c>
      <c r="I433">
        <v>0.34</v>
      </c>
      <c r="J433">
        <v>1.4</v>
      </c>
      <c r="K433">
        <v>1.06</v>
      </c>
      <c r="L433">
        <v>3.1175999999999999</v>
      </c>
      <c r="M433" t="s">
        <v>3369</v>
      </c>
      <c r="N433">
        <v>433</v>
      </c>
    </row>
    <row r="434" spans="1:14" x14ac:dyDescent="0.25">
      <c r="A434" t="s">
        <v>2202</v>
      </c>
      <c r="B434">
        <v>430</v>
      </c>
      <c r="C434">
        <v>1430</v>
      </c>
      <c r="D434" s="1" t="s">
        <v>505</v>
      </c>
      <c r="E434" t="s">
        <v>504</v>
      </c>
      <c r="G434" t="s">
        <v>24</v>
      </c>
      <c r="I434">
        <v>0.6</v>
      </c>
      <c r="J434">
        <v>1.6</v>
      </c>
      <c r="K434">
        <v>1</v>
      </c>
      <c r="L434">
        <v>1.6667000000000001</v>
      </c>
      <c r="M434" t="s">
        <v>3369</v>
      </c>
      <c r="N434">
        <v>434</v>
      </c>
    </row>
    <row r="435" spans="1:14" x14ac:dyDescent="0.25">
      <c r="A435" t="s">
        <v>2203</v>
      </c>
      <c r="B435">
        <v>431</v>
      </c>
      <c r="C435">
        <v>1431</v>
      </c>
      <c r="D435" s="1" t="s">
        <v>506</v>
      </c>
      <c r="E435" t="s">
        <v>504</v>
      </c>
      <c r="G435" t="s">
        <v>24</v>
      </c>
      <c r="I435">
        <v>0.4</v>
      </c>
      <c r="J435">
        <v>1.4</v>
      </c>
      <c r="K435">
        <v>1</v>
      </c>
      <c r="L435">
        <v>2.5</v>
      </c>
      <c r="M435" t="s">
        <v>3369</v>
      </c>
      <c r="N435">
        <v>435</v>
      </c>
    </row>
    <row r="436" spans="1:14" x14ac:dyDescent="0.25">
      <c r="A436" t="s">
        <v>2204</v>
      </c>
      <c r="B436">
        <v>432</v>
      </c>
      <c r="C436">
        <v>1432</v>
      </c>
      <c r="D436" s="1" t="s">
        <v>507</v>
      </c>
      <c r="E436" t="s">
        <v>504</v>
      </c>
      <c r="G436" t="s">
        <v>24</v>
      </c>
      <c r="I436">
        <v>0.39</v>
      </c>
      <c r="J436">
        <v>1.4</v>
      </c>
      <c r="K436">
        <v>1.01</v>
      </c>
      <c r="L436">
        <v>2.5897000000000001</v>
      </c>
      <c r="M436" t="s">
        <v>3369</v>
      </c>
      <c r="N436">
        <v>436</v>
      </c>
    </row>
    <row r="437" spans="1:14" x14ac:dyDescent="0.25">
      <c r="A437" t="s">
        <v>2205</v>
      </c>
      <c r="B437">
        <v>433</v>
      </c>
      <c r="C437">
        <v>1433</v>
      </c>
      <c r="D437" s="1" t="s">
        <v>508</v>
      </c>
      <c r="E437" t="s">
        <v>504</v>
      </c>
      <c r="G437" t="s">
        <v>24</v>
      </c>
      <c r="I437">
        <v>0.55000000000000004</v>
      </c>
      <c r="J437">
        <v>1.6</v>
      </c>
      <c r="K437">
        <v>1.05</v>
      </c>
      <c r="L437">
        <v>1.9091</v>
      </c>
      <c r="M437" t="s">
        <v>3369</v>
      </c>
      <c r="N437">
        <v>437</v>
      </c>
    </row>
    <row r="438" spans="1:14" x14ac:dyDescent="0.25">
      <c r="A438" t="s">
        <v>2206</v>
      </c>
      <c r="B438">
        <v>434</v>
      </c>
      <c r="C438">
        <v>1434</v>
      </c>
      <c r="D438" s="1" t="s">
        <v>509</v>
      </c>
      <c r="G438" t="s">
        <v>24</v>
      </c>
      <c r="I438">
        <v>224</v>
      </c>
      <c r="J438">
        <v>300</v>
      </c>
      <c r="K438">
        <v>76</v>
      </c>
      <c r="L438">
        <v>0.33929999999999999</v>
      </c>
      <c r="M438" t="s">
        <v>3369</v>
      </c>
      <c r="N438">
        <v>438</v>
      </c>
    </row>
    <row r="439" spans="1:14" x14ac:dyDescent="0.25">
      <c r="A439" t="s">
        <v>2207</v>
      </c>
      <c r="B439">
        <v>435</v>
      </c>
      <c r="C439">
        <v>1435</v>
      </c>
      <c r="D439" s="1" t="s">
        <v>510</v>
      </c>
      <c r="E439" t="s">
        <v>345</v>
      </c>
      <c r="G439" t="s">
        <v>24</v>
      </c>
      <c r="I439">
        <v>249</v>
      </c>
      <c r="J439">
        <v>400</v>
      </c>
      <c r="K439">
        <v>151</v>
      </c>
      <c r="L439">
        <v>0.60640000000000005</v>
      </c>
      <c r="M439" t="s">
        <v>3369</v>
      </c>
      <c r="N439">
        <v>439</v>
      </c>
    </row>
    <row r="440" spans="1:14" x14ac:dyDescent="0.25">
      <c r="A440" t="s">
        <v>2208</v>
      </c>
      <c r="B440">
        <v>436</v>
      </c>
      <c r="C440">
        <v>1436</v>
      </c>
      <c r="D440" s="1" t="s">
        <v>511</v>
      </c>
      <c r="E440" t="s">
        <v>350</v>
      </c>
      <c r="G440" t="s">
        <v>24</v>
      </c>
      <c r="I440">
        <v>26.3</v>
      </c>
      <c r="J440">
        <v>50</v>
      </c>
      <c r="K440">
        <v>23.7</v>
      </c>
      <c r="L440">
        <v>0.90110000000000001</v>
      </c>
      <c r="M440" t="s">
        <v>3369</v>
      </c>
      <c r="N440">
        <v>440</v>
      </c>
    </row>
    <row r="441" spans="1:14" x14ac:dyDescent="0.25">
      <c r="A441" t="s">
        <v>2209</v>
      </c>
      <c r="B441">
        <v>437</v>
      </c>
      <c r="C441">
        <v>1437</v>
      </c>
      <c r="D441" s="1" t="s">
        <v>512</v>
      </c>
      <c r="E441" t="s">
        <v>350</v>
      </c>
      <c r="G441" t="s">
        <v>24</v>
      </c>
      <c r="I441">
        <v>26.3</v>
      </c>
      <c r="J441">
        <v>60</v>
      </c>
      <c r="K441">
        <v>33.700000000000003</v>
      </c>
      <c r="L441">
        <v>1.2814000000000001</v>
      </c>
      <c r="M441" t="s">
        <v>3369</v>
      </c>
      <c r="N441">
        <v>441</v>
      </c>
    </row>
    <row r="442" spans="1:14" x14ac:dyDescent="0.25">
      <c r="A442" t="s">
        <v>2210</v>
      </c>
      <c r="B442">
        <v>438</v>
      </c>
      <c r="C442">
        <v>1438</v>
      </c>
      <c r="D442" s="1" t="s">
        <v>513</v>
      </c>
      <c r="E442" t="s">
        <v>345</v>
      </c>
      <c r="G442" t="s">
        <v>24</v>
      </c>
      <c r="I442">
        <v>51.8</v>
      </c>
      <c r="J442">
        <v>90</v>
      </c>
      <c r="K442">
        <v>38.200000000000003</v>
      </c>
      <c r="L442">
        <v>0.73750000000000004</v>
      </c>
      <c r="M442" t="s">
        <v>3369</v>
      </c>
      <c r="N442">
        <v>442</v>
      </c>
    </row>
    <row r="443" spans="1:14" x14ac:dyDescent="0.25">
      <c r="A443" t="s">
        <v>2211</v>
      </c>
      <c r="B443">
        <v>439</v>
      </c>
      <c r="C443">
        <v>1439</v>
      </c>
      <c r="D443" s="1" t="s">
        <v>514</v>
      </c>
      <c r="E443" t="s">
        <v>345</v>
      </c>
      <c r="G443" t="s">
        <v>24</v>
      </c>
      <c r="I443">
        <v>189</v>
      </c>
      <c r="J443">
        <v>300</v>
      </c>
      <c r="K443">
        <v>111</v>
      </c>
      <c r="L443">
        <v>0.58730000000000004</v>
      </c>
      <c r="M443" t="s">
        <v>3369</v>
      </c>
      <c r="N443">
        <v>443</v>
      </c>
    </row>
    <row r="444" spans="1:14" x14ac:dyDescent="0.25">
      <c r="A444" t="s">
        <v>2212</v>
      </c>
      <c r="B444">
        <v>440</v>
      </c>
      <c r="C444">
        <v>1440</v>
      </c>
      <c r="D444" s="1" t="s">
        <v>515</v>
      </c>
      <c r="E444" t="s">
        <v>345</v>
      </c>
      <c r="G444" t="s">
        <v>24</v>
      </c>
      <c r="I444">
        <v>179</v>
      </c>
      <c r="J444">
        <v>300</v>
      </c>
      <c r="K444">
        <v>121</v>
      </c>
      <c r="L444">
        <v>0.67600000000000005</v>
      </c>
      <c r="M444" t="s">
        <v>3369</v>
      </c>
      <c r="N444">
        <v>444</v>
      </c>
    </row>
    <row r="445" spans="1:14" x14ac:dyDescent="0.25">
      <c r="A445" t="s">
        <v>2213</v>
      </c>
      <c r="B445">
        <v>441</v>
      </c>
      <c r="C445">
        <v>1441</v>
      </c>
      <c r="D445" s="1" t="s">
        <v>516</v>
      </c>
      <c r="G445" t="s">
        <v>24</v>
      </c>
      <c r="I445">
        <v>12.65</v>
      </c>
      <c r="J445">
        <v>20</v>
      </c>
      <c r="K445">
        <v>7.35</v>
      </c>
      <c r="L445">
        <v>0.58099999999999996</v>
      </c>
      <c r="M445" t="s">
        <v>3369</v>
      </c>
      <c r="N445">
        <v>445</v>
      </c>
    </row>
    <row r="446" spans="1:14" x14ac:dyDescent="0.25">
      <c r="A446" t="s">
        <v>2214</v>
      </c>
      <c r="B446">
        <v>442</v>
      </c>
      <c r="C446">
        <v>1442</v>
      </c>
      <c r="D446" s="1" t="s">
        <v>517</v>
      </c>
      <c r="E446" t="s">
        <v>518</v>
      </c>
      <c r="G446" t="s">
        <v>24</v>
      </c>
      <c r="I446">
        <v>25.5</v>
      </c>
      <c r="J446">
        <v>50</v>
      </c>
      <c r="K446">
        <v>24.5</v>
      </c>
      <c r="L446">
        <v>0.96079999999999999</v>
      </c>
      <c r="M446" t="s">
        <v>3369</v>
      </c>
      <c r="N446">
        <v>446</v>
      </c>
    </row>
    <row r="447" spans="1:14" x14ac:dyDescent="0.25">
      <c r="A447" t="s">
        <v>2215</v>
      </c>
      <c r="B447">
        <v>443</v>
      </c>
      <c r="C447">
        <v>1443</v>
      </c>
      <c r="D447" s="1" t="s">
        <v>519</v>
      </c>
      <c r="E447" t="s">
        <v>518</v>
      </c>
      <c r="G447" t="s">
        <v>24</v>
      </c>
      <c r="I447">
        <v>18.7</v>
      </c>
      <c r="J447">
        <v>30</v>
      </c>
      <c r="K447">
        <v>11.3</v>
      </c>
      <c r="L447">
        <v>0.60429999999999995</v>
      </c>
      <c r="M447" t="s">
        <v>3369</v>
      </c>
      <c r="N447">
        <v>447</v>
      </c>
    </row>
    <row r="448" spans="1:14" x14ac:dyDescent="0.25">
      <c r="A448" t="s">
        <v>2216</v>
      </c>
      <c r="B448">
        <v>444</v>
      </c>
      <c r="C448">
        <v>1444</v>
      </c>
      <c r="D448" s="1" t="s">
        <v>520</v>
      </c>
      <c r="E448" t="s">
        <v>521</v>
      </c>
      <c r="G448" t="s">
        <v>24</v>
      </c>
      <c r="I448">
        <v>26.35</v>
      </c>
      <c r="J448">
        <v>50</v>
      </c>
      <c r="K448">
        <v>23.65</v>
      </c>
      <c r="L448">
        <v>0.89749999999999996</v>
      </c>
      <c r="M448" t="s">
        <v>3369</v>
      </c>
      <c r="N448">
        <v>448</v>
      </c>
    </row>
    <row r="449" spans="1:14" x14ac:dyDescent="0.25">
      <c r="A449" t="s">
        <v>2217</v>
      </c>
      <c r="B449">
        <v>445</v>
      </c>
      <c r="C449">
        <v>1445</v>
      </c>
      <c r="D449" s="1" t="s">
        <v>522</v>
      </c>
      <c r="E449" t="s">
        <v>521</v>
      </c>
      <c r="G449" t="s">
        <v>24</v>
      </c>
      <c r="I449">
        <v>22.1</v>
      </c>
      <c r="J449">
        <v>35</v>
      </c>
      <c r="K449">
        <v>12.9</v>
      </c>
      <c r="L449">
        <v>0.5837</v>
      </c>
      <c r="M449" t="s">
        <v>3369</v>
      </c>
      <c r="N449">
        <v>449</v>
      </c>
    </row>
    <row r="450" spans="1:14" x14ac:dyDescent="0.25">
      <c r="A450" t="s">
        <v>2218</v>
      </c>
      <c r="B450">
        <v>446</v>
      </c>
      <c r="C450">
        <v>1446</v>
      </c>
      <c r="D450" s="1" t="s">
        <v>523</v>
      </c>
      <c r="E450" t="s">
        <v>524</v>
      </c>
      <c r="G450" t="s">
        <v>24</v>
      </c>
      <c r="I450">
        <v>49.3</v>
      </c>
      <c r="J450">
        <v>85</v>
      </c>
      <c r="K450">
        <v>35.700000000000003</v>
      </c>
      <c r="L450">
        <v>0.72409999999999997</v>
      </c>
      <c r="M450" t="s">
        <v>3369</v>
      </c>
      <c r="N450">
        <v>450</v>
      </c>
    </row>
    <row r="451" spans="1:14" x14ac:dyDescent="0.25">
      <c r="A451" t="s">
        <v>2219</v>
      </c>
      <c r="B451">
        <v>447</v>
      </c>
      <c r="C451">
        <v>1447</v>
      </c>
      <c r="D451" s="1" t="s">
        <v>525</v>
      </c>
      <c r="E451" t="s">
        <v>526</v>
      </c>
      <c r="G451" t="s">
        <v>24</v>
      </c>
      <c r="I451">
        <v>54</v>
      </c>
      <c r="J451">
        <v>110</v>
      </c>
      <c r="K451">
        <v>56</v>
      </c>
      <c r="L451">
        <v>1.0369999999999999</v>
      </c>
      <c r="M451" t="s">
        <v>3369</v>
      </c>
      <c r="N451">
        <v>451</v>
      </c>
    </row>
    <row r="452" spans="1:14" x14ac:dyDescent="0.25">
      <c r="A452" t="s">
        <v>2220</v>
      </c>
      <c r="B452">
        <v>448</v>
      </c>
      <c r="C452">
        <v>1448</v>
      </c>
      <c r="D452" s="1" t="s">
        <v>527</v>
      </c>
      <c r="E452" t="s">
        <v>252</v>
      </c>
      <c r="G452" t="s">
        <v>24</v>
      </c>
      <c r="I452">
        <v>28</v>
      </c>
      <c r="J452">
        <v>75</v>
      </c>
      <c r="K452">
        <v>47</v>
      </c>
      <c r="L452">
        <v>1.6786000000000001</v>
      </c>
      <c r="M452" t="s">
        <v>3369</v>
      </c>
      <c r="N452">
        <v>452</v>
      </c>
    </row>
    <row r="453" spans="1:14" x14ac:dyDescent="0.25">
      <c r="A453" t="s">
        <v>2221</v>
      </c>
      <c r="B453">
        <v>449</v>
      </c>
      <c r="C453">
        <v>1449</v>
      </c>
      <c r="D453" s="1" t="s">
        <v>528</v>
      </c>
      <c r="E453" t="s">
        <v>252</v>
      </c>
      <c r="G453" t="s">
        <v>24</v>
      </c>
      <c r="I453">
        <v>28</v>
      </c>
      <c r="J453">
        <v>75</v>
      </c>
      <c r="K453">
        <v>47</v>
      </c>
      <c r="L453">
        <v>1.6786000000000001</v>
      </c>
      <c r="M453" t="s">
        <v>3369</v>
      </c>
      <c r="N453">
        <v>453</v>
      </c>
    </row>
    <row r="454" spans="1:14" x14ac:dyDescent="0.25">
      <c r="A454" t="s">
        <v>2222</v>
      </c>
      <c r="B454">
        <v>450</v>
      </c>
      <c r="C454">
        <v>1450</v>
      </c>
      <c r="D454" s="1" t="s">
        <v>529</v>
      </c>
      <c r="E454" t="s">
        <v>252</v>
      </c>
      <c r="G454" t="s">
        <v>24</v>
      </c>
      <c r="I454">
        <v>28</v>
      </c>
      <c r="J454">
        <v>75</v>
      </c>
      <c r="K454">
        <v>47</v>
      </c>
      <c r="L454">
        <v>1.6786000000000001</v>
      </c>
      <c r="M454" t="s">
        <v>3369</v>
      </c>
      <c r="N454">
        <v>454</v>
      </c>
    </row>
    <row r="455" spans="1:14" x14ac:dyDescent="0.25">
      <c r="A455" t="s">
        <v>2223</v>
      </c>
      <c r="B455">
        <v>451</v>
      </c>
      <c r="C455">
        <v>1451</v>
      </c>
      <c r="D455" s="1" t="s">
        <v>530</v>
      </c>
      <c r="E455" t="s">
        <v>252</v>
      </c>
      <c r="G455" t="s">
        <v>24</v>
      </c>
      <c r="I455">
        <v>55</v>
      </c>
      <c r="J455">
        <v>80</v>
      </c>
      <c r="K455">
        <v>25</v>
      </c>
      <c r="L455">
        <v>0.45450000000000002</v>
      </c>
      <c r="M455" t="s">
        <v>3369</v>
      </c>
      <c r="N455">
        <v>455</v>
      </c>
    </row>
    <row r="456" spans="1:14" x14ac:dyDescent="0.25">
      <c r="A456" t="s">
        <v>2224</v>
      </c>
      <c r="B456">
        <v>452</v>
      </c>
      <c r="C456">
        <v>1452</v>
      </c>
      <c r="D456" s="1" t="s">
        <v>531</v>
      </c>
      <c r="E456" t="s">
        <v>252</v>
      </c>
      <c r="G456" t="s">
        <v>24</v>
      </c>
      <c r="I456">
        <v>55</v>
      </c>
      <c r="J456">
        <v>80</v>
      </c>
      <c r="K456">
        <v>25</v>
      </c>
      <c r="L456">
        <v>0.45450000000000002</v>
      </c>
      <c r="M456" t="s">
        <v>3369</v>
      </c>
      <c r="N456">
        <v>456</v>
      </c>
    </row>
    <row r="457" spans="1:14" x14ac:dyDescent="0.25">
      <c r="A457" t="s">
        <v>2225</v>
      </c>
      <c r="B457">
        <v>453</v>
      </c>
      <c r="C457">
        <v>1453</v>
      </c>
      <c r="D457" s="1" t="s">
        <v>532</v>
      </c>
      <c r="E457" t="s">
        <v>252</v>
      </c>
      <c r="G457" t="s">
        <v>24</v>
      </c>
      <c r="I457">
        <v>55</v>
      </c>
      <c r="J457">
        <v>80</v>
      </c>
      <c r="K457">
        <v>25</v>
      </c>
      <c r="L457">
        <v>0.45450000000000002</v>
      </c>
      <c r="M457" t="s">
        <v>3369</v>
      </c>
      <c r="N457">
        <v>457</v>
      </c>
    </row>
    <row r="458" spans="1:14" x14ac:dyDescent="0.25">
      <c r="A458" t="s">
        <v>2226</v>
      </c>
      <c r="B458">
        <v>454</v>
      </c>
      <c r="C458">
        <v>1454</v>
      </c>
      <c r="D458" s="1" t="s">
        <v>533</v>
      </c>
      <c r="E458" t="s">
        <v>521</v>
      </c>
      <c r="G458" t="s">
        <v>24</v>
      </c>
      <c r="I458">
        <v>35.700000000000003</v>
      </c>
      <c r="J458">
        <v>60</v>
      </c>
      <c r="K458">
        <v>24.3</v>
      </c>
      <c r="L458">
        <v>0.68069999999999997</v>
      </c>
      <c r="M458" t="s">
        <v>3369</v>
      </c>
      <c r="N458">
        <v>458</v>
      </c>
    </row>
    <row r="459" spans="1:14" x14ac:dyDescent="0.25">
      <c r="A459" t="s">
        <v>2227</v>
      </c>
      <c r="B459">
        <v>455</v>
      </c>
      <c r="C459">
        <v>1455</v>
      </c>
      <c r="D459" s="1" t="s">
        <v>534</v>
      </c>
      <c r="G459" t="s">
        <v>24</v>
      </c>
      <c r="I459">
        <v>57</v>
      </c>
      <c r="J459">
        <v>80</v>
      </c>
      <c r="K459">
        <v>23</v>
      </c>
      <c r="L459">
        <v>0.40350000000000003</v>
      </c>
      <c r="M459" t="s">
        <v>3369</v>
      </c>
      <c r="N459">
        <v>459</v>
      </c>
    </row>
    <row r="460" spans="1:14" x14ac:dyDescent="0.25">
      <c r="A460" t="s">
        <v>2228</v>
      </c>
      <c r="B460">
        <v>456</v>
      </c>
      <c r="C460">
        <v>1456</v>
      </c>
      <c r="D460" s="1" t="s">
        <v>535</v>
      </c>
      <c r="G460" t="s">
        <v>24</v>
      </c>
      <c r="I460">
        <v>54</v>
      </c>
      <c r="J460">
        <v>80</v>
      </c>
      <c r="K460">
        <v>26</v>
      </c>
      <c r="L460">
        <v>0.48149999999999998</v>
      </c>
      <c r="M460" t="s">
        <v>3369</v>
      </c>
      <c r="N460">
        <v>460</v>
      </c>
    </row>
    <row r="461" spans="1:14" x14ac:dyDescent="0.25">
      <c r="A461" t="s">
        <v>2229</v>
      </c>
      <c r="B461">
        <v>457</v>
      </c>
      <c r="C461">
        <v>1457</v>
      </c>
      <c r="D461" s="1" t="s">
        <v>536</v>
      </c>
      <c r="G461" t="s">
        <v>24</v>
      </c>
      <c r="I461">
        <v>49</v>
      </c>
      <c r="J461">
        <v>75</v>
      </c>
      <c r="K461">
        <v>26</v>
      </c>
      <c r="L461">
        <v>0.53059999999999996</v>
      </c>
      <c r="M461" t="s">
        <v>3369</v>
      </c>
      <c r="N461">
        <v>461</v>
      </c>
    </row>
    <row r="462" spans="1:14" x14ac:dyDescent="0.25">
      <c r="A462" t="s">
        <v>2230</v>
      </c>
      <c r="B462">
        <v>458</v>
      </c>
      <c r="C462">
        <v>1458</v>
      </c>
      <c r="D462" s="1" t="s">
        <v>537</v>
      </c>
      <c r="G462" t="s">
        <v>24</v>
      </c>
      <c r="I462">
        <v>12</v>
      </c>
      <c r="J462">
        <v>28</v>
      </c>
      <c r="K462">
        <v>16</v>
      </c>
      <c r="L462">
        <v>1.3332999999999999</v>
      </c>
      <c r="M462" t="s">
        <v>3369</v>
      </c>
      <c r="N462">
        <v>462</v>
      </c>
    </row>
    <row r="463" spans="1:14" x14ac:dyDescent="0.25">
      <c r="A463" t="s">
        <v>2231</v>
      </c>
      <c r="B463">
        <v>459</v>
      </c>
      <c r="C463">
        <v>1459</v>
      </c>
      <c r="D463" s="1" t="s">
        <v>538</v>
      </c>
      <c r="E463" t="s">
        <v>273</v>
      </c>
      <c r="G463" t="s">
        <v>24</v>
      </c>
      <c r="I463">
        <v>145</v>
      </c>
      <c r="J463">
        <v>235</v>
      </c>
      <c r="K463">
        <v>90</v>
      </c>
      <c r="L463">
        <v>0.62070000000000003</v>
      </c>
      <c r="M463" t="s">
        <v>3369</v>
      </c>
      <c r="N463">
        <v>463</v>
      </c>
    </row>
    <row r="464" spans="1:14" x14ac:dyDescent="0.25">
      <c r="A464" t="s">
        <v>2232</v>
      </c>
      <c r="B464">
        <v>460</v>
      </c>
      <c r="C464">
        <v>1460</v>
      </c>
      <c r="D464" s="1" t="s">
        <v>539</v>
      </c>
      <c r="E464" t="s">
        <v>273</v>
      </c>
      <c r="G464" t="s">
        <v>24</v>
      </c>
      <c r="I464">
        <v>175</v>
      </c>
      <c r="J464">
        <v>270</v>
      </c>
      <c r="K464">
        <v>95</v>
      </c>
      <c r="L464">
        <v>0.54290000000000005</v>
      </c>
      <c r="M464" t="s">
        <v>3369</v>
      </c>
      <c r="N464">
        <v>464</v>
      </c>
    </row>
    <row r="465" spans="1:14" x14ac:dyDescent="0.25">
      <c r="A465" t="s">
        <v>2233</v>
      </c>
      <c r="B465">
        <v>461</v>
      </c>
      <c r="C465">
        <v>1461</v>
      </c>
      <c r="D465" s="1" t="s">
        <v>540</v>
      </c>
      <c r="G465" t="s">
        <v>55</v>
      </c>
      <c r="I465">
        <v>72</v>
      </c>
      <c r="J465">
        <v>95</v>
      </c>
      <c r="K465">
        <v>23</v>
      </c>
      <c r="L465">
        <v>0.31940000000000002</v>
      </c>
      <c r="M465" t="s">
        <v>3369</v>
      </c>
      <c r="N465">
        <v>465</v>
      </c>
    </row>
    <row r="466" spans="1:14" x14ac:dyDescent="0.25">
      <c r="A466" t="s">
        <v>2234</v>
      </c>
      <c r="B466">
        <v>462</v>
      </c>
      <c r="C466">
        <v>1462</v>
      </c>
      <c r="D466" s="1" t="s">
        <v>541</v>
      </c>
      <c r="G466" t="s">
        <v>55</v>
      </c>
      <c r="I466">
        <v>72</v>
      </c>
      <c r="J466">
        <v>95</v>
      </c>
      <c r="K466">
        <v>23</v>
      </c>
      <c r="L466">
        <v>0.31940000000000002</v>
      </c>
      <c r="M466" t="s">
        <v>3369</v>
      </c>
      <c r="N466">
        <v>466</v>
      </c>
    </row>
    <row r="467" spans="1:14" x14ac:dyDescent="0.25">
      <c r="A467" t="s">
        <v>2235</v>
      </c>
      <c r="B467">
        <v>463</v>
      </c>
      <c r="C467">
        <v>1463</v>
      </c>
      <c r="D467" s="1" t="s">
        <v>542</v>
      </c>
      <c r="G467" t="s">
        <v>55</v>
      </c>
      <c r="I467">
        <v>61.6</v>
      </c>
      <c r="J467">
        <v>85</v>
      </c>
      <c r="K467">
        <v>23.4</v>
      </c>
      <c r="L467">
        <v>0.37990000000000002</v>
      </c>
      <c r="M467" t="s">
        <v>3369</v>
      </c>
      <c r="N467">
        <v>467</v>
      </c>
    </row>
    <row r="468" spans="1:14" x14ac:dyDescent="0.25">
      <c r="A468" t="s">
        <v>2236</v>
      </c>
      <c r="B468">
        <v>464</v>
      </c>
      <c r="C468">
        <v>1464</v>
      </c>
      <c r="D468" s="1" t="s">
        <v>543</v>
      </c>
      <c r="E468" t="s">
        <v>544</v>
      </c>
      <c r="G468" t="s">
        <v>24</v>
      </c>
      <c r="I468">
        <v>28</v>
      </c>
      <c r="J468">
        <v>50</v>
      </c>
      <c r="K468">
        <v>22</v>
      </c>
      <c r="L468">
        <v>0.78569999999999995</v>
      </c>
      <c r="M468" t="s">
        <v>3369</v>
      </c>
      <c r="N468">
        <v>468</v>
      </c>
    </row>
    <row r="469" spans="1:14" x14ac:dyDescent="0.25">
      <c r="A469" t="s">
        <v>2237</v>
      </c>
      <c r="B469">
        <v>465</v>
      </c>
      <c r="C469">
        <v>1465</v>
      </c>
      <c r="D469" s="1" t="s">
        <v>545</v>
      </c>
      <c r="G469" t="s">
        <v>546</v>
      </c>
      <c r="I469">
        <v>55</v>
      </c>
      <c r="J469">
        <v>80</v>
      </c>
      <c r="K469">
        <v>25</v>
      </c>
      <c r="L469">
        <v>0.45450000000000002</v>
      </c>
      <c r="M469" t="s">
        <v>3369</v>
      </c>
      <c r="N469">
        <v>469</v>
      </c>
    </row>
    <row r="470" spans="1:14" x14ac:dyDescent="0.25">
      <c r="A470" t="s">
        <v>2238</v>
      </c>
      <c r="B470">
        <v>466</v>
      </c>
      <c r="C470">
        <v>1466</v>
      </c>
      <c r="D470" s="1" t="s">
        <v>547</v>
      </c>
      <c r="G470" t="s">
        <v>546</v>
      </c>
      <c r="I470">
        <v>18</v>
      </c>
      <c r="J470">
        <v>30</v>
      </c>
      <c r="K470">
        <v>12</v>
      </c>
      <c r="L470">
        <v>0.66669999999999996</v>
      </c>
      <c r="M470" t="s">
        <v>3369</v>
      </c>
      <c r="N470">
        <v>470</v>
      </c>
    </row>
    <row r="471" spans="1:14" x14ac:dyDescent="0.25">
      <c r="A471" t="s">
        <v>2239</v>
      </c>
      <c r="B471">
        <v>467</v>
      </c>
      <c r="C471">
        <v>1467</v>
      </c>
      <c r="D471" s="1" t="s">
        <v>548</v>
      </c>
      <c r="G471" t="s">
        <v>546</v>
      </c>
      <c r="I471">
        <v>25</v>
      </c>
      <c r="J471">
        <v>40</v>
      </c>
      <c r="K471">
        <v>15</v>
      </c>
      <c r="L471">
        <v>0.6</v>
      </c>
      <c r="M471" t="s">
        <v>3369</v>
      </c>
      <c r="N471">
        <v>471</v>
      </c>
    </row>
    <row r="472" spans="1:14" x14ac:dyDescent="0.25">
      <c r="A472" t="s">
        <v>2240</v>
      </c>
      <c r="B472">
        <v>468</v>
      </c>
      <c r="C472">
        <v>1468</v>
      </c>
      <c r="D472" s="1" t="s">
        <v>549</v>
      </c>
      <c r="G472" t="s">
        <v>546</v>
      </c>
      <c r="I472">
        <v>35</v>
      </c>
      <c r="J472">
        <v>55</v>
      </c>
      <c r="K472">
        <v>20</v>
      </c>
      <c r="L472">
        <v>0.57140000000000002</v>
      </c>
      <c r="M472" t="s">
        <v>3369</v>
      </c>
      <c r="N472">
        <v>472</v>
      </c>
    </row>
    <row r="473" spans="1:14" x14ac:dyDescent="0.25">
      <c r="A473" t="s">
        <v>2241</v>
      </c>
      <c r="B473">
        <v>469</v>
      </c>
      <c r="C473">
        <v>1469</v>
      </c>
      <c r="D473" s="1" t="s">
        <v>550</v>
      </c>
      <c r="G473" t="s">
        <v>546</v>
      </c>
      <c r="I473">
        <v>33</v>
      </c>
      <c r="J473">
        <v>45</v>
      </c>
      <c r="K473">
        <v>12</v>
      </c>
      <c r="L473">
        <v>0.36359999999999998</v>
      </c>
      <c r="M473" t="s">
        <v>3369</v>
      </c>
      <c r="N473">
        <v>473</v>
      </c>
    </row>
    <row r="474" spans="1:14" x14ac:dyDescent="0.25">
      <c r="A474" t="s">
        <v>2242</v>
      </c>
      <c r="B474">
        <v>470</v>
      </c>
      <c r="C474">
        <v>1470</v>
      </c>
      <c r="D474" s="1" t="s">
        <v>551</v>
      </c>
      <c r="G474" t="s">
        <v>546</v>
      </c>
      <c r="I474">
        <v>35</v>
      </c>
      <c r="J474">
        <v>55</v>
      </c>
      <c r="K474">
        <v>20</v>
      </c>
      <c r="L474">
        <v>0.57140000000000002</v>
      </c>
      <c r="M474" t="s">
        <v>3369</v>
      </c>
      <c r="N474">
        <v>474</v>
      </c>
    </row>
    <row r="475" spans="1:14" x14ac:dyDescent="0.25">
      <c r="A475" t="s">
        <v>2243</v>
      </c>
      <c r="B475">
        <v>471</v>
      </c>
      <c r="C475">
        <v>1471</v>
      </c>
      <c r="D475" s="1" t="s">
        <v>552</v>
      </c>
      <c r="G475" t="s">
        <v>546</v>
      </c>
      <c r="I475">
        <v>25</v>
      </c>
      <c r="J475">
        <v>40</v>
      </c>
      <c r="K475">
        <v>15</v>
      </c>
      <c r="L475">
        <v>0.6</v>
      </c>
      <c r="M475" t="s">
        <v>3369</v>
      </c>
      <c r="N475">
        <v>475</v>
      </c>
    </row>
    <row r="476" spans="1:14" x14ac:dyDescent="0.25">
      <c r="A476" t="s">
        <v>2244</v>
      </c>
      <c r="B476">
        <v>472</v>
      </c>
      <c r="C476">
        <v>1472</v>
      </c>
      <c r="D476" s="1" t="s">
        <v>553</v>
      </c>
      <c r="G476" t="s">
        <v>24</v>
      </c>
      <c r="I476">
        <v>29</v>
      </c>
      <c r="J476">
        <v>45</v>
      </c>
      <c r="K476">
        <v>16</v>
      </c>
      <c r="L476">
        <v>0.55169999999999997</v>
      </c>
      <c r="M476" t="s">
        <v>3369</v>
      </c>
      <c r="N476">
        <v>476</v>
      </c>
    </row>
    <row r="477" spans="1:14" x14ac:dyDescent="0.25">
      <c r="A477" t="s">
        <v>2245</v>
      </c>
      <c r="B477">
        <v>473</v>
      </c>
      <c r="C477">
        <v>1473</v>
      </c>
      <c r="D477" s="1" t="s">
        <v>554</v>
      </c>
      <c r="G477" t="s">
        <v>24</v>
      </c>
      <c r="I477">
        <v>25</v>
      </c>
      <c r="J477">
        <v>45</v>
      </c>
      <c r="K477">
        <v>20</v>
      </c>
      <c r="L477">
        <v>0.8</v>
      </c>
      <c r="M477" t="s">
        <v>3369</v>
      </c>
      <c r="N477">
        <v>477</v>
      </c>
    </row>
    <row r="478" spans="1:14" x14ac:dyDescent="0.25">
      <c r="A478" t="s">
        <v>2246</v>
      </c>
      <c r="B478">
        <v>474</v>
      </c>
      <c r="C478">
        <v>1474</v>
      </c>
      <c r="D478" s="1" t="s">
        <v>555</v>
      </c>
      <c r="G478" t="s">
        <v>24</v>
      </c>
      <c r="I478">
        <v>19</v>
      </c>
      <c r="J478">
        <v>35</v>
      </c>
      <c r="K478">
        <v>16</v>
      </c>
      <c r="L478">
        <v>0.84209999999999996</v>
      </c>
      <c r="M478" t="s">
        <v>3369</v>
      </c>
      <c r="N478">
        <v>478</v>
      </c>
    </row>
    <row r="479" spans="1:14" x14ac:dyDescent="0.25">
      <c r="A479" t="s">
        <v>2247</v>
      </c>
      <c r="B479">
        <v>475</v>
      </c>
      <c r="C479">
        <v>1475</v>
      </c>
      <c r="D479" s="1" t="s">
        <v>556</v>
      </c>
      <c r="G479" t="s">
        <v>24</v>
      </c>
      <c r="I479">
        <v>29</v>
      </c>
      <c r="J479">
        <v>50</v>
      </c>
      <c r="K479">
        <v>21</v>
      </c>
      <c r="L479">
        <v>0.72409999999999997</v>
      </c>
      <c r="M479" t="s">
        <v>3369</v>
      </c>
      <c r="N479">
        <v>479</v>
      </c>
    </row>
    <row r="480" spans="1:14" x14ac:dyDescent="0.25">
      <c r="A480" t="s">
        <v>2248</v>
      </c>
      <c r="B480">
        <v>476</v>
      </c>
      <c r="C480">
        <v>1476</v>
      </c>
      <c r="D480" s="1" t="s">
        <v>557</v>
      </c>
      <c r="G480" t="s">
        <v>24</v>
      </c>
      <c r="I480">
        <v>29</v>
      </c>
      <c r="J480">
        <v>50</v>
      </c>
      <c r="K480">
        <v>21</v>
      </c>
      <c r="L480">
        <v>0.72409999999999997</v>
      </c>
      <c r="M480" t="s">
        <v>3369</v>
      </c>
      <c r="N480">
        <v>480</v>
      </c>
    </row>
    <row r="481" spans="1:14" x14ac:dyDescent="0.25">
      <c r="A481" t="s">
        <v>2249</v>
      </c>
      <c r="B481">
        <v>477</v>
      </c>
      <c r="C481">
        <v>1477</v>
      </c>
      <c r="D481" s="1" t="s">
        <v>558</v>
      </c>
      <c r="G481" t="s">
        <v>24</v>
      </c>
      <c r="I481">
        <v>119</v>
      </c>
      <c r="J481">
        <v>190</v>
      </c>
      <c r="K481">
        <v>71</v>
      </c>
      <c r="L481">
        <v>0.59660000000000002</v>
      </c>
      <c r="M481" t="s">
        <v>3369</v>
      </c>
      <c r="N481">
        <v>481</v>
      </c>
    </row>
    <row r="482" spans="1:14" x14ac:dyDescent="0.25">
      <c r="A482" t="s">
        <v>2250</v>
      </c>
      <c r="B482">
        <v>478</v>
      </c>
      <c r="C482">
        <v>1478</v>
      </c>
      <c r="D482" s="1" t="s">
        <v>559</v>
      </c>
      <c r="G482" t="s">
        <v>24</v>
      </c>
      <c r="I482">
        <v>99</v>
      </c>
      <c r="J482">
        <v>140</v>
      </c>
      <c r="K482">
        <v>41</v>
      </c>
      <c r="L482">
        <v>0.41410000000000002</v>
      </c>
      <c r="M482" t="s">
        <v>3369</v>
      </c>
      <c r="N482">
        <v>482</v>
      </c>
    </row>
    <row r="483" spans="1:14" x14ac:dyDescent="0.25">
      <c r="A483" t="s">
        <v>2251</v>
      </c>
      <c r="B483">
        <v>479</v>
      </c>
      <c r="C483">
        <v>1479</v>
      </c>
      <c r="D483" s="1" t="s">
        <v>560</v>
      </c>
      <c r="G483" t="s">
        <v>24</v>
      </c>
      <c r="I483">
        <v>65</v>
      </c>
      <c r="J483">
        <v>90</v>
      </c>
      <c r="K483">
        <v>25</v>
      </c>
      <c r="L483">
        <v>0.3846</v>
      </c>
      <c r="M483" t="s">
        <v>3369</v>
      </c>
      <c r="N483">
        <v>483</v>
      </c>
    </row>
    <row r="484" spans="1:14" x14ac:dyDescent="0.25">
      <c r="A484" t="s">
        <v>2252</v>
      </c>
      <c r="B484">
        <v>480</v>
      </c>
      <c r="C484">
        <v>1480</v>
      </c>
      <c r="D484" s="1" t="s">
        <v>561</v>
      </c>
      <c r="G484" t="s">
        <v>24</v>
      </c>
      <c r="I484">
        <v>59</v>
      </c>
      <c r="J484">
        <v>80</v>
      </c>
      <c r="K484">
        <v>21</v>
      </c>
      <c r="L484">
        <v>0.35589999999999999</v>
      </c>
      <c r="M484" t="s">
        <v>3369</v>
      </c>
      <c r="N484">
        <v>484</v>
      </c>
    </row>
    <row r="485" spans="1:14" x14ac:dyDescent="0.25">
      <c r="A485" t="s">
        <v>2253</v>
      </c>
      <c r="B485">
        <v>481</v>
      </c>
      <c r="C485">
        <v>1481</v>
      </c>
      <c r="D485" s="1" t="s">
        <v>562</v>
      </c>
      <c r="G485" t="s">
        <v>24</v>
      </c>
      <c r="I485">
        <v>69</v>
      </c>
      <c r="J485">
        <v>95</v>
      </c>
      <c r="K485">
        <v>26</v>
      </c>
      <c r="L485">
        <v>0.37680000000000002</v>
      </c>
      <c r="M485" t="s">
        <v>3369</v>
      </c>
      <c r="N485">
        <v>485</v>
      </c>
    </row>
    <row r="486" spans="1:14" x14ac:dyDescent="0.25">
      <c r="A486" t="s">
        <v>2254</v>
      </c>
      <c r="B486">
        <v>482</v>
      </c>
      <c r="C486">
        <v>1482</v>
      </c>
      <c r="D486" s="1" t="s">
        <v>563</v>
      </c>
      <c r="G486" t="s">
        <v>24</v>
      </c>
      <c r="I486">
        <v>39</v>
      </c>
      <c r="J486">
        <v>65</v>
      </c>
      <c r="K486">
        <v>26</v>
      </c>
      <c r="L486">
        <v>0.66669999999999996</v>
      </c>
      <c r="M486" t="s">
        <v>3369</v>
      </c>
      <c r="N486">
        <v>486</v>
      </c>
    </row>
    <row r="487" spans="1:14" x14ac:dyDescent="0.25">
      <c r="A487" t="s">
        <v>2255</v>
      </c>
      <c r="B487">
        <v>483</v>
      </c>
      <c r="C487">
        <v>1483</v>
      </c>
      <c r="D487" s="1" t="s">
        <v>564</v>
      </c>
      <c r="G487" t="s">
        <v>24</v>
      </c>
      <c r="I487">
        <v>49</v>
      </c>
      <c r="J487">
        <v>75</v>
      </c>
      <c r="K487">
        <v>26</v>
      </c>
      <c r="L487">
        <v>0.53059999999999996</v>
      </c>
      <c r="M487" t="s">
        <v>3369</v>
      </c>
      <c r="N487">
        <v>487</v>
      </c>
    </row>
    <row r="488" spans="1:14" x14ac:dyDescent="0.25">
      <c r="A488" t="s">
        <v>2256</v>
      </c>
      <c r="B488">
        <v>484</v>
      </c>
      <c r="C488">
        <v>1484</v>
      </c>
      <c r="D488" s="1" t="s">
        <v>565</v>
      </c>
      <c r="G488" t="s">
        <v>24</v>
      </c>
      <c r="I488">
        <v>25</v>
      </c>
      <c r="J488">
        <v>50</v>
      </c>
      <c r="K488">
        <v>25</v>
      </c>
      <c r="L488">
        <v>1</v>
      </c>
      <c r="M488" t="s">
        <v>3369</v>
      </c>
      <c r="N488">
        <v>488</v>
      </c>
    </row>
    <row r="489" spans="1:14" x14ac:dyDescent="0.25">
      <c r="A489" t="s">
        <v>2257</v>
      </c>
      <c r="B489">
        <v>485</v>
      </c>
      <c r="C489">
        <v>1485</v>
      </c>
      <c r="D489" s="1" t="s">
        <v>566</v>
      </c>
      <c r="G489" t="s">
        <v>24</v>
      </c>
      <c r="I489">
        <v>79</v>
      </c>
      <c r="J489">
        <v>130</v>
      </c>
      <c r="K489">
        <v>51</v>
      </c>
      <c r="L489">
        <v>0.64559999999999995</v>
      </c>
      <c r="M489" t="s">
        <v>3369</v>
      </c>
      <c r="N489">
        <v>489</v>
      </c>
    </row>
    <row r="490" spans="1:14" x14ac:dyDescent="0.25">
      <c r="A490" t="s">
        <v>2258</v>
      </c>
      <c r="B490">
        <v>486</v>
      </c>
      <c r="C490">
        <v>1486</v>
      </c>
      <c r="D490" s="1" t="s">
        <v>567</v>
      </c>
      <c r="G490" t="s">
        <v>24</v>
      </c>
      <c r="I490">
        <v>65</v>
      </c>
      <c r="J490">
        <v>110</v>
      </c>
      <c r="K490">
        <v>45</v>
      </c>
      <c r="L490">
        <v>0.69230000000000003</v>
      </c>
      <c r="M490" t="s">
        <v>3369</v>
      </c>
      <c r="N490">
        <v>490</v>
      </c>
    </row>
    <row r="491" spans="1:14" x14ac:dyDescent="0.25">
      <c r="A491" t="s">
        <v>2259</v>
      </c>
      <c r="B491">
        <v>487</v>
      </c>
      <c r="C491">
        <v>1487</v>
      </c>
      <c r="D491" s="1" t="s">
        <v>568</v>
      </c>
      <c r="G491" t="s">
        <v>24</v>
      </c>
      <c r="I491">
        <v>159</v>
      </c>
      <c r="J491">
        <v>230</v>
      </c>
      <c r="K491">
        <v>71</v>
      </c>
      <c r="L491">
        <v>0.44650000000000001</v>
      </c>
      <c r="M491" t="s">
        <v>3370</v>
      </c>
      <c r="N491">
        <v>491</v>
      </c>
    </row>
    <row r="492" spans="1:14" x14ac:dyDescent="0.25">
      <c r="A492" t="s">
        <v>2260</v>
      </c>
      <c r="B492">
        <v>488</v>
      </c>
      <c r="C492">
        <v>1488</v>
      </c>
      <c r="D492" s="1" t="s">
        <v>569</v>
      </c>
      <c r="G492" t="s">
        <v>24</v>
      </c>
      <c r="I492">
        <v>145</v>
      </c>
      <c r="J492">
        <v>220</v>
      </c>
      <c r="K492">
        <v>75</v>
      </c>
      <c r="L492">
        <v>0.51719999999999999</v>
      </c>
      <c r="M492" t="s">
        <v>3370</v>
      </c>
      <c r="N492">
        <v>492</v>
      </c>
    </row>
    <row r="493" spans="1:14" x14ac:dyDescent="0.25">
      <c r="A493" t="s">
        <v>2261</v>
      </c>
      <c r="B493">
        <v>489</v>
      </c>
      <c r="C493">
        <v>1489</v>
      </c>
      <c r="D493" s="1" t="s">
        <v>570</v>
      </c>
      <c r="G493" t="s">
        <v>24</v>
      </c>
      <c r="I493">
        <v>49</v>
      </c>
      <c r="J493">
        <v>70</v>
      </c>
      <c r="K493">
        <v>21</v>
      </c>
      <c r="L493">
        <v>0.42859999999999998</v>
      </c>
      <c r="M493" t="s">
        <v>3370</v>
      </c>
      <c r="N493">
        <v>493</v>
      </c>
    </row>
    <row r="494" spans="1:14" x14ac:dyDescent="0.25">
      <c r="A494" t="s">
        <v>2262</v>
      </c>
      <c r="B494">
        <v>490</v>
      </c>
      <c r="C494">
        <v>1490</v>
      </c>
      <c r="D494" s="1" t="s">
        <v>571</v>
      </c>
      <c r="G494" t="s">
        <v>24</v>
      </c>
      <c r="I494">
        <v>158</v>
      </c>
      <c r="J494">
        <v>215</v>
      </c>
      <c r="K494">
        <v>57</v>
      </c>
      <c r="L494">
        <v>0.36080000000000001</v>
      </c>
      <c r="M494" t="s">
        <v>3370</v>
      </c>
      <c r="N494">
        <v>494</v>
      </c>
    </row>
    <row r="495" spans="1:14" x14ac:dyDescent="0.25">
      <c r="A495" t="s">
        <v>2263</v>
      </c>
      <c r="B495">
        <v>491</v>
      </c>
      <c r="C495">
        <v>1491</v>
      </c>
      <c r="D495" s="1" t="s">
        <v>572</v>
      </c>
      <c r="G495" t="s">
        <v>24</v>
      </c>
      <c r="I495">
        <v>250</v>
      </c>
      <c r="J495">
        <v>360</v>
      </c>
      <c r="K495">
        <v>110</v>
      </c>
      <c r="L495">
        <v>0.44</v>
      </c>
      <c r="M495" t="s">
        <v>3370</v>
      </c>
      <c r="N495">
        <v>495</v>
      </c>
    </row>
    <row r="496" spans="1:14" x14ac:dyDescent="0.25">
      <c r="A496" t="s">
        <v>2264</v>
      </c>
      <c r="B496">
        <v>492</v>
      </c>
      <c r="C496">
        <v>1492</v>
      </c>
      <c r="D496" s="1" t="s">
        <v>573</v>
      </c>
      <c r="G496" t="s">
        <v>55</v>
      </c>
      <c r="I496">
        <v>41</v>
      </c>
      <c r="J496">
        <v>65</v>
      </c>
      <c r="K496">
        <v>24</v>
      </c>
      <c r="L496">
        <v>0.58540000000000003</v>
      </c>
      <c r="M496" t="s">
        <v>3370</v>
      </c>
      <c r="N496">
        <v>496</v>
      </c>
    </row>
    <row r="497" spans="1:14" x14ac:dyDescent="0.25">
      <c r="A497" t="s">
        <v>2265</v>
      </c>
      <c r="B497">
        <v>493</v>
      </c>
      <c r="C497">
        <v>1493</v>
      </c>
      <c r="D497" s="1" t="s">
        <v>574</v>
      </c>
      <c r="G497" t="s">
        <v>55</v>
      </c>
      <c r="I497">
        <v>53</v>
      </c>
      <c r="J497">
        <v>110</v>
      </c>
      <c r="K497">
        <v>57</v>
      </c>
      <c r="L497">
        <v>1.0754999999999999</v>
      </c>
      <c r="M497" t="s">
        <v>3370</v>
      </c>
      <c r="N497">
        <v>497</v>
      </c>
    </row>
    <row r="498" spans="1:14" x14ac:dyDescent="0.25">
      <c r="A498" t="s">
        <v>2266</v>
      </c>
      <c r="B498">
        <v>494</v>
      </c>
      <c r="C498">
        <v>1494</v>
      </c>
      <c r="D498" s="1" t="s">
        <v>575</v>
      </c>
      <c r="E498" t="s">
        <v>576</v>
      </c>
      <c r="G498" t="s">
        <v>546</v>
      </c>
      <c r="I498">
        <v>14</v>
      </c>
      <c r="J498">
        <v>35</v>
      </c>
      <c r="K498">
        <v>21</v>
      </c>
      <c r="L498">
        <v>1.5</v>
      </c>
      <c r="M498" t="s">
        <v>3370</v>
      </c>
      <c r="N498">
        <v>498</v>
      </c>
    </row>
    <row r="499" spans="1:14" x14ac:dyDescent="0.25">
      <c r="A499" t="s">
        <v>2267</v>
      </c>
      <c r="B499">
        <v>495</v>
      </c>
      <c r="C499">
        <v>1495</v>
      </c>
      <c r="D499" s="1" t="s">
        <v>577</v>
      </c>
      <c r="E499" t="s">
        <v>576</v>
      </c>
      <c r="G499" t="s">
        <v>546</v>
      </c>
      <c r="I499">
        <v>23</v>
      </c>
      <c r="J499">
        <v>45</v>
      </c>
      <c r="K499">
        <v>22</v>
      </c>
      <c r="L499">
        <v>0.95650000000000002</v>
      </c>
      <c r="M499" t="s">
        <v>3370</v>
      </c>
      <c r="N499">
        <v>499</v>
      </c>
    </row>
    <row r="500" spans="1:14" x14ac:dyDescent="0.25">
      <c r="A500" t="s">
        <v>2268</v>
      </c>
      <c r="B500">
        <v>496</v>
      </c>
      <c r="C500">
        <v>1496</v>
      </c>
      <c r="D500" s="1" t="s">
        <v>578</v>
      </c>
      <c r="E500" t="s">
        <v>576</v>
      </c>
      <c r="G500" t="s">
        <v>546</v>
      </c>
      <c r="I500">
        <v>54</v>
      </c>
      <c r="J500">
        <v>95</v>
      </c>
      <c r="K500">
        <v>41</v>
      </c>
      <c r="L500">
        <v>0.75929999999999997</v>
      </c>
      <c r="M500" t="s">
        <v>3370</v>
      </c>
      <c r="N500">
        <v>500</v>
      </c>
    </row>
    <row r="501" spans="1:14" x14ac:dyDescent="0.25">
      <c r="A501" t="s">
        <v>2269</v>
      </c>
      <c r="B501">
        <v>497</v>
      </c>
      <c r="C501">
        <v>1497</v>
      </c>
      <c r="D501" s="1" t="s">
        <v>579</v>
      </c>
      <c r="E501" t="s">
        <v>580</v>
      </c>
      <c r="G501" t="s">
        <v>24</v>
      </c>
      <c r="I501">
        <v>160</v>
      </c>
      <c r="J501">
        <v>260</v>
      </c>
      <c r="K501">
        <v>100</v>
      </c>
      <c r="L501">
        <v>0.625</v>
      </c>
      <c r="M501" t="s">
        <v>3370</v>
      </c>
      <c r="N501">
        <v>501</v>
      </c>
    </row>
    <row r="502" spans="1:14" x14ac:dyDescent="0.25">
      <c r="A502" t="s">
        <v>2270</v>
      </c>
      <c r="B502">
        <v>498</v>
      </c>
      <c r="C502">
        <v>1498</v>
      </c>
      <c r="D502" s="1" t="s">
        <v>581</v>
      </c>
      <c r="E502" t="s">
        <v>582</v>
      </c>
      <c r="G502" t="s">
        <v>24</v>
      </c>
      <c r="I502">
        <v>14</v>
      </c>
      <c r="J502">
        <v>55</v>
      </c>
      <c r="K502">
        <v>41</v>
      </c>
      <c r="L502">
        <v>2.9285999999999999</v>
      </c>
      <c r="M502" t="s">
        <v>3370</v>
      </c>
      <c r="N502">
        <v>502</v>
      </c>
    </row>
    <row r="503" spans="1:14" x14ac:dyDescent="0.25">
      <c r="A503" t="s">
        <v>2271</v>
      </c>
      <c r="B503">
        <v>499</v>
      </c>
      <c r="C503">
        <v>1499</v>
      </c>
      <c r="D503" s="1" t="s">
        <v>583</v>
      </c>
      <c r="E503" t="s">
        <v>582</v>
      </c>
      <c r="G503" t="s">
        <v>24</v>
      </c>
      <c r="I503">
        <v>35</v>
      </c>
      <c r="J503">
        <v>70</v>
      </c>
      <c r="K503">
        <v>35</v>
      </c>
      <c r="L503">
        <v>1</v>
      </c>
      <c r="M503" t="s">
        <v>3370</v>
      </c>
      <c r="N503">
        <v>503</v>
      </c>
    </row>
    <row r="504" spans="1:14" x14ac:dyDescent="0.25">
      <c r="A504" t="s">
        <v>2272</v>
      </c>
      <c r="B504">
        <v>500</v>
      </c>
      <c r="C504">
        <v>1500</v>
      </c>
      <c r="D504" s="1" t="s">
        <v>584</v>
      </c>
      <c r="E504" t="s">
        <v>585</v>
      </c>
      <c r="G504" t="s">
        <v>24</v>
      </c>
      <c r="I504">
        <v>50</v>
      </c>
      <c r="J504">
        <v>85</v>
      </c>
      <c r="K504">
        <v>35</v>
      </c>
      <c r="L504">
        <v>0.7</v>
      </c>
      <c r="M504" t="s">
        <v>3370</v>
      </c>
      <c r="N504">
        <v>504</v>
      </c>
    </row>
    <row r="505" spans="1:14" x14ac:dyDescent="0.25">
      <c r="A505" t="s">
        <v>2273</v>
      </c>
      <c r="B505">
        <v>501</v>
      </c>
      <c r="C505">
        <v>1501</v>
      </c>
      <c r="D505" s="1" t="s">
        <v>586</v>
      </c>
      <c r="E505" t="s">
        <v>587</v>
      </c>
      <c r="G505" t="s">
        <v>24</v>
      </c>
      <c r="I505">
        <v>90</v>
      </c>
      <c r="J505">
        <v>120</v>
      </c>
      <c r="K505">
        <v>30</v>
      </c>
      <c r="L505">
        <v>0.33329999999999999</v>
      </c>
      <c r="M505" t="s">
        <v>3370</v>
      </c>
      <c r="N505">
        <v>505</v>
      </c>
    </row>
    <row r="506" spans="1:14" x14ac:dyDescent="0.25">
      <c r="A506" t="s">
        <v>2274</v>
      </c>
      <c r="B506">
        <v>502</v>
      </c>
      <c r="C506">
        <v>1502</v>
      </c>
      <c r="D506" s="1" t="s">
        <v>588</v>
      </c>
      <c r="E506" t="s">
        <v>587</v>
      </c>
      <c r="G506" t="s">
        <v>24</v>
      </c>
      <c r="I506">
        <v>60</v>
      </c>
      <c r="J506">
        <v>95</v>
      </c>
      <c r="K506">
        <v>35</v>
      </c>
      <c r="L506">
        <v>0.58330000000000004</v>
      </c>
      <c r="M506" t="s">
        <v>3370</v>
      </c>
      <c r="N506">
        <v>506</v>
      </c>
    </row>
    <row r="507" spans="1:14" x14ac:dyDescent="0.25">
      <c r="A507" t="s">
        <v>2275</v>
      </c>
      <c r="B507">
        <v>503</v>
      </c>
      <c r="C507">
        <v>1503</v>
      </c>
      <c r="D507" s="1" t="s">
        <v>589</v>
      </c>
      <c r="E507" t="s">
        <v>590</v>
      </c>
      <c r="G507" t="s">
        <v>24</v>
      </c>
      <c r="I507">
        <v>155</v>
      </c>
      <c r="J507">
        <v>210</v>
      </c>
      <c r="K507">
        <v>55</v>
      </c>
      <c r="L507">
        <v>0.3548</v>
      </c>
      <c r="M507" t="s">
        <v>3370</v>
      </c>
      <c r="N507">
        <v>507</v>
      </c>
    </row>
    <row r="508" spans="1:14" x14ac:dyDescent="0.25">
      <c r="A508" t="s">
        <v>2276</v>
      </c>
      <c r="B508">
        <v>504</v>
      </c>
      <c r="C508">
        <v>1504</v>
      </c>
      <c r="D508" s="1" t="s">
        <v>591</v>
      </c>
      <c r="G508" t="s">
        <v>55</v>
      </c>
      <c r="I508">
        <v>55</v>
      </c>
      <c r="J508">
        <v>70</v>
      </c>
      <c r="K508">
        <v>15</v>
      </c>
      <c r="L508">
        <v>0.2727</v>
      </c>
      <c r="M508" t="s">
        <v>3370</v>
      </c>
      <c r="N508">
        <v>508</v>
      </c>
    </row>
    <row r="509" spans="1:14" x14ac:dyDescent="0.25">
      <c r="A509" t="s">
        <v>2277</v>
      </c>
      <c r="B509">
        <v>505</v>
      </c>
      <c r="C509">
        <v>1505</v>
      </c>
      <c r="D509" s="1" t="s">
        <v>592</v>
      </c>
      <c r="G509" t="s">
        <v>24</v>
      </c>
      <c r="I509">
        <v>28</v>
      </c>
      <c r="J509">
        <v>45</v>
      </c>
      <c r="K509">
        <v>17</v>
      </c>
      <c r="L509">
        <v>0.60709999999999997</v>
      </c>
      <c r="M509" t="s">
        <v>3370</v>
      </c>
      <c r="N509">
        <v>509</v>
      </c>
    </row>
    <row r="510" spans="1:14" x14ac:dyDescent="0.25">
      <c r="A510" t="s">
        <v>2278</v>
      </c>
      <c r="B510">
        <v>506</v>
      </c>
      <c r="C510">
        <v>1506</v>
      </c>
      <c r="D510" s="1" t="s">
        <v>593</v>
      </c>
      <c r="E510" t="s">
        <v>582</v>
      </c>
      <c r="G510" t="s">
        <v>24</v>
      </c>
      <c r="I510">
        <v>40</v>
      </c>
      <c r="J510">
        <v>85</v>
      </c>
      <c r="K510">
        <v>45</v>
      </c>
      <c r="L510">
        <v>1.125</v>
      </c>
      <c r="M510" t="s">
        <v>3370</v>
      </c>
      <c r="N510">
        <v>510</v>
      </c>
    </row>
    <row r="511" spans="1:14" x14ac:dyDescent="0.25">
      <c r="A511" t="s">
        <v>2279</v>
      </c>
      <c r="B511">
        <v>507</v>
      </c>
      <c r="C511">
        <v>1507</v>
      </c>
      <c r="D511" s="1" t="s">
        <v>594</v>
      </c>
      <c r="E511" t="s">
        <v>582</v>
      </c>
      <c r="G511" t="s">
        <v>24</v>
      </c>
      <c r="I511">
        <v>40</v>
      </c>
      <c r="J511">
        <v>85</v>
      </c>
      <c r="K511">
        <v>45</v>
      </c>
      <c r="L511">
        <v>1.125</v>
      </c>
      <c r="M511" t="s">
        <v>3370</v>
      </c>
      <c r="N511">
        <v>511</v>
      </c>
    </row>
    <row r="512" spans="1:14" x14ac:dyDescent="0.25">
      <c r="A512" t="s">
        <v>2280</v>
      </c>
      <c r="B512">
        <v>508</v>
      </c>
      <c r="C512">
        <v>1508</v>
      </c>
      <c r="D512" s="1" t="s">
        <v>595</v>
      </c>
      <c r="E512" t="s">
        <v>582</v>
      </c>
      <c r="G512" t="s">
        <v>24</v>
      </c>
      <c r="I512">
        <v>40</v>
      </c>
      <c r="J512">
        <v>85</v>
      </c>
      <c r="K512">
        <v>45</v>
      </c>
      <c r="L512">
        <v>1.125</v>
      </c>
      <c r="M512" t="s">
        <v>3370</v>
      </c>
      <c r="N512">
        <v>512</v>
      </c>
    </row>
    <row r="513" spans="1:14" x14ac:dyDescent="0.25">
      <c r="A513" t="s">
        <v>2281</v>
      </c>
      <c r="B513">
        <v>509</v>
      </c>
      <c r="C513">
        <v>1509</v>
      </c>
      <c r="D513" s="1" t="s">
        <v>596</v>
      </c>
      <c r="E513" t="s">
        <v>597</v>
      </c>
      <c r="G513" t="s">
        <v>24</v>
      </c>
      <c r="I513">
        <v>23.26</v>
      </c>
      <c r="J513">
        <v>55</v>
      </c>
      <c r="K513">
        <v>31.74</v>
      </c>
      <c r="L513">
        <v>1.3646</v>
      </c>
      <c r="M513" t="s">
        <v>3370</v>
      </c>
      <c r="N513">
        <v>513</v>
      </c>
    </row>
    <row r="514" spans="1:14" x14ac:dyDescent="0.25">
      <c r="A514" t="s">
        <v>2282</v>
      </c>
      <c r="B514">
        <v>510</v>
      </c>
      <c r="C514">
        <v>1510</v>
      </c>
      <c r="D514" s="1" t="s">
        <v>598</v>
      </c>
      <c r="E514" t="s">
        <v>597</v>
      </c>
      <c r="G514" t="s">
        <v>24</v>
      </c>
      <c r="I514">
        <v>39</v>
      </c>
      <c r="J514">
        <v>65</v>
      </c>
      <c r="K514">
        <v>26</v>
      </c>
      <c r="L514">
        <v>0.66669999999999996</v>
      </c>
      <c r="M514" t="s">
        <v>3370</v>
      </c>
      <c r="N514">
        <v>514</v>
      </c>
    </row>
    <row r="515" spans="1:14" x14ac:dyDescent="0.25">
      <c r="A515" t="s">
        <v>2283</v>
      </c>
      <c r="B515">
        <v>511</v>
      </c>
      <c r="C515">
        <v>1511</v>
      </c>
      <c r="D515" s="1" t="s">
        <v>599</v>
      </c>
      <c r="G515" t="s">
        <v>546</v>
      </c>
      <c r="I515">
        <v>180</v>
      </c>
      <c r="J515">
        <v>220</v>
      </c>
      <c r="K515">
        <v>40</v>
      </c>
      <c r="L515">
        <v>0.22220000000000001</v>
      </c>
      <c r="M515" t="s">
        <v>3370</v>
      </c>
      <c r="N515">
        <v>515</v>
      </c>
    </row>
    <row r="516" spans="1:14" x14ac:dyDescent="0.25">
      <c r="A516" t="s">
        <v>2284</v>
      </c>
      <c r="B516">
        <v>512</v>
      </c>
      <c r="C516">
        <v>1512</v>
      </c>
      <c r="D516" s="1" t="s">
        <v>600</v>
      </c>
      <c r="G516" t="s">
        <v>24</v>
      </c>
      <c r="I516">
        <v>9</v>
      </c>
      <c r="J516">
        <v>15</v>
      </c>
      <c r="K516">
        <v>6</v>
      </c>
      <c r="L516">
        <v>0.66669999999999996</v>
      </c>
      <c r="M516" t="s">
        <v>3370</v>
      </c>
      <c r="N516">
        <v>516</v>
      </c>
    </row>
    <row r="517" spans="1:14" x14ac:dyDescent="0.25">
      <c r="A517" t="s">
        <v>2285</v>
      </c>
      <c r="B517">
        <v>513</v>
      </c>
      <c r="C517">
        <v>1513</v>
      </c>
      <c r="D517" s="1" t="s">
        <v>601</v>
      </c>
      <c r="G517" t="s">
        <v>24</v>
      </c>
      <c r="I517">
        <v>10</v>
      </c>
      <c r="J517">
        <v>20</v>
      </c>
      <c r="K517">
        <v>10</v>
      </c>
      <c r="L517">
        <v>1</v>
      </c>
      <c r="M517" t="s">
        <v>3370</v>
      </c>
      <c r="N517">
        <v>517</v>
      </c>
    </row>
    <row r="518" spans="1:14" x14ac:dyDescent="0.25">
      <c r="A518" t="s">
        <v>2286</v>
      </c>
      <c r="B518">
        <v>514</v>
      </c>
      <c r="C518">
        <v>1514</v>
      </c>
      <c r="D518" s="1" t="s">
        <v>602</v>
      </c>
      <c r="G518" t="s">
        <v>24</v>
      </c>
      <c r="I518">
        <v>11</v>
      </c>
      <c r="J518">
        <v>25</v>
      </c>
      <c r="K518">
        <v>14</v>
      </c>
      <c r="L518">
        <v>1.2726999999999999</v>
      </c>
      <c r="M518" t="s">
        <v>3370</v>
      </c>
      <c r="N518">
        <v>518</v>
      </c>
    </row>
    <row r="519" spans="1:14" x14ac:dyDescent="0.25">
      <c r="A519" t="s">
        <v>2287</v>
      </c>
      <c r="B519">
        <v>515</v>
      </c>
      <c r="C519">
        <v>1515</v>
      </c>
      <c r="D519" s="1" t="s">
        <v>603</v>
      </c>
      <c r="G519" t="s">
        <v>55</v>
      </c>
      <c r="I519">
        <v>72</v>
      </c>
      <c r="J519">
        <v>95</v>
      </c>
      <c r="K519">
        <v>23</v>
      </c>
      <c r="L519">
        <v>0.31940000000000002</v>
      </c>
      <c r="M519" t="s">
        <v>3370</v>
      </c>
      <c r="N519">
        <v>519</v>
      </c>
    </row>
    <row r="520" spans="1:14" x14ac:dyDescent="0.25">
      <c r="A520" t="s">
        <v>2288</v>
      </c>
      <c r="B520">
        <v>516</v>
      </c>
      <c r="C520">
        <v>1516</v>
      </c>
      <c r="D520" s="1" t="s">
        <v>604</v>
      </c>
      <c r="G520" t="s">
        <v>24</v>
      </c>
      <c r="I520">
        <v>838</v>
      </c>
      <c r="J520">
        <v>940</v>
      </c>
      <c r="K520">
        <v>102</v>
      </c>
      <c r="L520">
        <v>0.1217</v>
      </c>
      <c r="M520" t="s">
        <v>3370</v>
      </c>
      <c r="N520">
        <v>520</v>
      </c>
    </row>
    <row r="521" spans="1:14" x14ac:dyDescent="0.25">
      <c r="A521" t="s">
        <v>2289</v>
      </c>
      <c r="B521">
        <v>517</v>
      </c>
      <c r="C521">
        <v>1517</v>
      </c>
      <c r="D521" s="1" t="s">
        <v>605</v>
      </c>
      <c r="G521" t="s">
        <v>24</v>
      </c>
      <c r="I521">
        <v>210</v>
      </c>
      <c r="J521">
        <v>260</v>
      </c>
      <c r="K521">
        <v>50</v>
      </c>
      <c r="L521">
        <v>0.23810000000000001</v>
      </c>
      <c r="M521" t="s">
        <v>3370</v>
      </c>
      <c r="N521">
        <v>521</v>
      </c>
    </row>
    <row r="522" spans="1:14" x14ac:dyDescent="0.25">
      <c r="A522" t="s">
        <v>2290</v>
      </c>
      <c r="B522">
        <v>518</v>
      </c>
      <c r="C522">
        <v>1518</v>
      </c>
      <c r="D522" s="1" t="s">
        <v>606</v>
      </c>
      <c r="E522" t="s">
        <v>360</v>
      </c>
      <c r="G522" t="s">
        <v>24</v>
      </c>
      <c r="I522">
        <v>176</v>
      </c>
      <c r="J522">
        <v>270</v>
      </c>
      <c r="K522">
        <v>94</v>
      </c>
      <c r="L522">
        <v>0.53410000000000002</v>
      </c>
      <c r="M522" t="s">
        <v>3370</v>
      </c>
      <c r="N522">
        <v>522</v>
      </c>
    </row>
    <row r="523" spans="1:14" x14ac:dyDescent="0.25">
      <c r="A523" t="s">
        <v>2291</v>
      </c>
      <c r="B523">
        <v>519</v>
      </c>
      <c r="C523">
        <v>1519</v>
      </c>
      <c r="D523" s="1" t="s">
        <v>607</v>
      </c>
      <c r="G523" t="s">
        <v>608</v>
      </c>
      <c r="I523">
        <v>12.33</v>
      </c>
      <c r="J523">
        <v>25</v>
      </c>
      <c r="K523">
        <v>12.67</v>
      </c>
      <c r="L523">
        <v>1.0276000000000001</v>
      </c>
      <c r="M523" t="s">
        <v>3370</v>
      </c>
      <c r="N523">
        <v>523</v>
      </c>
    </row>
    <row r="524" spans="1:14" x14ac:dyDescent="0.25">
      <c r="A524" t="s">
        <v>2292</v>
      </c>
      <c r="B524">
        <v>520</v>
      </c>
      <c r="C524">
        <v>1520</v>
      </c>
      <c r="D524" s="1" t="s">
        <v>609</v>
      </c>
      <c r="G524" t="s">
        <v>608</v>
      </c>
      <c r="I524">
        <v>19.7</v>
      </c>
      <c r="J524">
        <v>33</v>
      </c>
      <c r="K524">
        <v>13.3</v>
      </c>
      <c r="L524">
        <v>0.67510000000000003</v>
      </c>
      <c r="M524" t="s">
        <v>3370</v>
      </c>
      <c r="N524">
        <v>524</v>
      </c>
    </row>
    <row r="525" spans="1:14" x14ac:dyDescent="0.25">
      <c r="A525" t="s">
        <v>2293</v>
      </c>
      <c r="B525">
        <v>521</v>
      </c>
      <c r="C525">
        <v>1521</v>
      </c>
      <c r="D525" s="1" t="s">
        <v>610</v>
      </c>
      <c r="G525" t="s">
        <v>93</v>
      </c>
      <c r="I525">
        <v>8.4</v>
      </c>
      <c r="J525">
        <v>20</v>
      </c>
      <c r="K525">
        <v>11.6</v>
      </c>
      <c r="L525">
        <v>1.381</v>
      </c>
      <c r="M525" t="s">
        <v>3370</v>
      </c>
      <c r="N525">
        <v>525</v>
      </c>
    </row>
    <row r="526" spans="1:14" x14ac:dyDescent="0.25">
      <c r="A526" t="s">
        <v>2294</v>
      </c>
      <c r="B526">
        <v>522</v>
      </c>
      <c r="C526">
        <v>1522</v>
      </c>
      <c r="D526" s="1" t="s">
        <v>611</v>
      </c>
      <c r="G526" t="s">
        <v>93</v>
      </c>
      <c r="I526">
        <v>6.47</v>
      </c>
      <c r="J526">
        <v>15</v>
      </c>
      <c r="K526">
        <v>8.5299999999999994</v>
      </c>
      <c r="L526">
        <v>1.3184</v>
      </c>
      <c r="M526" t="s">
        <v>3370</v>
      </c>
      <c r="N526">
        <v>526</v>
      </c>
    </row>
    <row r="527" spans="1:14" x14ac:dyDescent="0.25">
      <c r="A527" t="s">
        <v>2295</v>
      </c>
      <c r="B527">
        <v>523</v>
      </c>
      <c r="C527">
        <v>1523</v>
      </c>
      <c r="D527" s="1" t="s">
        <v>612</v>
      </c>
      <c r="G527" t="s">
        <v>93</v>
      </c>
      <c r="I527">
        <v>17.61</v>
      </c>
      <c r="J527">
        <v>25</v>
      </c>
      <c r="K527">
        <v>7.39</v>
      </c>
      <c r="L527">
        <v>0.41959999999999997</v>
      </c>
      <c r="M527" t="s">
        <v>3370</v>
      </c>
      <c r="N527">
        <v>527</v>
      </c>
    </row>
    <row r="528" spans="1:14" x14ac:dyDescent="0.25">
      <c r="A528" t="s">
        <v>2296</v>
      </c>
      <c r="B528">
        <v>524</v>
      </c>
      <c r="C528">
        <v>1524</v>
      </c>
      <c r="D528" s="1" t="s">
        <v>613</v>
      </c>
      <c r="G528" t="s">
        <v>93</v>
      </c>
      <c r="I528">
        <v>32.159999999999997</v>
      </c>
      <c r="J528">
        <v>45</v>
      </c>
      <c r="K528">
        <v>12.84</v>
      </c>
      <c r="L528">
        <v>0.39929999999999999</v>
      </c>
      <c r="M528" t="s">
        <v>3370</v>
      </c>
      <c r="N528">
        <v>528</v>
      </c>
    </row>
    <row r="529" spans="1:14" x14ac:dyDescent="0.25">
      <c r="A529" t="s">
        <v>2297</v>
      </c>
      <c r="B529">
        <v>525</v>
      </c>
      <c r="C529">
        <v>1525</v>
      </c>
      <c r="D529" s="1" t="s">
        <v>614</v>
      </c>
      <c r="G529" t="s">
        <v>24</v>
      </c>
      <c r="I529">
        <v>150</v>
      </c>
      <c r="J529">
        <v>220</v>
      </c>
      <c r="K529">
        <v>70</v>
      </c>
      <c r="L529">
        <v>0.4667</v>
      </c>
      <c r="M529" t="s">
        <v>3370</v>
      </c>
      <c r="N529">
        <v>529</v>
      </c>
    </row>
    <row r="530" spans="1:14" x14ac:dyDescent="0.25">
      <c r="A530" t="s">
        <v>2298</v>
      </c>
      <c r="B530">
        <v>526</v>
      </c>
      <c r="C530">
        <v>1526</v>
      </c>
      <c r="D530" s="1" t="s">
        <v>615</v>
      </c>
      <c r="G530" t="s">
        <v>24</v>
      </c>
      <c r="I530">
        <v>53</v>
      </c>
      <c r="J530">
        <v>110</v>
      </c>
      <c r="K530">
        <v>57</v>
      </c>
      <c r="L530">
        <v>1.0754999999999999</v>
      </c>
      <c r="M530" t="s">
        <v>3370</v>
      </c>
      <c r="N530">
        <v>530</v>
      </c>
    </row>
    <row r="531" spans="1:14" x14ac:dyDescent="0.25">
      <c r="A531" t="s">
        <v>2299</v>
      </c>
      <c r="B531">
        <v>527</v>
      </c>
      <c r="C531">
        <v>1527</v>
      </c>
      <c r="D531" s="1" t="s">
        <v>616</v>
      </c>
      <c r="G531" t="s">
        <v>24</v>
      </c>
      <c r="I531">
        <v>3.5</v>
      </c>
      <c r="J531">
        <v>10</v>
      </c>
      <c r="K531">
        <v>6.5</v>
      </c>
      <c r="L531">
        <v>1.8571</v>
      </c>
      <c r="M531" t="s">
        <v>3370</v>
      </c>
      <c r="N531">
        <v>531</v>
      </c>
    </row>
    <row r="532" spans="1:14" x14ac:dyDescent="0.25">
      <c r="A532" t="s">
        <v>2300</v>
      </c>
      <c r="B532">
        <v>528</v>
      </c>
      <c r="C532">
        <v>1528</v>
      </c>
      <c r="D532" s="1" t="s">
        <v>617</v>
      </c>
      <c r="G532" t="s">
        <v>24</v>
      </c>
      <c r="I532">
        <v>4.5</v>
      </c>
      <c r="J532">
        <v>10</v>
      </c>
      <c r="K532">
        <v>5.5</v>
      </c>
      <c r="L532">
        <v>1.2222</v>
      </c>
      <c r="M532" t="s">
        <v>3370</v>
      </c>
      <c r="N532">
        <v>532</v>
      </c>
    </row>
    <row r="533" spans="1:14" x14ac:dyDescent="0.25">
      <c r="A533" t="s">
        <v>2301</v>
      </c>
      <c r="B533">
        <v>529</v>
      </c>
      <c r="C533">
        <v>1529</v>
      </c>
      <c r="D533" s="1" t="s">
        <v>618</v>
      </c>
      <c r="G533" t="s">
        <v>24</v>
      </c>
      <c r="I533">
        <v>4.5</v>
      </c>
      <c r="J533">
        <v>10</v>
      </c>
      <c r="K533">
        <v>5.5</v>
      </c>
      <c r="L533">
        <v>1.2222</v>
      </c>
      <c r="M533" t="s">
        <v>3370</v>
      </c>
      <c r="N533">
        <v>533</v>
      </c>
    </row>
    <row r="534" spans="1:14" x14ac:dyDescent="0.25">
      <c r="A534" t="s">
        <v>2302</v>
      </c>
      <c r="B534">
        <v>530</v>
      </c>
      <c r="C534">
        <v>1530</v>
      </c>
      <c r="D534" s="1" t="s">
        <v>619</v>
      </c>
      <c r="G534" t="s">
        <v>24</v>
      </c>
      <c r="I534">
        <v>250</v>
      </c>
      <c r="J534">
        <v>350</v>
      </c>
      <c r="K534">
        <v>100</v>
      </c>
      <c r="L534">
        <v>0.4</v>
      </c>
      <c r="M534" t="s">
        <v>3370</v>
      </c>
      <c r="N534">
        <v>534</v>
      </c>
    </row>
    <row r="535" spans="1:14" x14ac:dyDescent="0.25">
      <c r="A535" t="s">
        <v>2303</v>
      </c>
      <c r="B535">
        <v>531</v>
      </c>
      <c r="C535">
        <v>1531</v>
      </c>
      <c r="D535" s="1" t="s">
        <v>620</v>
      </c>
      <c r="G535" t="s">
        <v>24</v>
      </c>
      <c r="I535">
        <v>64</v>
      </c>
      <c r="J535">
        <v>120</v>
      </c>
      <c r="K535">
        <v>56</v>
      </c>
      <c r="L535">
        <v>0.875</v>
      </c>
      <c r="M535" t="s">
        <v>3370</v>
      </c>
      <c r="N535">
        <v>535</v>
      </c>
    </row>
    <row r="536" spans="1:14" x14ac:dyDescent="0.25">
      <c r="A536" t="s">
        <v>2304</v>
      </c>
      <c r="B536">
        <v>532</v>
      </c>
      <c r="C536">
        <v>1532</v>
      </c>
      <c r="D536" s="1" t="s">
        <v>621</v>
      </c>
      <c r="G536" t="s">
        <v>24</v>
      </c>
      <c r="I536">
        <v>318</v>
      </c>
      <c r="J536">
        <v>420</v>
      </c>
      <c r="K536">
        <v>102</v>
      </c>
      <c r="L536">
        <v>0.32079999999999997</v>
      </c>
      <c r="M536" t="s">
        <v>3370</v>
      </c>
      <c r="N536">
        <v>536</v>
      </c>
    </row>
    <row r="537" spans="1:14" x14ac:dyDescent="0.25">
      <c r="A537" t="s">
        <v>2305</v>
      </c>
      <c r="B537">
        <v>533</v>
      </c>
      <c r="C537">
        <v>1533</v>
      </c>
      <c r="D537" s="1" t="s">
        <v>622</v>
      </c>
      <c r="G537" t="s">
        <v>24</v>
      </c>
      <c r="I537">
        <v>108</v>
      </c>
      <c r="J537">
        <v>170</v>
      </c>
      <c r="K537">
        <v>62</v>
      </c>
      <c r="L537">
        <v>0.57410000000000005</v>
      </c>
      <c r="M537" t="s">
        <v>3370</v>
      </c>
      <c r="N537">
        <v>537</v>
      </c>
    </row>
    <row r="538" spans="1:14" x14ac:dyDescent="0.25">
      <c r="A538" t="s">
        <v>2306</v>
      </c>
      <c r="B538">
        <v>534</v>
      </c>
      <c r="C538">
        <v>1534</v>
      </c>
      <c r="D538" s="1" t="s">
        <v>623</v>
      </c>
      <c r="G538" t="s">
        <v>24</v>
      </c>
      <c r="I538">
        <v>103</v>
      </c>
      <c r="J538">
        <v>160</v>
      </c>
      <c r="K538">
        <v>57</v>
      </c>
      <c r="L538">
        <v>0.5534</v>
      </c>
      <c r="M538" t="s">
        <v>3370</v>
      </c>
      <c r="N538">
        <v>538</v>
      </c>
    </row>
    <row r="539" spans="1:14" x14ac:dyDescent="0.25">
      <c r="A539" t="s">
        <v>2307</v>
      </c>
      <c r="B539">
        <v>535</v>
      </c>
      <c r="C539">
        <v>1535</v>
      </c>
      <c r="D539" s="1" t="s">
        <v>624</v>
      </c>
      <c r="G539" t="s">
        <v>93</v>
      </c>
      <c r="I539">
        <v>16</v>
      </c>
      <c r="J539">
        <v>25</v>
      </c>
      <c r="K539">
        <v>9</v>
      </c>
      <c r="L539">
        <v>0.5625</v>
      </c>
      <c r="M539" t="s">
        <v>3370</v>
      </c>
      <c r="N539">
        <v>539</v>
      </c>
    </row>
    <row r="540" spans="1:14" x14ac:dyDescent="0.25">
      <c r="A540" t="s">
        <v>2308</v>
      </c>
      <c r="B540">
        <v>536</v>
      </c>
      <c r="C540">
        <v>1536</v>
      </c>
      <c r="D540" s="1" t="s">
        <v>625</v>
      </c>
      <c r="G540" t="s">
        <v>93</v>
      </c>
      <c r="I540">
        <v>23</v>
      </c>
      <c r="J540">
        <v>35</v>
      </c>
      <c r="K540">
        <v>12</v>
      </c>
      <c r="L540">
        <v>0.52170000000000005</v>
      </c>
      <c r="M540" t="s">
        <v>3370</v>
      </c>
      <c r="N540">
        <v>540</v>
      </c>
    </row>
    <row r="541" spans="1:14" x14ac:dyDescent="0.25">
      <c r="A541" t="s">
        <v>2309</v>
      </c>
      <c r="B541">
        <v>537</v>
      </c>
      <c r="C541">
        <v>1537</v>
      </c>
      <c r="D541" s="1" t="s">
        <v>626</v>
      </c>
      <c r="G541" t="s">
        <v>93</v>
      </c>
      <c r="I541">
        <v>0.65</v>
      </c>
      <c r="J541">
        <v>2</v>
      </c>
      <c r="K541">
        <v>1.35</v>
      </c>
      <c r="L541">
        <v>2.0769000000000002</v>
      </c>
      <c r="M541" t="s">
        <v>3370</v>
      </c>
      <c r="N541">
        <v>541</v>
      </c>
    </row>
    <row r="542" spans="1:14" x14ac:dyDescent="0.25">
      <c r="A542" t="s">
        <v>2310</v>
      </c>
      <c r="B542">
        <v>538</v>
      </c>
      <c r="C542">
        <v>1538</v>
      </c>
      <c r="D542" s="1" t="s">
        <v>627</v>
      </c>
      <c r="G542" t="s">
        <v>93</v>
      </c>
      <c r="I542">
        <v>1.1000000000000001</v>
      </c>
      <c r="J542">
        <v>2.5</v>
      </c>
      <c r="K542">
        <v>1.4</v>
      </c>
      <c r="L542">
        <v>1.2726999999999999</v>
      </c>
      <c r="M542" t="s">
        <v>3370</v>
      </c>
      <c r="N542">
        <v>542</v>
      </c>
    </row>
    <row r="543" spans="1:14" x14ac:dyDescent="0.25">
      <c r="A543" t="s">
        <v>2311</v>
      </c>
      <c r="B543">
        <v>539</v>
      </c>
      <c r="C543">
        <v>1539</v>
      </c>
      <c r="D543" s="1" t="s">
        <v>628</v>
      </c>
      <c r="G543" t="s">
        <v>93</v>
      </c>
      <c r="I543">
        <v>1.4</v>
      </c>
      <c r="J543">
        <v>3</v>
      </c>
      <c r="K543">
        <v>1.6</v>
      </c>
      <c r="L543">
        <v>1.1429</v>
      </c>
      <c r="M543" t="s">
        <v>3370</v>
      </c>
      <c r="N543">
        <v>543</v>
      </c>
    </row>
    <row r="544" spans="1:14" x14ac:dyDescent="0.25">
      <c r="A544" t="s">
        <v>2312</v>
      </c>
      <c r="B544">
        <v>540</v>
      </c>
      <c r="C544">
        <v>1540</v>
      </c>
      <c r="D544" s="1" t="s">
        <v>629</v>
      </c>
      <c r="G544" t="s">
        <v>93</v>
      </c>
      <c r="I544">
        <v>1.5</v>
      </c>
      <c r="J544">
        <v>4</v>
      </c>
      <c r="K544">
        <v>2.5</v>
      </c>
      <c r="L544">
        <v>1.6667000000000001</v>
      </c>
      <c r="M544" t="s">
        <v>3370</v>
      </c>
      <c r="N544">
        <v>544</v>
      </c>
    </row>
    <row r="545" spans="1:14" x14ac:dyDescent="0.25">
      <c r="A545" t="s">
        <v>2313</v>
      </c>
      <c r="B545">
        <v>541</v>
      </c>
      <c r="C545">
        <v>1541</v>
      </c>
      <c r="D545" s="1" t="s">
        <v>630</v>
      </c>
      <c r="G545" t="s">
        <v>93</v>
      </c>
      <c r="I545">
        <v>1.6</v>
      </c>
      <c r="J545">
        <v>5</v>
      </c>
      <c r="K545">
        <v>3.4</v>
      </c>
      <c r="L545">
        <v>2.125</v>
      </c>
      <c r="M545" t="s">
        <v>3370</v>
      </c>
      <c r="N545">
        <v>545</v>
      </c>
    </row>
    <row r="546" spans="1:14" x14ac:dyDescent="0.25">
      <c r="A546" t="s">
        <v>2314</v>
      </c>
      <c r="B546">
        <v>542</v>
      </c>
      <c r="C546">
        <v>1542</v>
      </c>
      <c r="D546" s="1" t="s">
        <v>631</v>
      </c>
      <c r="G546" t="s">
        <v>93</v>
      </c>
      <c r="I546">
        <v>2.25</v>
      </c>
      <c r="J546">
        <v>6</v>
      </c>
      <c r="K546">
        <v>3.75</v>
      </c>
      <c r="L546">
        <v>1.6667000000000001</v>
      </c>
      <c r="M546" t="s">
        <v>3370</v>
      </c>
      <c r="N546">
        <v>546</v>
      </c>
    </row>
    <row r="547" spans="1:14" x14ac:dyDescent="0.25">
      <c r="A547" t="s">
        <v>2315</v>
      </c>
      <c r="B547">
        <v>543</v>
      </c>
      <c r="C547">
        <v>1543</v>
      </c>
      <c r="D547" s="1" t="s">
        <v>632</v>
      </c>
      <c r="G547" t="s">
        <v>93</v>
      </c>
      <c r="I547">
        <v>3.05</v>
      </c>
      <c r="J547">
        <v>7</v>
      </c>
      <c r="K547">
        <v>3.95</v>
      </c>
      <c r="L547">
        <v>1.2950999999999999</v>
      </c>
      <c r="M547" t="s">
        <v>3370</v>
      </c>
      <c r="N547">
        <v>547</v>
      </c>
    </row>
    <row r="548" spans="1:14" x14ac:dyDescent="0.25">
      <c r="A548" t="s">
        <v>2316</v>
      </c>
      <c r="B548">
        <v>544</v>
      </c>
      <c r="C548">
        <v>1544</v>
      </c>
      <c r="D548" s="1" t="s">
        <v>633</v>
      </c>
      <c r="G548" t="s">
        <v>93</v>
      </c>
      <c r="I548">
        <v>3.65</v>
      </c>
      <c r="J548">
        <v>8</v>
      </c>
      <c r="K548">
        <v>4.3499999999999996</v>
      </c>
      <c r="L548">
        <v>1.1918</v>
      </c>
      <c r="M548" t="s">
        <v>3370</v>
      </c>
      <c r="N548">
        <v>548</v>
      </c>
    </row>
    <row r="549" spans="1:14" x14ac:dyDescent="0.25">
      <c r="A549" t="s">
        <v>2317</v>
      </c>
      <c r="B549">
        <v>545</v>
      </c>
      <c r="C549">
        <v>1545</v>
      </c>
      <c r="D549" s="1" t="s">
        <v>634</v>
      </c>
      <c r="G549" t="s">
        <v>93</v>
      </c>
      <c r="I549">
        <v>4.9000000000000004</v>
      </c>
      <c r="J549">
        <v>10</v>
      </c>
      <c r="K549">
        <v>5.0999999999999996</v>
      </c>
      <c r="L549">
        <v>1.0407999999999999</v>
      </c>
      <c r="M549" t="s">
        <v>3370</v>
      </c>
      <c r="N549">
        <v>549</v>
      </c>
    </row>
    <row r="550" spans="1:14" x14ac:dyDescent="0.25">
      <c r="A550" t="s">
        <v>2318</v>
      </c>
      <c r="B550">
        <v>546</v>
      </c>
      <c r="C550">
        <v>1546</v>
      </c>
      <c r="D550" s="1" t="s">
        <v>635</v>
      </c>
      <c r="G550" t="s">
        <v>93</v>
      </c>
      <c r="I550">
        <v>6.75</v>
      </c>
      <c r="J550">
        <v>15</v>
      </c>
      <c r="K550">
        <v>8.25</v>
      </c>
      <c r="L550">
        <v>1.2222</v>
      </c>
      <c r="M550" t="s">
        <v>3370</v>
      </c>
      <c r="N550">
        <v>550</v>
      </c>
    </row>
    <row r="551" spans="1:14" x14ac:dyDescent="0.25">
      <c r="A551" t="s">
        <v>2319</v>
      </c>
      <c r="B551">
        <v>547</v>
      </c>
      <c r="C551">
        <v>1547</v>
      </c>
      <c r="D551" s="1" t="s">
        <v>636</v>
      </c>
      <c r="G551" t="s">
        <v>93</v>
      </c>
      <c r="I551">
        <v>8</v>
      </c>
      <c r="J551">
        <v>17</v>
      </c>
      <c r="K551">
        <v>9</v>
      </c>
      <c r="L551">
        <v>1.125</v>
      </c>
      <c r="M551" t="s">
        <v>3370</v>
      </c>
      <c r="N551">
        <v>551</v>
      </c>
    </row>
    <row r="552" spans="1:14" x14ac:dyDescent="0.25">
      <c r="A552" t="s">
        <v>2320</v>
      </c>
      <c r="B552">
        <v>548</v>
      </c>
      <c r="C552">
        <v>1548</v>
      </c>
      <c r="D552" s="1" t="s">
        <v>637</v>
      </c>
      <c r="G552" t="s">
        <v>93</v>
      </c>
      <c r="I552">
        <v>53.33</v>
      </c>
      <c r="J552">
        <v>75</v>
      </c>
      <c r="K552">
        <v>21.67</v>
      </c>
      <c r="L552">
        <v>0.40629999999999999</v>
      </c>
      <c r="M552" t="s">
        <v>3370</v>
      </c>
      <c r="N552">
        <v>552</v>
      </c>
    </row>
    <row r="553" spans="1:14" x14ac:dyDescent="0.25">
      <c r="A553" t="s">
        <v>2321</v>
      </c>
      <c r="B553">
        <v>549</v>
      </c>
      <c r="C553">
        <v>1549</v>
      </c>
      <c r="D553" s="1" t="s">
        <v>638</v>
      </c>
      <c r="G553" t="s">
        <v>93</v>
      </c>
      <c r="I553">
        <v>93.33</v>
      </c>
      <c r="J553">
        <v>130</v>
      </c>
      <c r="K553">
        <v>36.67</v>
      </c>
      <c r="L553">
        <v>0.39290000000000003</v>
      </c>
      <c r="M553" t="s">
        <v>3370</v>
      </c>
      <c r="N553">
        <v>553</v>
      </c>
    </row>
    <row r="554" spans="1:14" x14ac:dyDescent="0.25">
      <c r="A554" t="s">
        <v>2322</v>
      </c>
      <c r="B554">
        <v>550</v>
      </c>
      <c r="C554">
        <v>1550</v>
      </c>
      <c r="D554" s="1" t="s">
        <v>639</v>
      </c>
      <c r="G554" t="s">
        <v>93</v>
      </c>
      <c r="I554">
        <v>76.66</v>
      </c>
      <c r="J554">
        <v>100</v>
      </c>
      <c r="K554">
        <v>23.34</v>
      </c>
      <c r="L554">
        <v>0.30449999999999999</v>
      </c>
      <c r="M554" t="s">
        <v>3370</v>
      </c>
      <c r="N554">
        <v>554</v>
      </c>
    </row>
    <row r="555" spans="1:14" x14ac:dyDescent="0.25">
      <c r="A555" t="s">
        <v>2323</v>
      </c>
      <c r="B555">
        <v>551</v>
      </c>
      <c r="C555">
        <v>1551</v>
      </c>
      <c r="D555" s="1" t="s">
        <v>640</v>
      </c>
      <c r="G555" t="s">
        <v>24</v>
      </c>
      <c r="I555">
        <v>320</v>
      </c>
      <c r="J555">
        <v>385</v>
      </c>
      <c r="K555">
        <v>65</v>
      </c>
      <c r="L555">
        <v>0.2031</v>
      </c>
      <c r="M555" t="s">
        <v>3370</v>
      </c>
      <c r="N555">
        <v>555</v>
      </c>
    </row>
    <row r="556" spans="1:14" x14ac:dyDescent="0.25">
      <c r="A556" t="s">
        <v>2324</v>
      </c>
      <c r="B556">
        <v>552</v>
      </c>
      <c r="C556">
        <v>1552</v>
      </c>
      <c r="D556" s="1" t="s">
        <v>641</v>
      </c>
      <c r="G556" t="s">
        <v>93</v>
      </c>
      <c r="I556">
        <v>28.88</v>
      </c>
      <c r="J556">
        <v>47</v>
      </c>
      <c r="K556">
        <v>18.12</v>
      </c>
      <c r="L556">
        <v>0.62739999999999996</v>
      </c>
      <c r="M556" t="s">
        <v>3370</v>
      </c>
      <c r="N556">
        <v>556</v>
      </c>
    </row>
    <row r="557" spans="1:14" x14ac:dyDescent="0.25">
      <c r="A557" t="s">
        <v>2325</v>
      </c>
      <c r="B557">
        <v>553</v>
      </c>
      <c r="C557">
        <v>1553</v>
      </c>
      <c r="D557" s="1" t="s">
        <v>642</v>
      </c>
      <c r="G557" t="s">
        <v>93</v>
      </c>
      <c r="I557">
        <v>31</v>
      </c>
      <c r="J557">
        <v>55</v>
      </c>
      <c r="K557">
        <v>24</v>
      </c>
      <c r="L557">
        <v>0.7742</v>
      </c>
      <c r="M557" t="s">
        <v>3370</v>
      </c>
      <c r="N557">
        <v>557</v>
      </c>
    </row>
    <row r="558" spans="1:14" x14ac:dyDescent="0.25">
      <c r="A558" t="s">
        <v>2326</v>
      </c>
      <c r="B558">
        <v>554</v>
      </c>
      <c r="C558">
        <v>1554</v>
      </c>
      <c r="D558" s="1" t="s">
        <v>643</v>
      </c>
      <c r="G558" t="s">
        <v>24</v>
      </c>
      <c r="I558">
        <v>83</v>
      </c>
      <c r="J558">
        <v>130</v>
      </c>
      <c r="K558">
        <v>47</v>
      </c>
      <c r="L558">
        <v>0.56630000000000003</v>
      </c>
      <c r="M558" t="s">
        <v>3370</v>
      </c>
      <c r="N558">
        <v>558</v>
      </c>
    </row>
    <row r="559" spans="1:14" x14ac:dyDescent="0.25">
      <c r="A559" t="s">
        <v>2327</v>
      </c>
      <c r="B559">
        <v>555</v>
      </c>
      <c r="C559">
        <v>1555</v>
      </c>
      <c r="D559" s="1" t="s">
        <v>644</v>
      </c>
      <c r="G559" t="s">
        <v>24</v>
      </c>
      <c r="I559">
        <v>215</v>
      </c>
      <c r="J559">
        <v>325</v>
      </c>
      <c r="K559">
        <v>110</v>
      </c>
      <c r="L559">
        <v>0.51160000000000005</v>
      </c>
      <c r="M559" t="s">
        <v>3370</v>
      </c>
      <c r="N559">
        <v>559</v>
      </c>
    </row>
    <row r="560" spans="1:14" x14ac:dyDescent="0.25">
      <c r="A560" t="s">
        <v>2328</v>
      </c>
      <c r="B560">
        <v>556</v>
      </c>
      <c r="C560">
        <v>1556</v>
      </c>
      <c r="D560" s="1" t="s">
        <v>645</v>
      </c>
      <c r="G560" t="s">
        <v>24</v>
      </c>
      <c r="I560">
        <v>275</v>
      </c>
      <c r="J560">
        <v>350</v>
      </c>
      <c r="K560">
        <v>75</v>
      </c>
      <c r="L560">
        <v>0.2727</v>
      </c>
      <c r="M560" t="s">
        <v>3370</v>
      </c>
      <c r="N560">
        <v>560</v>
      </c>
    </row>
    <row r="561" spans="1:14" x14ac:dyDescent="0.25">
      <c r="A561" t="s">
        <v>2329</v>
      </c>
      <c r="B561">
        <v>557</v>
      </c>
      <c r="C561">
        <v>1557</v>
      </c>
      <c r="D561" s="1" t="s">
        <v>646</v>
      </c>
      <c r="G561" t="s">
        <v>24</v>
      </c>
      <c r="I561">
        <v>792</v>
      </c>
      <c r="J561">
        <v>895</v>
      </c>
      <c r="K561">
        <v>103</v>
      </c>
      <c r="L561">
        <v>0.13009999999999999</v>
      </c>
      <c r="M561" t="s">
        <v>3370</v>
      </c>
      <c r="N561">
        <v>561</v>
      </c>
    </row>
    <row r="562" spans="1:14" x14ac:dyDescent="0.25">
      <c r="A562" t="s">
        <v>2330</v>
      </c>
      <c r="B562">
        <v>558</v>
      </c>
      <c r="C562">
        <v>1558</v>
      </c>
      <c r="D562" s="1" t="s">
        <v>647</v>
      </c>
      <c r="G562" t="s">
        <v>24</v>
      </c>
      <c r="I562">
        <v>554</v>
      </c>
      <c r="J562">
        <v>685</v>
      </c>
      <c r="K562">
        <v>131</v>
      </c>
      <c r="L562">
        <v>0.23649999999999999</v>
      </c>
      <c r="M562" t="s">
        <v>3370</v>
      </c>
      <c r="N562">
        <v>562</v>
      </c>
    </row>
    <row r="563" spans="1:14" x14ac:dyDescent="0.25">
      <c r="A563" t="s">
        <v>2331</v>
      </c>
      <c r="B563">
        <v>559</v>
      </c>
      <c r="C563">
        <v>1559</v>
      </c>
      <c r="D563" s="1" t="s">
        <v>648</v>
      </c>
      <c r="G563" t="s">
        <v>24</v>
      </c>
      <c r="I563">
        <v>823</v>
      </c>
      <c r="J563">
        <v>955</v>
      </c>
      <c r="K563">
        <v>132</v>
      </c>
      <c r="L563">
        <v>0.16039999999999999</v>
      </c>
      <c r="M563" t="s">
        <v>3370</v>
      </c>
      <c r="N563">
        <v>563</v>
      </c>
    </row>
    <row r="564" spans="1:14" x14ac:dyDescent="0.25">
      <c r="A564" t="s">
        <v>2332</v>
      </c>
      <c r="B564">
        <v>560</v>
      </c>
      <c r="C564">
        <v>1560</v>
      </c>
      <c r="D564" s="1" t="s">
        <v>649</v>
      </c>
      <c r="G564" t="s">
        <v>24</v>
      </c>
      <c r="I564">
        <v>860</v>
      </c>
      <c r="J564">
        <v>1020</v>
      </c>
      <c r="K564">
        <v>160</v>
      </c>
      <c r="L564">
        <v>0.186</v>
      </c>
      <c r="M564" t="s">
        <v>3370</v>
      </c>
      <c r="N564">
        <v>564</v>
      </c>
    </row>
    <row r="565" spans="1:14" x14ac:dyDescent="0.25">
      <c r="A565" t="s">
        <v>2333</v>
      </c>
      <c r="B565">
        <v>561</v>
      </c>
      <c r="C565">
        <v>1561</v>
      </c>
      <c r="D565" s="1" t="s">
        <v>650</v>
      </c>
      <c r="G565" t="s">
        <v>24</v>
      </c>
      <c r="I565">
        <v>790</v>
      </c>
      <c r="J565">
        <v>990</v>
      </c>
      <c r="K565">
        <v>200</v>
      </c>
      <c r="L565">
        <v>0.25319999999999998</v>
      </c>
      <c r="M565" t="s">
        <v>3370</v>
      </c>
      <c r="N565">
        <v>565</v>
      </c>
    </row>
    <row r="566" spans="1:14" x14ac:dyDescent="0.25">
      <c r="A566" t="s">
        <v>2334</v>
      </c>
      <c r="B566">
        <v>562</v>
      </c>
      <c r="C566">
        <v>1562</v>
      </c>
      <c r="D566" s="1" t="s">
        <v>651</v>
      </c>
      <c r="G566" t="s">
        <v>24</v>
      </c>
      <c r="I566">
        <v>830</v>
      </c>
      <c r="J566">
        <v>995</v>
      </c>
      <c r="K566">
        <v>165</v>
      </c>
      <c r="L566">
        <v>0.1988</v>
      </c>
      <c r="M566" t="s">
        <v>3370</v>
      </c>
      <c r="N566">
        <v>566</v>
      </c>
    </row>
    <row r="567" spans="1:14" x14ac:dyDescent="0.25">
      <c r="A567" t="s">
        <v>2335</v>
      </c>
      <c r="B567">
        <v>563</v>
      </c>
      <c r="C567">
        <v>1563</v>
      </c>
      <c r="D567" s="1" t="s">
        <v>652</v>
      </c>
      <c r="G567" t="s">
        <v>24</v>
      </c>
      <c r="I567">
        <v>126</v>
      </c>
      <c r="J567">
        <v>148</v>
      </c>
      <c r="K567">
        <v>22</v>
      </c>
      <c r="L567">
        <v>0.17460000000000001</v>
      </c>
      <c r="M567" t="s">
        <v>3370</v>
      </c>
      <c r="N567">
        <v>567</v>
      </c>
    </row>
    <row r="568" spans="1:14" x14ac:dyDescent="0.25">
      <c r="A568" t="s">
        <v>2336</v>
      </c>
      <c r="B568">
        <v>564</v>
      </c>
      <c r="C568">
        <v>1564</v>
      </c>
      <c r="D568" s="1" t="s">
        <v>653</v>
      </c>
      <c r="G568" t="s">
        <v>24</v>
      </c>
      <c r="I568">
        <v>192</v>
      </c>
      <c r="J568">
        <v>295</v>
      </c>
      <c r="K568">
        <v>103</v>
      </c>
      <c r="L568">
        <v>0.53649999999999998</v>
      </c>
      <c r="M568" t="s">
        <v>3370</v>
      </c>
      <c r="N568">
        <v>568</v>
      </c>
    </row>
    <row r="569" spans="1:14" x14ac:dyDescent="0.25">
      <c r="A569" t="s">
        <v>2337</v>
      </c>
      <c r="B569">
        <v>565</v>
      </c>
      <c r="C569">
        <v>1565</v>
      </c>
      <c r="D569" s="1" t="s">
        <v>654</v>
      </c>
      <c r="G569" t="s">
        <v>24</v>
      </c>
      <c r="I569">
        <v>224</v>
      </c>
      <c r="J569">
        <v>280</v>
      </c>
      <c r="K569">
        <v>56</v>
      </c>
      <c r="L569">
        <v>0.25</v>
      </c>
      <c r="M569" t="s">
        <v>3370</v>
      </c>
      <c r="N569">
        <v>569</v>
      </c>
    </row>
    <row r="570" spans="1:14" x14ac:dyDescent="0.25">
      <c r="A570" t="s">
        <v>2338</v>
      </c>
      <c r="B570">
        <v>566</v>
      </c>
      <c r="C570">
        <v>1566</v>
      </c>
      <c r="D570" s="1" t="s">
        <v>655</v>
      </c>
      <c r="G570" t="s">
        <v>24</v>
      </c>
      <c r="I570">
        <v>297</v>
      </c>
      <c r="J570">
        <v>360</v>
      </c>
      <c r="K570">
        <v>63</v>
      </c>
      <c r="L570">
        <v>0.21210000000000001</v>
      </c>
      <c r="M570" t="s">
        <v>3370</v>
      </c>
      <c r="N570">
        <v>570</v>
      </c>
    </row>
    <row r="571" spans="1:14" x14ac:dyDescent="0.25">
      <c r="A571" t="s">
        <v>2339</v>
      </c>
      <c r="B571">
        <v>567</v>
      </c>
      <c r="C571">
        <v>1567</v>
      </c>
      <c r="D571" s="1" t="s">
        <v>656</v>
      </c>
      <c r="G571" t="s">
        <v>24</v>
      </c>
      <c r="I571">
        <v>396</v>
      </c>
      <c r="J571">
        <v>470</v>
      </c>
      <c r="K571">
        <v>74</v>
      </c>
      <c r="L571">
        <v>0.18690000000000001</v>
      </c>
      <c r="M571" t="s">
        <v>3370</v>
      </c>
      <c r="N571">
        <v>571</v>
      </c>
    </row>
    <row r="572" spans="1:14" x14ac:dyDescent="0.25">
      <c r="A572" t="s">
        <v>2340</v>
      </c>
      <c r="B572">
        <v>568</v>
      </c>
      <c r="C572">
        <v>1568</v>
      </c>
      <c r="D572" s="1" t="s">
        <v>657</v>
      </c>
      <c r="G572" t="s">
        <v>24</v>
      </c>
      <c r="I572">
        <v>264</v>
      </c>
      <c r="J572">
        <v>330</v>
      </c>
      <c r="K572">
        <v>66</v>
      </c>
      <c r="L572">
        <v>0.25</v>
      </c>
      <c r="M572" t="s">
        <v>3370</v>
      </c>
      <c r="N572">
        <v>572</v>
      </c>
    </row>
    <row r="573" spans="1:14" x14ac:dyDescent="0.25">
      <c r="A573" t="s">
        <v>2341</v>
      </c>
      <c r="B573">
        <v>569</v>
      </c>
      <c r="C573">
        <v>1569</v>
      </c>
      <c r="D573" s="1" t="s">
        <v>658</v>
      </c>
      <c r="G573" t="s">
        <v>24</v>
      </c>
      <c r="I573">
        <v>396</v>
      </c>
      <c r="J573">
        <v>470</v>
      </c>
      <c r="K573">
        <v>74</v>
      </c>
      <c r="L573">
        <v>0.18690000000000001</v>
      </c>
      <c r="M573" t="s">
        <v>3370</v>
      </c>
      <c r="N573">
        <v>573</v>
      </c>
    </row>
    <row r="574" spans="1:14" x14ac:dyDescent="0.25">
      <c r="A574" t="s">
        <v>2342</v>
      </c>
      <c r="B574">
        <v>570</v>
      </c>
      <c r="C574">
        <v>1570</v>
      </c>
      <c r="D574" s="1" t="s">
        <v>659</v>
      </c>
      <c r="G574" t="s">
        <v>24</v>
      </c>
      <c r="I574">
        <v>514</v>
      </c>
      <c r="J574">
        <v>580</v>
      </c>
      <c r="K574">
        <v>66</v>
      </c>
      <c r="L574">
        <v>0.12839999999999999</v>
      </c>
      <c r="M574" t="s">
        <v>3370</v>
      </c>
      <c r="N574">
        <v>574</v>
      </c>
    </row>
    <row r="575" spans="1:14" x14ac:dyDescent="0.25">
      <c r="A575" t="s">
        <v>2343</v>
      </c>
      <c r="B575">
        <v>571</v>
      </c>
      <c r="C575">
        <v>1571</v>
      </c>
      <c r="D575" s="1" t="s">
        <v>660</v>
      </c>
      <c r="G575" t="s">
        <v>55</v>
      </c>
      <c r="I575">
        <v>31</v>
      </c>
      <c r="J575">
        <v>43</v>
      </c>
      <c r="K575">
        <v>12</v>
      </c>
      <c r="L575">
        <v>0.3871</v>
      </c>
      <c r="M575" t="s">
        <v>3370</v>
      </c>
      <c r="N575">
        <v>575</v>
      </c>
    </row>
    <row r="576" spans="1:14" x14ac:dyDescent="0.25">
      <c r="A576" t="s">
        <v>2344</v>
      </c>
      <c r="B576">
        <v>572</v>
      </c>
      <c r="C576">
        <v>1572</v>
      </c>
      <c r="D576" s="1" t="s">
        <v>661</v>
      </c>
      <c r="G576" t="s">
        <v>24</v>
      </c>
      <c r="I576">
        <v>15</v>
      </c>
      <c r="J576">
        <v>25</v>
      </c>
      <c r="K576">
        <v>10</v>
      </c>
      <c r="L576">
        <v>0.66669999999999996</v>
      </c>
      <c r="M576" t="s">
        <v>3370</v>
      </c>
      <c r="N576">
        <v>576</v>
      </c>
    </row>
    <row r="577" spans="1:14" x14ac:dyDescent="0.25">
      <c r="A577" t="s">
        <v>2345</v>
      </c>
      <c r="B577">
        <v>573</v>
      </c>
      <c r="C577">
        <v>1573</v>
      </c>
      <c r="D577" s="1" t="s">
        <v>662</v>
      </c>
      <c r="G577" t="s">
        <v>24</v>
      </c>
      <c r="I577">
        <v>25</v>
      </c>
      <c r="J577">
        <v>35</v>
      </c>
      <c r="K577">
        <v>10</v>
      </c>
      <c r="L577">
        <v>0.4</v>
      </c>
      <c r="M577" t="s">
        <v>3370</v>
      </c>
      <c r="N577">
        <v>577</v>
      </c>
    </row>
    <row r="578" spans="1:14" x14ac:dyDescent="0.25">
      <c r="A578" t="s">
        <v>2346</v>
      </c>
      <c r="B578">
        <v>574</v>
      </c>
      <c r="C578">
        <v>1574</v>
      </c>
      <c r="D578" s="1" t="s">
        <v>663</v>
      </c>
      <c r="G578" t="s">
        <v>24</v>
      </c>
      <c r="I578">
        <v>35</v>
      </c>
      <c r="J578">
        <v>55</v>
      </c>
      <c r="K578">
        <v>20</v>
      </c>
      <c r="L578">
        <v>0.57140000000000002</v>
      </c>
      <c r="M578" t="s">
        <v>3370</v>
      </c>
      <c r="N578">
        <v>578</v>
      </c>
    </row>
    <row r="579" spans="1:14" x14ac:dyDescent="0.25">
      <c r="A579" t="s">
        <v>2347</v>
      </c>
      <c r="B579">
        <v>575</v>
      </c>
      <c r="C579">
        <v>1575</v>
      </c>
      <c r="D579" s="1" t="s">
        <v>664</v>
      </c>
      <c r="G579" t="s">
        <v>24</v>
      </c>
      <c r="I579">
        <v>42</v>
      </c>
      <c r="J579">
        <v>60</v>
      </c>
      <c r="K579">
        <v>18</v>
      </c>
      <c r="L579">
        <v>0.42859999999999998</v>
      </c>
      <c r="M579" t="s">
        <v>3370</v>
      </c>
      <c r="N579">
        <v>579</v>
      </c>
    </row>
    <row r="580" spans="1:14" x14ac:dyDescent="0.25">
      <c r="A580" t="s">
        <v>2348</v>
      </c>
      <c r="B580">
        <v>576</v>
      </c>
      <c r="C580">
        <v>1576</v>
      </c>
      <c r="D580" s="1" t="s">
        <v>665</v>
      </c>
      <c r="G580" t="s">
        <v>24</v>
      </c>
      <c r="I580">
        <v>69.72</v>
      </c>
      <c r="J580">
        <v>95</v>
      </c>
      <c r="K580">
        <v>25.28</v>
      </c>
      <c r="L580">
        <v>0.36259999999999998</v>
      </c>
      <c r="M580" t="s">
        <v>3370</v>
      </c>
      <c r="N580">
        <v>580</v>
      </c>
    </row>
    <row r="581" spans="1:14" x14ac:dyDescent="0.25">
      <c r="A581" t="s">
        <v>2349</v>
      </c>
      <c r="B581">
        <v>577</v>
      </c>
      <c r="C581">
        <v>1577</v>
      </c>
      <c r="D581" s="1" t="s">
        <v>666</v>
      </c>
      <c r="G581" t="s">
        <v>55</v>
      </c>
      <c r="I581">
        <v>32.200000000000003</v>
      </c>
      <c r="J581">
        <v>50</v>
      </c>
      <c r="K581">
        <v>17.8</v>
      </c>
      <c r="L581">
        <v>0.55279999999999996</v>
      </c>
      <c r="M581" t="s">
        <v>3370</v>
      </c>
      <c r="N581">
        <v>581</v>
      </c>
    </row>
    <row r="582" spans="1:14" x14ac:dyDescent="0.25">
      <c r="A582" t="s">
        <v>2350</v>
      </c>
      <c r="B582">
        <v>578</v>
      </c>
      <c r="C582">
        <v>1578</v>
      </c>
      <c r="D582" s="1" t="s">
        <v>667</v>
      </c>
      <c r="G582" t="s">
        <v>55</v>
      </c>
      <c r="I582">
        <v>30</v>
      </c>
      <c r="J582">
        <v>48</v>
      </c>
      <c r="K582">
        <v>18</v>
      </c>
      <c r="L582">
        <v>0.6</v>
      </c>
      <c r="M582" t="s">
        <v>3370</v>
      </c>
      <c r="N582">
        <v>582</v>
      </c>
    </row>
    <row r="583" spans="1:14" x14ac:dyDescent="0.25">
      <c r="A583" t="s">
        <v>2351</v>
      </c>
      <c r="B583">
        <v>579</v>
      </c>
      <c r="C583">
        <v>1579</v>
      </c>
      <c r="D583" s="1" t="s">
        <v>668</v>
      </c>
      <c r="G583" t="s">
        <v>55</v>
      </c>
      <c r="I583">
        <v>28.8</v>
      </c>
      <c r="J583">
        <v>45</v>
      </c>
      <c r="K583">
        <v>16.2</v>
      </c>
      <c r="L583">
        <v>0.5625</v>
      </c>
      <c r="M583" t="s">
        <v>3370</v>
      </c>
      <c r="N583">
        <v>583</v>
      </c>
    </row>
    <row r="584" spans="1:14" x14ac:dyDescent="0.25">
      <c r="A584" t="s">
        <v>2352</v>
      </c>
      <c r="B584">
        <v>580</v>
      </c>
      <c r="C584">
        <v>1580</v>
      </c>
      <c r="D584" s="1" t="s">
        <v>669</v>
      </c>
      <c r="G584" t="s">
        <v>55</v>
      </c>
      <c r="I584">
        <v>28.8</v>
      </c>
      <c r="J584">
        <v>45</v>
      </c>
      <c r="K584">
        <v>16.2</v>
      </c>
      <c r="L584">
        <v>0.5625</v>
      </c>
      <c r="M584" t="s">
        <v>3370</v>
      </c>
      <c r="N584">
        <v>584</v>
      </c>
    </row>
    <row r="585" spans="1:14" x14ac:dyDescent="0.25">
      <c r="A585" t="s">
        <v>2353</v>
      </c>
      <c r="B585">
        <v>581</v>
      </c>
      <c r="C585">
        <v>1581</v>
      </c>
      <c r="D585" s="1" t="s">
        <v>670</v>
      </c>
      <c r="G585" t="s">
        <v>55</v>
      </c>
      <c r="I585">
        <v>28.6</v>
      </c>
      <c r="J585">
        <v>43</v>
      </c>
      <c r="K585">
        <v>14.4</v>
      </c>
      <c r="L585">
        <v>0.50349999999999995</v>
      </c>
      <c r="M585" t="s">
        <v>3370</v>
      </c>
      <c r="N585">
        <v>585</v>
      </c>
    </row>
    <row r="586" spans="1:14" x14ac:dyDescent="0.25">
      <c r="A586" t="s">
        <v>2354</v>
      </c>
      <c r="B586">
        <v>582</v>
      </c>
      <c r="C586">
        <v>1582</v>
      </c>
      <c r="D586" s="1" t="s">
        <v>671</v>
      </c>
      <c r="G586" t="s">
        <v>55</v>
      </c>
      <c r="I586">
        <v>28</v>
      </c>
      <c r="J586">
        <v>43</v>
      </c>
      <c r="K586">
        <v>15</v>
      </c>
      <c r="L586">
        <v>0.53569999999999995</v>
      </c>
      <c r="M586" t="s">
        <v>3370</v>
      </c>
      <c r="N586">
        <v>586</v>
      </c>
    </row>
    <row r="587" spans="1:14" x14ac:dyDescent="0.25">
      <c r="A587" t="s">
        <v>2355</v>
      </c>
      <c r="B587">
        <v>583</v>
      </c>
      <c r="C587">
        <v>1583</v>
      </c>
      <c r="D587" s="1" t="s">
        <v>672</v>
      </c>
      <c r="G587" t="s">
        <v>55</v>
      </c>
      <c r="I587">
        <v>36</v>
      </c>
      <c r="J587">
        <v>53</v>
      </c>
      <c r="K587">
        <v>17</v>
      </c>
      <c r="L587">
        <v>0.47220000000000001</v>
      </c>
      <c r="M587" t="s">
        <v>3370</v>
      </c>
      <c r="N587">
        <v>587</v>
      </c>
    </row>
    <row r="588" spans="1:14" x14ac:dyDescent="0.25">
      <c r="A588" t="s">
        <v>2356</v>
      </c>
      <c r="B588">
        <v>584</v>
      </c>
      <c r="C588">
        <v>1584</v>
      </c>
      <c r="D588" s="1" t="s">
        <v>673</v>
      </c>
      <c r="G588" t="s">
        <v>55</v>
      </c>
      <c r="I588">
        <v>18</v>
      </c>
      <c r="J588">
        <v>27</v>
      </c>
      <c r="K588">
        <v>9</v>
      </c>
      <c r="L588">
        <v>0.5</v>
      </c>
      <c r="M588" t="s">
        <v>3370</v>
      </c>
      <c r="N588">
        <v>588</v>
      </c>
    </row>
    <row r="589" spans="1:14" x14ac:dyDescent="0.25">
      <c r="A589" t="s">
        <v>2357</v>
      </c>
      <c r="B589">
        <v>585</v>
      </c>
      <c r="C589">
        <v>1585</v>
      </c>
      <c r="D589" s="1" t="s">
        <v>674</v>
      </c>
      <c r="G589" t="s">
        <v>55</v>
      </c>
      <c r="I589">
        <v>16.100000000000001</v>
      </c>
      <c r="J589">
        <v>25</v>
      </c>
      <c r="K589">
        <v>8.9</v>
      </c>
      <c r="L589">
        <v>0.55279999999999996</v>
      </c>
      <c r="M589" t="s">
        <v>3370</v>
      </c>
      <c r="N589">
        <v>589</v>
      </c>
    </row>
    <row r="590" spans="1:14" x14ac:dyDescent="0.25">
      <c r="A590" t="s">
        <v>2358</v>
      </c>
      <c r="B590">
        <v>586</v>
      </c>
      <c r="C590">
        <v>1586</v>
      </c>
      <c r="D590" s="1" t="s">
        <v>675</v>
      </c>
      <c r="G590" t="s">
        <v>55</v>
      </c>
      <c r="I590">
        <v>15</v>
      </c>
      <c r="J590">
        <v>24</v>
      </c>
      <c r="K590">
        <v>9</v>
      </c>
      <c r="L590">
        <v>0.6</v>
      </c>
      <c r="M590" t="s">
        <v>3370</v>
      </c>
      <c r="N590">
        <v>590</v>
      </c>
    </row>
    <row r="591" spans="1:14" x14ac:dyDescent="0.25">
      <c r="A591" t="s">
        <v>2359</v>
      </c>
      <c r="B591">
        <v>587</v>
      </c>
      <c r="C591">
        <v>1587</v>
      </c>
      <c r="D591" s="1" t="s">
        <v>676</v>
      </c>
      <c r="G591" t="s">
        <v>55</v>
      </c>
      <c r="I591">
        <v>14.4</v>
      </c>
      <c r="J591">
        <v>23</v>
      </c>
      <c r="K591">
        <v>8.6</v>
      </c>
      <c r="L591">
        <v>0.59719999999999995</v>
      </c>
      <c r="M591" t="s">
        <v>3370</v>
      </c>
      <c r="N591">
        <v>591</v>
      </c>
    </row>
    <row r="592" spans="1:14" x14ac:dyDescent="0.25">
      <c r="A592" t="s">
        <v>2360</v>
      </c>
      <c r="B592">
        <v>588</v>
      </c>
      <c r="C592">
        <v>1588</v>
      </c>
      <c r="D592" s="1" t="s">
        <v>677</v>
      </c>
      <c r="G592" t="s">
        <v>55</v>
      </c>
      <c r="I592">
        <v>14.4</v>
      </c>
      <c r="J592">
        <v>23</v>
      </c>
      <c r="K592">
        <v>8.6</v>
      </c>
      <c r="L592">
        <v>0.59719999999999995</v>
      </c>
      <c r="M592" t="s">
        <v>3370</v>
      </c>
      <c r="N592">
        <v>592</v>
      </c>
    </row>
    <row r="593" spans="1:14" x14ac:dyDescent="0.25">
      <c r="A593" t="s">
        <v>2361</v>
      </c>
      <c r="B593">
        <v>589</v>
      </c>
      <c r="C593">
        <v>1589</v>
      </c>
      <c r="D593" s="1" t="s">
        <v>678</v>
      </c>
      <c r="G593" t="s">
        <v>55</v>
      </c>
      <c r="I593">
        <v>14.3</v>
      </c>
      <c r="J593">
        <v>22</v>
      </c>
      <c r="K593">
        <v>7.7</v>
      </c>
      <c r="L593">
        <v>0.53849999999999998</v>
      </c>
      <c r="M593" t="s">
        <v>3370</v>
      </c>
      <c r="N593">
        <v>593</v>
      </c>
    </row>
    <row r="594" spans="1:14" x14ac:dyDescent="0.25">
      <c r="A594" t="s">
        <v>2362</v>
      </c>
      <c r="B594">
        <v>590</v>
      </c>
      <c r="C594">
        <v>1590</v>
      </c>
      <c r="D594" s="1" t="s">
        <v>679</v>
      </c>
      <c r="G594" t="s">
        <v>55</v>
      </c>
      <c r="I594">
        <v>14</v>
      </c>
      <c r="J594">
        <v>22</v>
      </c>
      <c r="K594">
        <v>8</v>
      </c>
      <c r="L594">
        <v>0.57140000000000002</v>
      </c>
      <c r="M594" t="s">
        <v>3370</v>
      </c>
      <c r="N594">
        <v>594</v>
      </c>
    </row>
    <row r="595" spans="1:14" x14ac:dyDescent="0.25">
      <c r="A595" t="s">
        <v>2363</v>
      </c>
      <c r="B595">
        <v>591</v>
      </c>
      <c r="C595">
        <v>1591</v>
      </c>
      <c r="D595" s="1" t="s">
        <v>680</v>
      </c>
      <c r="G595" t="s">
        <v>55</v>
      </c>
      <c r="I595">
        <v>30.8</v>
      </c>
      <c r="J595">
        <v>50</v>
      </c>
      <c r="K595">
        <v>19.2</v>
      </c>
      <c r="L595">
        <v>0.62339999999999995</v>
      </c>
      <c r="M595" t="s">
        <v>3370</v>
      </c>
      <c r="N595">
        <v>595</v>
      </c>
    </row>
    <row r="596" spans="1:14" x14ac:dyDescent="0.25">
      <c r="A596" t="s">
        <v>2364</v>
      </c>
      <c r="B596">
        <v>592</v>
      </c>
      <c r="C596">
        <v>1592</v>
      </c>
      <c r="D596" s="1" t="s">
        <v>681</v>
      </c>
      <c r="G596" t="s">
        <v>55</v>
      </c>
      <c r="I596">
        <v>15.4</v>
      </c>
      <c r="J596">
        <v>25</v>
      </c>
      <c r="K596">
        <v>9.6</v>
      </c>
      <c r="L596">
        <v>0.62339999999999995</v>
      </c>
      <c r="M596" t="s">
        <v>3370</v>
      </c>
      <c r="N596">
        <v>596</v>
      </c>
    </row>
    <row r="597" spans="1:14" x14ac:dyDescent="0.25">
      <c r="A597" t="s">
        <v>2365</v>
      </c>
      <c r="B597">
        <v>593</v>
      </c>
      <c r="C597">
        <v>1593</v>
      </c>
      <c r="D597" s="1" t="s">
        <v>682</v>
      </c>
      <c r="E597" t="s">
        <v>683</v>
      </c>
      <c r="G597" t="s">
        <v>24</v>
      </c>
      <c r="I597">
        <v>75</v>
      </c>
      <c r="J597">
        <v>105</v>
      </c>
      <c r="K597">
        <v>30</v>
      </c>
      <c r="L597">
        <v>0.4</v>
      </c>
      <c r="M597" t="s">
        <v>3370</v>
      </c>
      <c r="N597">
        <v>597</v>
      </c>
    </row>
    <row r="598" spans="1:14" x14ac:dyDescent="0.25">
      <c r="A598" t="s">
        <v>2366</v>
      </c>
      <c r="B598">
        <v>594</v>
      </c>
      <c r="C598">
        <v>1594</v>
      </c>
      <c r="D598" s="1" t="s">
        <v>684</v>
      </c>
      <c r="E598" t="s">
        <v>683</v>
      </c>
      <c r="G598" t="s">
        <v>24</v>
      </c>
      <c r="I598">
        <v>90</v>
      </c>
      <c r="J598">
        <v>125</v>
      </c>
      <c r="K598">
        <v>35</v>
      </c>
      <c r="L598">
        <v>0.38890000000000002</v>
      </c>
      <c r="M598" t="s">
        <v>3370</v>
      </c>
      <c r="N598">
        <v>598</v>
      </c>
    </row>
    <row r="599" spans="1:14" x14ac:dyDescent="0.25">
      <c r="A599" t="s">
        <v>2367</v>
      </c>
      <c r="B599">
        <v>595</v>
      </c>
      <c r="C599">
        <v>1595</v>
      </c>
      <c r="D599" s="1" t="s">
        <v>685</v>
      </c>
      <c r="G599" t="s">
        <v>24</v>
      </c>
      <c r="I599">
        <v>75</v>
      </c>
      <c r="J599">
        <v>100</v>
      </c>
      <c r="K599">
        <v>25</v>
      </c>
      <c r="L599">
        <v>0.33329999999999999</v>
      </c>
      <c r="M599" t="s">
        <v>3370</v>
      </c>
      <c r="N599">
        <v>599</v>
      </c>
    </row>
    <row r="600" spans="1:14" x14ac:dyDescent="0.25">
      <c r="A600" t="s">
        <v>2368</v>
      </c>
      <c r="B600">
        <v>596</v>
      </c>
      <c r="C600">
        <v>1596</v>
      </c>
      <c r="D600" s="1" t="s">
        <v>686</v>
      </c>
      <c r="G600" t="s">
        <v>24</v>
      </c>
      <c r="I600">
        <v>90</v>
      </c>
      <c r="J600">
        <v>120</v>
      </c>
      <c r="K600">
        <v>30</v>
      </c>
      <c r="L600">
        <v>0.33329999999999999</v>
      </c>
      <c r="M600" t="s">
        <v>3370</v>
      </c>
      <c r="N600">
        <v>600</v>
      </c>
    </row>
    <row r="601" spans="1:14" x14ac:dyDescent="0.25">
      <c r="A601" t="s">
        <v>2369</v>
      </c>
      <c r="B601">
        <v>597</v>
      </c>
      <c r="C601">
        <v>1597</v>
      </c>
      <c r="D601" s="1" t="s">
        <v>687</v>
      </c>
      <c r="G601" t="s">
        <v>24</v>
      </c>
      <c r="I601">
        <v>98</v>
      </c>
      <c r="J601">
        <v>135</v>
      </c>
      <c r="K601">
        <v>37</v>
      </c>
      <c r="L601">
        <v>0.37759999999999999</v>
      </c>
      <c r="M601" t="s">
        <v>3370</v>
      </c>
      <c r="N601">
        <v>601</v>
      </c>
    </row>
    <row r="602" spans="1:14" x14ac:dyDescent="0.25">
      <c r="A602" t="s">
        <v>2370</v>
      </c>
      <c r="B602">
        <v>598</v>
      </c>
      <c r="C602">
        <v>1598</v>
      </c>
      <c r="D602" s="1" t="s">
        <v>688</v>
      </c>
      <c r="G602" t="s">
        <v>24</v>
      </c>
      <c r="I602">
        <v>42.8</v>
      </c>
      <c r="J602">
        <v>75</v>
      </c>
      <c r="K602">
        <v>32.200000000000003</v>
      </c>
      <c r="L602">
        <v>0.75229999999999997</v>
      </c>
      <c r="M602" t="s">
        <v>3370</v>
      </c>
      <c r="N602">
        <v>602</v>
      </c>
    </row>
    <row r="603" spans="1:14" x14ac:dyDescent="0.25">
      <c r="A603" t="s">
        <v>2371</v>
      </c>
      <c r="B603">
        <v>599</v>
      </c>
      <c r="C603">
        <v>1599</v>
      </c>
      <c r="D603" s="1" t="s">
        <v>689</v>
      </c>
      <c r="G603" t="s">
        <v>24</v>
      </c>
      <c r="I603">
        <v>58.8</v>
      </c>
      <c r="J603">
        <v>85</v>
      </c>
      <c r="K603">
        <v>26.2</v>
      </c>
      <c r="L603">
        <v>0.4456</v>
      </c>
      <c r="M603" t="s">
        <v>3370</v>
      </c>
      <c r="N603">
        <v>603</v>
      </c>
    </row>
    <row r="604" spans="1:14" x14ac:dyDescent="0.25">
      <c r="A604" t="s">
        <v>2372</v>
      </c>
      <c r="B604">
        <v>600</v>
      </c>
      <c r="C604">
        <v>1600</v>
      </c>
      <c r="D604" s="1" t="s">
        <v>690</v>
      </c>
      <c r="G604" t="s">
        <v>24</v>
      </c>
      <c r="I604">
        <v>97.8</v>
      </c>
      <c r="J604">
        <v>135</v>
      </c>
      <c r="K604">
        <v>37.200000000000003</v>
      </c>
      <c r="L604">
        <v>0.38040000000000002</v>
      </c>
      <c r="M604" t="s">
        <v>3370</v>
      </c>
      <c r="N604">
        <v>604</v>
      </c>
    </row>
    <row r="605" spans="1:14" x14ac:dyDescent="0.25">
      <c r="A605" t="s">
        <v>2373</v>
      </c>
      <c r="B605">
        <v>601</v>
      </c>
      <c r="C605">
        <v>1601</v>
      </c>
      <c r="D605" s="1" t="s">
        <v>691</v>
      </c>
      <c r="G605" t="s">
        <v>93</v>
      </c>
      <c r="I605">
        <v>38</v>
      </c>
      <c r="J605">
        <v>70</v>
      </c>
      <c r="K605">
        <v>32</v>
      </c>
      <c r="L605">
        <v>0.84209999999999996</v>
      </c>
      <c r="M605" t="s">
        <v>3370</v>
      </c>
      <c r="N605">
        <v>605</v>
      </c>
    </row>
    <row r="606" spans="1:14" x14ac:dyDescent="0.25">
      <c r="A606" t="s">
        <v>2374</v>
      </c>
      <c r="B606">
        <v>602</v>
      </c>
      <c r="C606">
        <v>1602</v>
      </c>
      <c r="D606" s="1" t="s">
        <v>692</v>
      </c>
      <c r="G606" t="s">
        <v>24</v>
      </c>
      <c r="I606">
        <v>110</v>
      </c>
      <c r="J606">
        <v>140</v>
      </c>
      <c r="K606">
        <v>30</v>
      </c>
      <c r="L606">
        <v>0.2727</v>
      </c>
      <c r="M606" t="s">
        <v>3370</v>
      </c>
      <c r="N606">
        <v>606</v>
      </c>
    </row>
    <row r="607" spans="1:14" x14ac:dyDescent="0.25">
      <c r="A607" t="s">
        <v>2375</v>
      </c>
      <c r="B607">
        <v>603</v>
      </c>
      <c r="C607">
        <v>1603</v>
      </c>
      <c r="D607" s="1" t="s">
        <v>693</v>
      </c>
      <c r="G607" t="s">
        <v>24</v>
      </c>
      <c r="I607">
        <v>52</v>
      </c>
      <c r="J607">
        <v>75</v>
      </c>
      <c r="K607">
        <v>23</v>
      </c>
      <c r="L607">
        <v>0.44230000000000003</v>
      </c>
      <c r="M607" t="s">
        <v>3370</v>
      </c>
      <c r="N607">
        <v>607</v>
      </c>
    </row>
    <row r="608" spans="1:14" x14ac:dyDescent="0.25">
      <c r="A608" t="s">
        <v>2376</v>
      </c>
      <c r="B608">
        <v>604</v>
      </c>
      <c r="C608">
        <v>1604</v>
      </c>
      <c r="D608" s="1" t="s">
        <v>694</v>
      </c>
      <c r="G608" t="s">
        <v>24</v>
      </c>
      <c r="I608">
        <v>0.55000000000000004</v>
      </c>
      <c r="J608">
        <v>1.65</v>
      </c>
      <c r="K608">
        <v>1.1000000000000001</v>
      </c>
      <c r="L608">
        <v>2</v>
      </c>
      <c r="M608" t="s">
        <v>3370</v>
      </c>
      <c r="N608">
        <v>608</v>
      </c>
    </row>
    <row r="609" spans="1:14" x14ac:dyDescent="0.25">
      <c r="A609" t="s">
        <v>2377</v>
      </c>
      <c r="B609">
        <v>605</v>
      </c>
      <c r="C609">
        <v>1605</v>
      </c>
      <c r="D609" s="1" t="s">
        <v>695</v>
      </c>
      <c r="G609" t="s">
        <v>24</v>
      </c>
      <c r="I609">
        <v>0.55000000000000004</v>
      </c>
      <c r="J609">
        <v>1.85</v>
      </c>
      <c r="K609">
        <v>1.3</v>
      </c>
      <c r="L609">
        <v>2.3635999999999999</v>
      </c>
      <c r="M609" t="s">
        <v>3370</v>
      </c>
      <c r="N609">
        <v>609</v>
      </c>
    </row>
    <row r="610" spans="1:14" x14ac:dyDescent="0.25">
      <c r="A610" t="s">
        <v>2378</v>
      </c>
      <c r="B610">
        <v>606</v>
      </c>
      <c r="C610">
        <v>1606</v>
      </c>
      <c r="D610" s="1" t="s">
        <v>696</v>
      </c>
      <c r="G610" t="s">
        <v>24</v>
      </c>
      <c r="I610">
        <v>32.200000000000003</v>
      </c>
      <c r="J610">
        <v>65</v>
      </c>
      <c r="K610">
        <v>32.799999999999997</v>
      </c>
      <c r="L610">
        <v>1.0185999999999999</v>
      </c>
      <c r="M610" t="s">
        <v>3370</v>
      </c>
      <c r="N610">
        <v>610</v>
      </c>
    </row>
    <row r="611" spans="1:14" x14ac:dyDescent="0.25">
      <c r="A611" t="s">
        <v>2379</v>
      </c>
      <c r="B611">
        <v>607</v>
      </c>
      <c r="C611">
        <v>1607</v>
      </c>
      <c r="D611" s="1" t="s">
        <v>697</v>
      </c>
      <c r="E611" t="s">
        <v>459</v>
      </c>
      <c r="G611" t="s">
        <v>24</v>
      </c>
      <c r="I611">
        <v>678</v>
      </c>
      <c r="J611">
        <v>850</v>
      </c>
      <c r="K611">
        <v>172</v>
      </c>
      <c r="L611">
        <v>0.25369999999999998</v>
      </c>
      <c r="M611" t="s">
        <v>3370</v>
      </c>
      <c r="N611">
        <v>611</v>
      </c>
    </row>
    <row r="612" spans="1:14" x14ac:dyDescent="0.25">
      <c r="A612" t="s">
        <v>2380</v>
      </c>
      <c r="B612">
        <v>608</v>
      </c>
      <c r="C612">
        <v>1608</v>
      </c>
      <c r="D612" s="1" t="s">
        <v>698</v>
      </c>
      <c r="E612" t="s">
        <v>459</v>
      </c>
      <c r="G612" t="s">
        <v>24</v>
      </c>
      <c r="I612">
        <v>548</v>
      </c>
      <c r="J612">
        <v>680</v>
      </c>
      <c r="K612">
        <v>132</v>
      </c>
      <c r="L612">
        <v>0.2409</v>
      </c>
      <c r="M612" t="s">
        <v>3370</v>
      </c>
      <c r="N612">
        <v>612</v>
      </c>
    </row>
    <row r="613" spans="1:14" x14ac:dyDescent="0.25">
      <c r="A613" t="s">
        <v>2381</v>
      </c>
      <c r="B613">
        <v>609</v>
      </c>
      <c r="C613">
        <v>1609</v>
      </c>
      <c r="D613" s="1" t="s">
        <v>699</v>
      </c>
      <c r="E613" t="s">
        <v>459</v>
      </c>
      <c r="G613" t="s">
        <v>24</v>
      </c>
      <c r="I613">
        <v>388</v>
      </c>
      <c r="J613">
        <v>500</v>
      </c>
      <c r="K613">
        <v>112</v>
      </c>
      <c r="L613">
        <v>0.28870000000000001</v>
      </c>
      <c r="M613" t="s">
        <v>3370</v>
      </c>
      <c r="N613">
        <v>613</v>
      </c>
    </row>
    <row r="614" spans="1:14" x14ac:dyDescent="0.25">
      <c r="A614" t="s">
        <v>2382</v>
      </c>
      <c r="B614">
        <v>610</v>
      </c>
      <c r="C614">
        <v>1610</v>
      </c>
      <c r="D614" s="1" t="s">
        <v>700</v>
      </c>
      <c r="E614" t="s">
        <v>701</v>
      </c>
      <c r="G614" t="s">
        <v>24</v>
      </c>
      <c r="I614">
        <v>1162</v>
      </c>
      <c r="J614">
        <v>1365</v>
      </c>
      <c r="K614">
        <v>203</v>
      </c>
      <c r="L614">
        <v>0.17469999999999999</v>
      </c>
      <c r="M614" t="s">
        <v>3370</v>
      </c>
      <c r="N614">
        <v>614</v>
      </c>
    </row>
    <row r="615" spans="1:14" x14ac:dyDescent="0.25">
      <c r="A615" t="s">
        <v>2383</v>
      </c>
      <c r="B615">
        <v>611</v>
      </c>
      <c r="C615">
        <v>1611</v>
      </c>
      <c r="D615" s="1" t="s">
        <v>702</v>
      </c>
      <c r="G615" t="s">
        <v>24</v>
      </c>
      <c r="I615">
        <v>12.9</v>
      </c>
      <c r="J615">
        <v>35</v>
      </c>
      <c r="K615">
        <v>22.1</v>
      </c>
      <c r="L615">
        <v>1.7132000000000001</v>
      </c>
      <c r="M615" t="s">
        <v>3370</v>
      </c>
      <c r="N615">
        <v>615</v>
      </c>
    </row>
    <row r="616" spans="1:14" x14ac:dyDescent="0.25">
      <c r="A616" t="s">
        <v>2384</v>
      </c>
      <c r="B616">
        <v>612</v>
      </c>
      <c r="C616">
        <v>1612</v>
      </c>
      <c r="D616" s="1" t="s">
        <v>703</v>
      </c>
      <c r="E616" t="s">
        <v>704</v>
      </c>
      <c r="G616" t="s">
        <v>24</v>
      </c>
      <c r="I616">
        <v>24</v>
      </c>
      <c r="J616">
        <v>38</v>
      </c>
      <c r="K616">
        <v>14</v>
      </c>
      <c r="L616">
        <v>0.58330000000000004</v>
      </c>
      <c r="M616" t="s">
        <v>3370</v>
      </c>
      <c r="N616">
        <v>616</v>
      </c>
    </row>
    <row r="617" spans="1:14" x14ac:dyDescent="0.25">
      <c r="A617" t="s">
        <v>2385</v>
      </c>
      <c r="B617">
        <v>613</v>
      </c>
      <c r="C617">
        <v>1613</v>
      </c>
      <c r="D617" s="1" t="s">
        <v>705</v>
      </c>
      <c r="E617" t="s">
        <v>706</v>
      </c>
      <c r="G617" t="s">
        <v>24</v>
      </c>
      <c r="I617">
        <v>105</v>
      </c>
      <c r="J617">
        <v>165</v>
      </c>
      <c r="K617">
        <v>60</v>
      </c>
      <c r="L617">
        <v>0.57140000000000002</v>
      </c>
      <c r="M617" t="s">
        <v>3370</v>
      </c>
      <c r="N617">
        <v>617</v>
      </c>
    </row>
    <row r="618" spans="1:14" x14ac:dyDescent="0.25">
      <c r="A618" t="s">
        <v>2386</v>
      </c>
      <c r="B618">
        <v>614</v>
      </c>
      <c r="C618">
        <v>1614</v>
      </c>
      <c r="D618" s="1" t="s">
        <v>707</v>
      </c>
      <c r="E618" t="s">
        <v>706</v>
      </c>
      <c r="G618" t="s">
        <v>24</v>
      </c>
      <c r="I618">
        <v>140</v>
      </c>
      <c r="J618">
        <v>225</v>
      </c>
      <c r="K618">
        <v>85</v>
      </c>
      <c r="L618">
        <v>0.60709999999999997</v>
      </c>
      <c r="M618" t="s">
        <v>3370</v>
      </c>
      <c r="N618">
        <v>618</v>
      </c>
    </row>
    <row r="619" spans="1:14" x14ac:dyDescent="0.25">
      <c r="A619" t="s">
        <v>2387</v>
      </c>
      <c r="B619">
        <v>615</v>
      </c>
      <c r="C619">
        <v>1615</v>
      </c>
      <c r="D619" s="1" t="s">
        <v>708</v>
      </c>
      <c r="G619" t="s">
        <v>24</v>
      </c>
      <c r="I619">
        <v>1</v>
      </c>
      <c r="J619">
        <v>2</v>
      </c>
      <c r="K619">
        <v>1</v>
      </c>
      <c r="L619">
        <v>1</v>
      </c>
      <c r="M619" t="s">
        <v>3370</v>
      </c>
      <c r="N619">
        <v>619</v>
      </c>
    </row>
    <row r="620" spans="1:14" x14ac:dyDescent="0.25">
      <c r="A620" t="s">
        <v>2388</v>
      </c>
      <c r="B620">
        <v>616</v>
      </c>
      <c r="C620">
        <v>1616</v>
      </c>
      <c r="D620" s="1" t="s">
        <v>709</v>
      </c>
      <c r="G620" t="s">
        <v>24</v>
      </c>
      <c r="I620">
        <v>4.25</v>
      </c>
      <c r="J620">
        <v>20</v>
      </c>
      <c r="K620">
        <v>15.75</v>
      </c>
      <c r="L620">
        <v>3.7059000000000002</v>
      </c>
      <c r="M620" t="s">
        <v>3370</v>
      </c>
      <c r="N620">
        <v>620</v>
      </c>
    </row>
    <row r="621" spans="1:14" x14ac:dyDescent="0.25">
      <c r="A621" t="s">
        <v>2389</v>
      </c>
      <c r="B621">
        <v>617</v>
      </c>
      <c r="C621">
        <v>1617</v>
      </c>
      <c r="D621" s="1" t="s">
        <v>710</v>
      </c>
      <c r="E621" t="s">
        <v>711</v>
      </c>
      <c r="G621" t="s">
        <v>24</v>
      </c>
      <c r="I621">
        <v>235</v>
      </c>
      <c r="J621">
        <v>250</v>
      </c>
      <c r="K621">
        <v>15</v>
      </c>
      <c r="L621">
        <v>6.3799999999999996E-2</v>
      </c>
      <c r="M621" t="s">
        <v>3370</v>
      </c>
      <c r="N621">
        <v>621</v>
      </c>
    </row>
    <row r="622" spans="1:14" x14ac:dyDescent="0.25">
      <c r="A622" t="s">
        <v>2390</v>
      </c>
      <c r="B622">
        <v>618</v>
      </c>
      <c r="C622">
        <v>1618</v>
      </c>
      <c r="D622" s="1" t="s">
        <v>712</v>
      </c>
      <c r="G622" t="s">
        <v>93</v>
      </c>
      <c r="I622">
        <v>46.66</v>
      </c>
      <c r="J622">
        <v>65</v>
      </c>
      <c r="K622">
        <v>18.34</v>
      </c>
      <c r="L622">
        <v>0.3931</v>
      </c>
      <c r="M622" t="s">
        <v>3370</v>
      </c>
      <c r="N622">
        <v>622</v>
      </c>
    </row>
    <row r="623" spans="1:14" x14ac:dyDescent="0.25">
      <c r="A623" t="s">
        <v>2391</v>
      </c>
      <c r="B623">
        <v>619</v>
      </c>
      <c r="C623">
        <v>1619</v>
      </c>
      <c r="D623" s="1" t="s">
        <v>713</v>
      </c>
      <c r="G623" t="s">
        <v>93</v>
      </c>
      <c r="I623">
        <v>23.33</v>
      </c>
      <c r="J623">
        <v>33</v>
      </c>
      <c r="K623">
        <v>9.67</v>
      </c>
      <c r="L623">
        <v>0.41449999999999998</v>
      </c>
      <c r="M623" t="s">
        <v>3370</v>
      </c>
      <c r="N623">
        <v>623</v>
      </c>
    </row>
    <row r="624" spans="1:14" x14ac:dyDescent="0.25">
      <c r="A624" t="s">
        <v>2392</v>
      </c>
      <c r="B624">
        <v>620</v>
      </c>
      <c r="C624">
        <v>1620</v>
      </c>
      <c r="D624" s="1" t="s">
        <v>714</v>
      </c>
      <c r="G624" t="s">
        <v>24</v>
      </c>
      <c r="I624">
        <v>0.35</v>
      </c>
      <c r="J624">
        <v>1</v>
      </c>
      <c r="K624">
        <v>0.65</v>
      </c>
      <c r="L624">
        <v>1.8571</v>
      </c>
      <c r="M624" t="s">
        <v>3370</v>
      </c>
      <c r="N624">
        <v>624</v>
      </c>
    </row>
    <row r="625" spans="1:14" x14ac:dyDescent="0.25">
      <c r="A625" t="s">
        <v>2393</v>
      </c>
      <c r="B625">
        <v>621</v>
      </c>
      <c r="C625">
        <v>1621</v>
      </c>
      <c r="D625" s="1" t="s">
        <v>715</v>
      </c>
      <c r="G625" t="s">
        <v>24</v>
      </c>
      <c r="I625">
        <v>78</v>
      </c>
      <c r="J625">
        <v>95</v>
      </c>
      <c r="K625">
        <v>17</v>
      </c>
      <c r="L625">
        <v>0.21790000000000001</v>
      </c>
      <c r="M625" t="s">
        <v>3370</v>
      </c>
      <c r="N625">
        <v>625</v>
      </c>
    </row>
    <row r="626" spans="1:14" x14ac:dyDescent="0.25">
      <c r="A626" t="s">
        <v>2394</v>
      </c>
      <c r="B626">
        <v>622</v>
      </c>
      <c r="C626">
        <v>1622</v>
      </c>
      <c r="D626" s="1" t="s">
        <v>716</v>
      </c>
      <c r="G626" t="s">
        <v>24</v>
      </c>
      <c r="I626">
        <v>86</v>
      </c>
      <c r="J626">
        <v>130</v>
      </c>
      <c r="K626">
        <v>44</v>
      </c>
      <c r="L626">
        <v>0.51160000000000005</v>
      </c>
      <c r="M626" t="s">
        <v>3370</v>
      </c>
      <c r="N626">
        <v>626</v>
      </c>
    </row>
    <row r="627" spans="1:14" x14ac:dyDescent="0.25">
      <c r="A627" t="s">
        <v>2395</v>
      </c>
      <c r="B627">
        <v>623</v>
      </c>
      <c r="C627">
        <v>1623</v>
      </c>
      <c r="D627" s="1" t="s">
        <v>717</v>
      </c>
      <c r="G627" t="s">
        <v>24</v>
      </c>
      <c r="I627">
        <v>102</v>
      </c>
      <c r="J627">
        <v>145</v>
      </c>
      <c r="K627">
        <v>43</v>
      </c>
      <c r="L627">
        <v>0.42159999999999997</v>
      </c>
      <c r="M627" t="s">
        <v>3370</v>
      </c>
      <c r="N627">
        <v>627</v>
      </c>
    </row>
    <row r="628" spans="1:14" x14ac:dyDescent="0.25">
      <c r="A628" t="s">
        <v>2396</v>
      </c>
      <c r="B628">
        <v>624</v>
      </c>
      <c r="C628">
        <v>1624</v>
      </c>
      <c r="D628" s="1" t="s">
        <v>718</v>
      </c>
      <c r="G628" t="s">
        <v>24</v>
      </c>
      <c r="I628">
        <v>14</v>
      </c>
      <c r="K628">
        <v>14</v>
      </c>
      <c r="L628">
        <v>-1</v>
      </c>
      <c r="M628" t="s">
        <v>3370</v>
      </c>
      <c r="N628">
        <v>628</v>
      </c>
    </row>
    <row r="629" spans="1:14" x14ac:dyDescent="0.25">
      <c r="A629" t="s">
        <v>2397</v>
      </c>
      <c r="B629">
        <v>625</v>
      </c>
      <c r="C629">
        <v>1625</v>
      </c>
      <c r="D629" s="1" t="s">
        <v>719</v>
      </c>
      <c r="E629" t="s">
        <v>410</v>
      </c>
      <c r="G629" t="s">
        <v>24</v>
      </c>
      <c r="I629">
        <v>59</v>
      </c>
      <c r="J629">
        <v>100</v>
      </c>
      <c r="K629">
        <v>41</v>
      </c>
      <c r="L629">
        <v>0.69489999999999996</v>
      </c>
      <c r="M629" t="s">
        <v>3370</v>
      </c>
      <c r="N629">
        <v>629</v>
      </c>
    </row>
    <row r="630" spans="1:14" x14ac:dyDescent="0.25">
      <c r="A630" t="s">
        <v>2398</v>
      </c>
      <c r="B630">
        <v>626</v>
      </c>
      <c r="C630">
        <v>1626</v>
      </c>
      <c r="D630" s="1" t="s">
        <v>720</v>
      </c>
      <c r="E630" t="s">
        <v>721</v>
      </c>
      <c r="G630" t="s">
        <v>24</v>
      </c>
      <c r="I630">
        <v>15</v>
      </c>
      <c r="J630">
        <v>25</v>
      </c>
      <c r="K630">
        <v>10</v>
      </c>
      <c r="L630">
        <v>0.66669999999999996</v>
      </c>
      <c r="M630" t="s">
        <v>3370</v>
      </c>
      <c r="N630">
        <v>630</v>
      </c>
    </row>
    <row r="631" spans="1:14" x14ac:dyDescent="0.25">
      <c r="A631" t="s">
        <v>2399</v>
      </c>
      <c r="B631">
        <v>627</v>
      </c>
      <c r="C631">
        <v>1627</v>
      </c>
      <c r="D631" s="1" t="s">
        <v>722</v>
      </c>
      <c r="G631" t="s">
        <v>24</v>
      </c>
      <c r="I631">
        <v>1.55</v>
      </c>
      <c r="J631">
        <v>5</v>
      </c>
      <c r="K631">
        <v>3.45</v>
      </c>
      <c r="L631">
        <v>2.2258</v>
      </c>
      <c r="M631" t="s">
        <v>3370</v>
      </c>
      <c r="N631">
        <v>631</v>
      </c>
    </row>
    <row r="632" spans="1:14" x14ac:dyDescent="0.25">
      <c r="A632" t="s">
        <v>2400</v>
      </c>
      <c r="B632">
        <v>628</v>
      </c>
      <c r="C632">
        <v>1628</v>
      </c>
      <c r="D632" s="1" t="s">
        <v>723</v>
      </c>
      <c r="G632" t="s">
        <v>24</v>
      </c>
      <c r="I632">
        <v>1.9</v>
      </c>
      <c r="J632">
        <v>6</v>
      </c>
      <c r="K632">
        <v>4.0999999999999996</v>
      </c>
      <c r="L632">
        <v>2.1579000000000002</v>
      </c>
      <c r="M632" t="s">
        <v>3370</v>
      </c>
      <c r="N632">
        <v>632</v>
      </c>
    </row>
    <row r="633" spans="1:14" x14ac:dyDescent="0.25">
      <c r="A633" t="s">
        <v>2401</v>
      </c>
      <c r="B633">
        <v>629</v>
      </c>
      <c r="C633">
        <v>1629</v>
      </c>
      <c r="D633" s="1" t="s">
        <v>724</v>
      </c>
      <c r="G633" t="s">
        <v>24</v>
      </c>
      <c r="I633">
        <v>2.15</v>
      </c>
      <c r="J633">
        <v>8</v>
      </c>
      <c r="K633">
        <v>5.85</v>
      </c>
      <c r="L633">
        <v>2.7208999999999999</v>
      </c>
      <c r="M633" t="s">
        <v>3370</v>
      </c>
      <c r="N633">
        <v>633</v>
      </c>
    </row>
    <row r="634" spans="1:14" x14ac:dyDescent="0.25">
      <c r="A634" t="s">
        <v>2402</v>
      </c>
      <c r="B634">
        <v>630</v>
      </c>
      <c r="C634">
        <v>1630</v>
      </c>
      <c r="D634" s="1" t="s">
        <v>725</v>
      </c>
      <c r="G634" t="s">
        <v>24</v>
      </c>
      <c r="I634">
        <v>3</v>
      </c>
      <c r="J634">
        <v>10</v>
      </c>
      <c r="K634">
        <v>7</v>
      </c>
      <c r="L634">
        <v>2.3332999999999999</v>
      </c>
      <c r="M634" t="s">
        <v>3370</v>
      </c>
      <c r="N634">
        <v>634</v>
      </c>
    </row>
    <row r="635" spans="1:14" x14ac:dyDescent="0.25">
      <c r="A635" t="s">
        <v>2403</v>
      </c>
      <c r="B635">
        <v>631</v>
      </c>
      <c r="C635">
        <v>1631</v>
      </c>
      <c r="D635" s="1" t="s">
        <v>726</v>
      </c>
      <c r="G635" t="s">
        <v>24</v>
      </c>
      <c r="I635">
        <v>2.6</v>
      </c>
      <c r="J635">
        <v>10</v>
      </c>
      <c r="K635">
        <v>7.4</v>
      </c>
      <c r="L635">
        <v>2.8462000000000001</v>
      </c>
      <c r="M635" t="s">
        <v>3370</v>
      </c>
      <c r="N635">
        <v>635</v>
      </c>
    </row>
    <row r="636" spans="1:14" x14ac:dyDescent="0.25">
      <c r="A636" t="s">
        <v>2404</v>
      </c>
      <c r="B636">
        <v>632</v>
      </c>
      <c r="C636">
        <v>1632</v>
      </c>
      <c r="D636" s="1" t="s">
        <v>727</v>
      </c>
      <c r="G636" t="s">
        <v>24</v>
      </c>
      <c r="I636">
        <v>3.3</v>
      </c>
      <c r="J636">
        <v>10</v>
      </c>
      <c r="K636">
        <v>6.7</v>
      </c>
      <c r="L636">
        <v>2.0303</v>
      </c>
      <c r="M636" t="s">
        <v>3370</v>
      </c>
      <c r="N636">
        <v>636</v>
      </c>
    </row>
    <row r="637" spans="1:14" x14ac:dyDescent="0.25">
      <c r="A637" t="s">
        <v>2405</v>
      </c>
      <c r="B637">
        <v>633</v>
      </c>
      <c r="C637">
        <v>1633</v>
      </c>
      <c r="D637" s="1" t="s">
        <v>728</v>
      </c>
      <c r="G637" t="s">
        <v>24</v>
      </c>
      <c r="I637">
        <v>3.75</v>
      </c>
      <c r="J637">
        <v>7.5</v>
      </c>
      <c r="K637">
        <v>3.75</v>
      </c>
      <c r="L637">
        <v>1</v>
      </c>
      <c r="M637" t="s">
        <v>3370</v>
      </c>
      <c r="N637">
        <v>637</v>
      </c>
    </row>
    <row r="638" spans="1:14" x14ac:dyDescent="0.25">
      <c r="A638" t="s">
        <v>2406</v>
      </c>
      <c r="B638">
        <v>634</v>
      </c>
      <c r="C638">
        <v>1634</v>
      </c>
      <c r="D638" s="1" t="s">
        <v>729</v>
      </c>
      <c r="G638" t="s">
        <v>24</v>
      </c>
      <c r="I638">
        <v>5.25</v>
      </c>
      <c r="J638">
        <v>12</v>
      </c>
      <c r="K638">
        <v>6.75</v>
      </c>
      <c r="L638">
        <v>1.2857000000000001</v>
      </c>
      <c r="M638" t="s">
        <v>3370</v>
      </c>
      <c r="N638">
        <v>638</v>
      </c>
    </row>
    <row r="639" spans="1:14" x14ac:dyDescent="0.25">
      <c r="A639" t="s">
        <v>2407</v>
      </c>
      <c r="B639">
        <v>635</v>
      </c>
      <c r="C639">
        <v>1635</v>
      </c>
      <c r="D639" s="1" t="s">
        <v>730</v>
      </c>
      <c r="G639" t="s">
        <v>24</v>
      </c>
      <c r="I639">
        <v>4.5</v>
      </c>
      <c r="J639">
        <v>12</v>
      </c>
      <c r="K639">
        <v>7.5</v>
      </c>
      <c r="L639">
        <v>1.6667000000000001</v>
      </c>
      <c r="M639" t="s">
        <v>3370</v>
      </c>
      <c r="N639">
        <v>639</v>
      </c>
    </row>
    <row r="640" spans="1:14" x14ac:dyDescent="0.25">
      <c r="A640" t="s">
        <v>2408</v>
      </c>
      <c r="B640">
        <v>636</v>
      </c>
      <c r="C640">
        <v>1636</v>
      </c>
      <c r="D640" s="1" t="s">
        <v>731</v>
      </c>
      <c r="G640" t="s">
        <v>24</v>
      </c>
      <c r="I640">
        <v>5.75</v>
      </c>
      <c r="J640">
        <v>15</v>
      </c>
      <c r="K640">
        <v>9.25</v>
      </c>
      <c r="L640">
        <v>1.6087</v>
      </c>
      <c r="M640" t="s">
        <v>3370</v>
      </c>
      <c r="N640">
        <v>640</v>
      </c>
    </row>
    <row r="641" spans="1:14" x14ac:dyDescent="0.25">
      <c r="A641" t="s">
        <v>2409</v>
      </c>
      <c r="B641">
        <v>637</v>
      </c>
      <c r="C641">
        <v>1637</v>
      </c>
      <c r="D641" s="1" t="s">
        <v>732</v>
      </c>
      <c r="G641" t="s">
        <v>24</v>
      </c>
      <c r="I641">
        <v>6.35</v>
      </c>
      <c r="J641">
        <v>12</v>
      </c>
      <c r="K641">
        <v>5.65</v>
      </c>
      <c r="L641">
        <v>0.88980000000000004</v>
      </c>
      <c r="M641" t="s">
        <v>3370</v>
      </c>
      <c r="N641">
        <v>641</v>
      </c>
    </row>
    <row r="642" spans="1:14" x14ac:dyDescent="0.25">
      <c r="A642" t="s">
        <v>2410</v>
      </c>
      <c r="B642">
        <v>638</v>
      </c>
      <c r="C642">
        <v>1638</v>
      </c>
      <c r="D642" s="1" t="s">
        <v>733</v>
      </c>
      <c r="G642" t="s">
        <v>24</v>
      </c>
      <c r="I642">
        <v>8.65</v>
      </c>
      <c r="J642">
        <v>16</v>
      </c>
      <c r="K642">
        <v>7.35</v>
      </c>
      <c r="L642">
        <v>0.84970000000000001</v>
      </c>
      <c r="M642" t="s">
        <v>3370</v>
      </c>
      <c r="N642">
        <v>642</v>
      </c>
    </row>
    <row r="643" spans="1:14" x14ac:dyDescent="0.25">
      <c r="A643" t="s">
        <v>2411</v>
      </c>
      <c r="B643">
        <v>639</v>
      </c>
      <c r="C643">
        <v>1639</v>
      </c>
      <c r="D643" s="1" t="s">
        <v>734</v>
      </c>
      <c r="G643" t="s">
        <v>24</v>
      </c>
      <c r="I643">
        <v>8.25</v>
      </c>
      <c r="J643">
        <v>16</v>
      </c>
      <c r="K643">
        <v>7.75</v>
      </c>
      <c r="L643">
        <v>0.93940000000000001</v>
      </c>
      <c r="M643" t="s">
        <v>3370</v>
      </c>
      <c r="N643">
        <v>643</v>
      </c>
    </row>
    <row r="644" spans="1:14" x14ac:dyDescent="0.25">
      <c r="A644" t="s">
        <v>2412</v>
      </c>
      <c r="B644">
        <v>640</v>
      </c>
      <c r="C644">
        <v>1640</v>
      </c>
      <c r="D644" s="1" t="s">
        <v>735</v>
      </c>
      <c r="G644" t="s">
        <v>24</v>
      </c>
      <c r="I644">
        <v>9.75</v>
      </c>
      <c r="J644">
        <v>20</v>
      </c>
      <c r="K644">
        <v>10.25</v>
      </c>
      <c r="L644">
        <v>1.0512999999999999</v>
      </c>
      <c r="M644" t="s">
        <v>3370</v>
      </c>
      <c r="N644">
        <v>644</v>
      </c>
    </row>
    <row r="645" spans="1:14" x14ac:dyDescent="0.25">
      <c r="A645" t="s">
        <v>2413</v>
      </c>
      <c r="B645">
        <v>641</v>
      </c>
      <c r="C645">
        <v>1641</v>
      </c>
      <c r="D645" s="1" t="s">
        <v>736</v>
      </c>
      <c r="G645" t="s">
        <v>24</v>
      </c>
      <c r="I645">
        <v>10.85</v>
      </c>
      <c r="J645">
        <v>20</v>
      </c>
      <c r="K645">
        <v>9.15</v>
      </c>
      <c r="L645">
        <v>0.84330000000000005</v>
      </c>
      <c r="M645" t="s">
        <v>3370</v>
      </c>
      <c r="N645">
        <v>645</v>
      </c>
    </row>
    <row r="646" spans="1:14" x14ac:dyDescent="0.25">
      <c r="A646" t="s">
        <v>2414</v>
      </c>
      <c r="B646">
        <v>642</v>
      </c>
      <c r="C646">
        <v>1642</v>
      </c>
      <c r="D646" s="1" t="s">
        <v>737</v>
      </c>
      <c r="G646" t="s">
        <v>24</v>
      </c>
      <c r="I646">
        <v>14.35</v>
      </c>
      <c r="J646">
        <v>25</v>
      </c>
      <c r="K646">
        <v>10.65</v>
      </c>
      <c r="L646">
        <v>0.74219999999999997</v>
      </c>
      <c r="M646" t="s">
        <v>3370</v>
      </c>
      <c r="N646">
        <v>646</v>
      </c>
    </row>
    <row r="647" spans="1:14" x14ac:dyDescent="0.25">
      <c r="A647" t="s">
        <v>2415</v>
      </c>
      <c r="B647">
        <v>643</v>
      </c>
      <c r="C647">
        <v>1643</v>
      </c>
      <c r="D647" s="1" t="s">
        <v>738</v>
      </c>
      <c r="G647" t="s">
        <v>24</v>
      </c>
      <c r="I647">
        <v>9.75</v>
      </c>
      <c r="J647">
        <v>18</v>
      </c>
      <c r="K647">
        <v>8.25</v>
      </c>
      <c r="L647">
        <v>0.84619999999999995</v>
      </c>
      <c r="M647" t="s">
        <v>3370</v>
      </c>
      <c r="N647">
        <v>647</v>
      </c>
    </row>
    <row r="648" spans="1:14" x14ac:dyDescent="0.25">
      <c r="A648" t="s">
        <v>2416</v>
      </c>
      <c r="B648">
        <v>644</v>
      </c>
      <c r="C648">
        <v>1644</v>
      </c>
      <c r="D648" s="1" t="s">
        <v>739</v>
      </c>
      <c r="G648" t="s">
        <v>24</v>
      </c>
      <c r="I648">
        <v>11.5</v>
      </c>
      <c r="J648">
        <v>20</v>
      </c>
      <c r="K648">
        <v>8.5</v>
      </c>
      <c r="L648">
        <v>0.73909999999999998</v>
      </c>
      <c r="M648" t="s">
        <v>3370</v>
      </c>
      <c r="N648">
        <v>648</v>
      </c>
    </row>
    <row r="649" spans="1:14" x14ac:dyDescent="0.25">
      <c r="A649" t="s">
        <v>2417</v>
      </c>
      <c r="B649">
        <v>645</v>
      </c>
      <c r="C649">
        <v>1645</v>
      </c>
      <c r="D649" s="1" t="s">
        <v>740</v>
      </c>
      <c r="G649" t="s">
        <v>24</v>
      </c>
      <c r="I649">
        <v>12.5</v>
      </c>
      <c r="J649">
        <v>22</v>
      </c>
      <c r="K649">
        <v>9.5</v>
      </c>
      <c r="L649">
        <v>0.76</v>
      </c>
      <c r="M649" t="s">
        <v>3370</v>
      </c>
      <c r="N649">
        <v>649</v>
      </c>
    </row>
    <row r="650" spans="1:14" x14ac:dyDescent="0.25">
      <c r="A650" t="s">
        <v>2418</v>
      </c>
      <c r="B650">
        <v>646</v>
      </c>
      <c r="C650">
        <v>1646</v>
      </c>
      <c r="D650" s="1" t="s">
        <v>741</v>
      </c>
      <c r="G650" t="s">
        <v>24</v>
      </c>
      <c r="I650">
        <v>19</v>
      </c>
      <c r="J650">
        <v>35</v>
      </c>
      <c r="K650">
        <v>16</v>
      </c>
      <c r="L650">
        <v>0.84209999999999996</v>
      </c>
      <c r="M650" t="s">
        <v>3370</v>
      </c>
      <c r="N650">
        <v>650</v>
      </c>
    </row>
    <row r="651" spans="1:14" x14ac:dyDescent="0.25">
      <c r="A651" t="s">
        <v>2419</v>
      </c>
      <c r="B651">
        <v>647</v>
      </c>
      <c r="C651">
        <v>1647</v>
      </c>
      <c r="D651" s="1" t="s">
        <v>742</v>
      </c>
      <c r="G651" t="s">
        <v>24</v>
      </c>
      <c r="I651">
        <v>16.75</v>
      </c>
      <c r="J651">
        <v>27</v>
      </c>
      <c r="K651">
        <v>10.25</v>
      </c>
      <c r="L651">
        <v>0.6119</v>
      </c>
      <c r="M651" t="s">
        <v>3370</v>
      </c>
      <c r="N651">
        <v>651</v>
      </c>
    </row>
    <row r="652" spans="1:14" x14ac:dyDescent="0.25">
      <c r="A652" t="s">
        <v>2420</v>
      </c>
      <c r="B652">
        <v>648</v>
      </c>
      <c r="C652">
        <v>1648</v>
      </c>
      <c r="D652" s="1" t="s">
        <v>743</v>
      </c>
      <c r="G652" t="s">
        <v>24</v>
      </c>
      <c r="I652">
        <v>23.25</v>
      </c>
      <c r="J652">
        <v>35</v>
      </c>
      <c r="K652">
        <v>11.75</v>
      </c>
      <c r="L652">
        <v>0.50539999999999996</v>
      </c>
      <c r="M652" t="s">
        <v>3370</v>
      </c>
      <c r="N652">
        <v>652</v>
      </c>
    </row>
    <row r="653" spans="1:14" x14ac:dyDescent="0.25">
      <c r="A653" t="s">
        <v>2421</v>
      </c>
      <c r="B653">
        <v>649</v>
      </c>
      <c r="C653">
        <v>1649</v>
      </c>
      <c r="D653" s="1" t="s">
        <v>744</v>
      </c>
      <c r="G653" t="s">
        <v>24</v>
      </c>
      <c r="I653">
        <v>30.25</v>
      </c>
      <c r="J653">
        <v>45</v>
      </c>
      <c r="K653">
        <v>14.75</v>
      </c>
      <c r="L653">
        <v>0.48759999999999998</v>
      </c>
      <c r="M653" t="s">
        <v>3370</v>
      </c>
      <c r="N653">
        <v>653</v>
      </c>
    </row>
    <row r="654" spans="1:14" x14ac:dyDescent="0.25">
      <c r="A654" t="s">
        <v>2422</v>
      </c>
      <c r="B654">
        <v>650</v>
      </c>
      <c r="C654">
        <v>1650</v>
      </c>
      <c r="D654" s="1" t="s">
        <v>745</v>
      </c>
      <c r="G654" t="s">
        <v>24</v>
      </c>
      <c r="I654">
        <v>23</v>
      </c>
      <c r="J654">
        <v>40</v>
      </c>
      <c r="K654">
        <v>17</v>
      </c>
      <c r="L654">
        <v>0.73909999999999998</v>
      </c>
      <c r="M654" t="s">
        <v>3370</v>
      </c>
      <c r="N654">
        <v>654</v>
      </c>
    </row>
    <row r="655" spans="1:14" x14ac:dyDescent="0.25">
      <c r="A655" t="s">
        <v>2423</v>
      </c>
      <c r="B655">
        <v>651</v>
      </c>
      <c r="C655">
        <v>1651</v>
      </c>
      <c r="D655" s="1" t="s">
        <v>746</v>
      </c>
      <c r="G655" t="s">
        <v>24</v>
      </c>
      <c r="I655">
        <v>27.5</v>
      </c>
      <c r="J655">
        <v>40</v>
      </c>
      <c r="K655">
        <v>12.5</v>
      </c>
      <c r="L655">
        <v>0.45450000000000002</v>
      </c>
      <c r="M655" t="s">
        <v>3370</v>
      </c>
      <c r="N655">
        <v>655</v>
      </c>
    </row>
    <row r="656" spans="1:14" x14ac:dyDescent="0.25">
      <c r="A656" t="s">
        <v>2424</v>
      </c>
      <c r="B656">
        <v>652</v>
      </c>
      <c r="C656">
        <v>1652</v>
      </c>
      <c r="D656" s="1" t="s">
        <v>747</v>
      </c>
      <c r="G656" t="s">
        <v>24</v>
      </c>
      <c r="I656">
        <v>30.5</v>
      </c>
      <c r="J656">
        <v>50</v>
      </c>
      <c r="K656">
        <v>19.5</v>
      </c>
      <c r="L656">
        <v>0.63929999999999998</v>
      </c>
      <c r="M656" t="s">
        <v>3370</v>
      </c>
      <c r="N656">
        <v>656</v>
      </c>
    </row>
    <row r="657" spans="1:14" x14ac:dyDescent="0.25">
      <c r="A657" t="s">
        <v>2425</v>
      </c>
      <c r="B657">
        <v>653</v>
      </c>
      <c r="C657">
        <v>1653</v>
      </c>
      <c r="D657" s="1" t="s">
        <v>748</v>
      </c>
      <c r="G657" t="s">
        <v>24</v>
      </c>
      <c r="I657">
        <v>46.25</v>
      </c>
      <c r="J657">
        <v>70</v>
      </c>
      <c r="K657">
        <v>23.75</v>
      </c>
      <c r="L657">
        <v>0.51349999999999996</v>
      </c>
      <c r="M657" t="s">
        <v>3370</v>
      </c>
      <c r="N657">
        <v>657</v>
      </c>
    </row>
    <row r="658" spans="1:14" x14ac:dyDescent="0.25">
      <c r="A658" t="s">
        <v>2426</v>
      </c>
      <c r="B658">
        <v>654</v>
      </c>
      <c r="C658">
        <v>1654</v>
      </c>
      <c r="D658" s="1" t="s">
        <v>749</v>
      </c>
      <c r="G658" t="s">
        <v>24</v>
      </c>
      <c r="I658">
        <v>2</v>
      </c>
      <c r="J658">
        <v>5</v>
      </c>
      <c r="K658">
        <v>3</v>
      </c>
      <c r="L658">
        <v>1.5</v>
      </c>
      <c r="M658" t="s">
        <v>3370</v>
      </c>
      <c r="N658">
        <v>658</v>
      </c>
    </row>
    <row r="659" spans="1:14" x14ac:dyDescent="0.25">
      <c r="A659" t="s">
        <v>2427</v>
      </c>
      <c r="B659">
        <v>655</v>
      </c>
      <c r="C659">
        <v>1655</v>
      </c>
      <c r="D659" s="1" t="s">
        <v>750</v>
      </c>
      <c r="E659" t="s">
        <v>410</v>
      </c>
      <c r="G659" t="s">
        <v>24</v>
      </c>
      <c r="I659">
        <v>35</v>
      </c>
      <c r="J659">
        <v>85</v>
      </c>
      <c r="K659">
        <v>50</v>
      </c>
      <c r="L659">
        <v>1.4286000000000001</v>
      </c>
      <c r="M659" t="s">
        <v>3370</v>
      </c>
      <c r="N659">
        <v>659</v>
      </c>
    </row>
    <row r="660" spans="1:14" x14ac:dyDescent="0.25">
      <c r="A660" t="s">
        <v>2428</v>
      </c>
      <c r="B660">
        <v>656</v>
      </c>
      <c r="C660">
        <v>1656</v>
      </c>
      <c r="D660" s="1" t="s">
        <v>751</v>
      </c>
      <c r="G660" t="s">
        <v>24</v>
      </c>
      <c r="I660">
        <v>69</v>
      </c>
      <c r="J660">
        <v>87</v>
      </c>
      <c r="K660">
        <v>18</v>
      </c>
      <c r="L660">
        <v>0.26090000000000002</v>
      </c>
      <c r="M660" t="s">
        <v>3370</v>
      </c>
      <c r="N660">
        <v>660</v>
      </c>
    </row>
    <row r="661" spans="1:14" x14ac:dyDescent="0.25">
      <c r="A661" t="s">
        <v>2429</v>
      </c>
      <c r="B661">
        <v>657</v>
      </c>
      <c r="C661">
        <v>1657</v>
      </c>
      <c r="D661" s="1" t="s">
        <v>752</v>
      </c>
      <c r="E661" t="s">
        <v>114</v>
      </c>
      <c r="G661" t="s">
        <v>55</v>
      </c>
      <c r="I661">
        <v>33.5</v>
      </c>
      <c r="J661">
        <v>48</v>
      </c>
      <c r="K661">
        <v>14.5</v>
      </c>
      <c r="L661">
        <v>0.43280000000000002</v>
      </c>
      <c r="M661" t="s">
        <v>3371</v>
      </c>
      <c r="N661">
        <v>661</v>
      </c>
    </row>
    <row r="662" spans="1:14" x14ac:dyDescent="0.25">
      <c r="A662" t="s">
        <v>2430</v>
      </c>
      <c r="B662">
        <v>658</v>
      </c>
      <c r="C662">
        <v>1658</v>
      </c>
      <c r="D662" s="1" t="s">
        <v>753</v>
      </c>
      <c r="E662" t="s">
        <v>114</v>
      </c>
      <c r="G662" t="s">
        <v>55</v>
      </c>
      <c r="I662">
        <v>28.75</v>
      </c>
      <c r="J662">
        <v>45</v>
      </c>
      <c r="K662">
        <v>16.25</v>
      </c>
      <c r="L662">
        <v>0.56520000000000004</v>
      </c>
      <c r="M662" t="s">
        <v>3371</v>
      </c>
      <c r="N662">
        <v>662</v>
      </c>
    </row>
    <row r="663" spans="1:14" x14ac:dyDescent="0.25">
      <c r="A663" t="s">
        <v>2431</v>
      </c>
      <c r="B663">
        <v>659</v>
      </c>
      <c r="C663">
        <v>1659</v>
      </c>
      <c r="D663" s="1" t="s">
        <v>754</v>
      </c>
      <c r="G663" t="s">
        <v>24</v>
      </c>
      <c r="I663">
        <v>28</v>
      </c>
      <c r="J663">
        <v>65</v>
      </c>
      <c r="K663">
        <v>37</v>
      </c>
      <c r="L663">
        <v>1.3213999999999999</v>
      </c>
      <c r="M663" t="s">
        <v>3371</v>
      </c>
      <c r="N663">
        <v>663</v>
      </c>
    </row>
    <row r="664" spans="1:14" x14ac:dyDescent="0.25">
      <c r="A664" t="s">
        <v>2432</v>
      </c>
      <c r="B664">
        <v>660</v>
      </c>
      <c r="C664">
        <v>1660</v>
      </c>
      <c r="D664" s="1" t="s">
        <v>755</v>
      </c>
      <c r="G664" t="s">
        <v>24</v>
      </c>
      <c r="I664">
        <v>0.11</v>
      </c>
      <c r="J664">
        <v>0.25</v>
      </c>
      <c r="K664">
        <v>0.14000000000000001</v>
      </c>
      <c r="L664">
        <v>1.2726999999999999</v>
      </c>
      <c r="M664" t="s">
        <v>3371</v>
      </c>
      <c r="N664">
        <v>664</v>
      </c>
    </row>
    <row r="665" spans="1:14" x14ac:dyDescent="0.25">
      <c r="A665" t="s">
        <v>2433</v>
      </c>
      <c r="B665">
        <v>661</v>
      </c>
      <c r="C665">
        <v>1661</v>
      </c>
      <c r="D665" s="1" t="s">
        <v>756</v>
      </c>
      <c r="G665" t="s">
        <v>24</v>
      </c>
      <c r="I665">
        <v>0.25</v>
      </c>
      <c r="J665">
        <v>0.4</v>
      </c>
      <c r="K665">
        <v>0.15</v>
      </c>
      <c r="L665">
        <v>0.6</v>
      </c>
      <c r="M665" t="s">
        <v>3371</v>
      </c>
      <c r="N665">
        <v>665</v>
      </c>
    </row>
    <row r="666" spans="1:14" x14ac:dyDescent="0.25">
      <c r="A666" t="s">
        <v>2434</v>
      </c>
      <c r="B666">
        <v>662</v>
      </c>
      <c r="C666">
        <v>1662</v>
      </c>
      <c r="D666" s="1" t="s">
        <v>757</v>
      </c>
      <c r="G666" t="s">
        <v>24</v>
      </c>
      <c r="I666">
        <v>0.46</v>
      </c>
      <c r="J666">
        <v>0.7</v>
      </c>
      <c r="K666">
        <v>0.24</v>
      </c>
      <c r="L666">
        <v>0.52170000000000005</v>
      </c>
      <c r="M666" t="s">
        <v>3371</v>
      </c>
      <c r="N666">
        <v>666</v>
      </c>
    </row>
    <row r="667" spans="1:14" x14ac:dyDescent="0.25">
      <c r="A667" t="s">
        <v>2435</v>
      </c>
      <c r="B667">
        <v>663</v>
      </c>
      <c r="C667">
        <v>1663</v>
      </c>
      <c r="D667" s="1" t="s">
        <v>758</v>
      </c>
      <c r="G667" t="s">
        <v>24</v>
      </c>
      <c r="I667">
        <v>0.35</v>
      </c>
      <c r="J667">
        <v>0.85</v>
      </c>
      <c r="K667">
        <v>0.5</v>
      </c>
      <c r="L667">
        <v>1.4286000000000001</v>
      </c>
      <c r="M667" t="s">
        <v>3371</v>
      </c>
      <c r="N667">
        <v>667</v>
      </c>
    </row>
    <row r="668" spans="1:14" x14ac:dyDescent="0.25">
      <c r="A668" t="s">
        <v>2436</v>
      </c>
      <c r="B668">
        <v>664</v>
      </c>
      <c r="C668">
        <v>1664</v>
      </c>
      <c r="D668" s="1" t="s">
        <v>759</v>
      </c>
      <c r="G668" t="s">
        <v>24</v>
      </c>
      <c r="I668">
        <v>0.33</v>
      </c>
      <c r="J668">
        <v>0.75</v>
      </c>
      <c r="K668">
        <v>0.42</v>
      </c>
      <c r="L668">
        <v>1.2726999999999999</v>
      </c>
      <c r="M668" t="s">
        <v>3371</v>
      </c>
      <c r="N668">
        <v>668</v>
      </c>
    </row>
    <row r="669" spans="1:14" x14ac:dyDescent="0.25">
      <c r="A669" t="s">
        <v>2437</v>
      </c>
      <c r="B669">
        <v>665</v>
      </c>
      <c r="C669">
        <v>1665</v>
      </c>
      <c r="D669" s="1" t="s">
        <v>760</v>
      </c>
      <c r="G669" t="s">
        <v>24</v>
      </c>
      <c r="I669">
        <v>1.4</v>
      </c>
      <c r="J669">
        <v>3</v>
      </c>
      <c r="K669">
        <v>1.6</v>
      </c>
      <c r="L669">
        <v>1.1429</v>
      </c>
      <c r="M669" t="s">
        <v>3371</v>
      </c>
      <c r="N669">
        <v>669</v>
      </c>
    </row>
    <row r="670" spans="1:14" x14ac:dyDescent="0.25">
      <c r="A670" t="s">
        <v>2438</v>
      </c>
      <c r="B670">
        <v>666</v>
      </c>
      <c r="C670">
        <v>1666</v>
      </c>
      <c r="D670" s="1" t="s">
        <v>761</v>
      </c>
      <c r="G670" t="s">
        <v>24</v>
      </c>
      <c r="I670">
        <v>0.35</v>
      </c>
      <c r="J670">
        <v>2</v>
      </c>
      <c r="K670">
        <v>1.65</v>
      </c>
      <c r="L670">
        <v>4.7142999999999997</v>
      </c>
      <c r="M670" t="s">
        <v>3371</v>
      </c>
      <c r="N670">
        <v>670</v>
      </c>
    </row>
    <row r="671" spans="1:14" x14ac:dyDescent="0.25">
      <c r="A671" t="s">
        <v>2439</v>
      </c>
      <c r="B671">
        <v>667</v>
      </c>
      <c r="C671">
        <v>1667</v>
      </c>
      <c r="D671" s="1" t="s">
        <v>762</v>
      </c>
      <c r="G671" t="s">
        <v>24</v>
      </c>
      <c r="I671">
        <v>0.27</v>
      </c>
      <c r="J671">
        <v>1.5</v>
      </c>
      <c r="K671">
        <v>1.23</v>
      </c>
      <c r="L671">
        <v>4.5556000000000001</v>
      </c>
      <c r="M671" t="s">
        <v>3371</v>
      </c>
      <c r="N671">
        <v>671</v>
      </c>
    </row>
    <row r="672" spans="1:14" x14ac:dyDescent="0.25">
      <c r="A672" t="s">
        <v>2440</v>
      </c>
      <c r="B672">
        <v>668</v>
      </c>
      <c r="C672">
        <v>1668</v>
      </c>
      <c r="D672" s="1" t="s">
        <v>763</v>
      </c>
      <c r="G672" t="s">
        <v>24</v>
      </c>
      <c r="I672">
        <v>0.27</v>
      </c>
      <c r="J672">
        <v>1.5</v>
      </c>
      <c r="K672">
        <v>1.23</v>
      </c>
      <c r="L672">
        <v>4.5556000000000001</v>
      </c>
      <c r="M672" t="s">
        <v>3371</v>
      </c>
      <c r="N672">
        <v>672</v>
      </c>
    </row>
    <row r="673" spans="1:14" x14ac:dyDescent="0.25">
      <c r="A673" t="s">
        <v>2441</v>
      </c>
      <c r="B673">
        <v>669</v>
      </c>
      <c r="C673">
        <v>1669</v>
      </c>
      <c r="D673" s="1" t="s">
        <v>764</v>
      </c>
      <c r="G673" t="s">
        <v>24</v>
      </c>
      <c r="I673">
        <v>0.27</v>
      </c>
      <c r="J673">
        <v>1.5</v>
      </c>
      <c r="K673">
        <v>1.23</v>
      </c>
      <c r="L673">
        <v>4.5556000000000001</v>
      </c>
      <c r="M673" t="s">
        <v>3371</v>
      </c>
      <c r="N673">
        <v>673</v>
      </c>
    </row>
    <row r="674" spans="1:14" x14ac:dyDescent="0.25">
      <c r="A674" t="s">
        <v>2442</v>
      </c>
      <c r="B674">
        <v>670</v>
      </c>
      <c r="C674">
        <v>1670</v>
      </c>
      <c r="D674" s="1" t="s">
        <v>765</v>
      </c>
      <c r="G674" t="s">
        <v>24</v>
      </c>
      <c r="I674">
        <v>0.27</v>
      </c>
      <c r="J674">
        <v>1.5</v>
      </c>
      <c r="K674">
        <v>1.23</v>
      </c>
      <c r="L674">
        <v>4.5556000000000001</v>
      </c>
      <c r="M674" t="s">
        <v>3371</v>
      </c>
      <c r="N674">
        <v>674</v>
      </c>
    </row>
    <row r="675" spans="1:14" x14ac:dyDescent="0.25">
      <c r="A675" t="s">
        <v>2443</v>
      </c>
      <c r="B675">
        <v>671</v>
      </c>
      <c r="C675">
        <v>1671</v>
      </c>
      <c r="D675" s="1" t="s">
        <v>766</v>
      </c>
      <c r="G675" t="s">
        <v>24</v>
      </c>
      <c r="I675">
        <v>0.27</v>
      </c>
      <c r="J675">
        <v>1.5</v>
      </c>
      <c r="K675">
        <v>1.23</v>
      </c>
      <c r="L675">
        <v>4.5556000000000001</v>
      </c>
      <c r="M675" t="s">
        <v>3371</v>
      </c>
      <c r="N675">
        <v>675</v>
      </c>
    </row>
    <row r="676" spans="1:14" x14ac:dyDescent="0.25">
      <c r="A676" t="s">
        <v>2444</v>
      </c>
      <c r="B676">
        <v>672</v>
      </c>
      <c r="C676">
        <v>1672</v>
      </c>
      <c r="D676" s="1" t="s">
        <v>767</v>
      </c>
      <c r="G676" t="s">
        <v>24</v>
      </c>
      <c r="I676">
        <v>0.27</v>
      </c>
      <c r="J676">
        <v>1.5</v>
      </c>
      <c r="K676">
        <v>1.23</v>
      </c>
      <c r="L676">
        <v>4.5556000000000001</v>
      </c>
      <c r="M676" t="s">
        <v>3371</v>
      </c>
      <c r="N676">
        <v>676</v>
      </c>
    </row>
    <row r="677" spans="1:14" x14ac:dyDescent="0.25">
      <c r="A677" t="s">
        <v>2445</v>
      </c>
      <c r="B677">
        <v>673</v>
      </c>
      <c r="C677">
        <v>1673</v>
      </c>
      <c r="D677" s="1" t="s">
        <v>768</v>
      </c>
      <c r="G677" t="s">
        <v>24</v>
      </c>
      <c r="I677">
        <v>0.27</v>
      </c>
      <c r="J677">
        <v>1.5</v>
      </c>
      <c r="K677">
        <v>1.23</v>
      </c>
      <c r="L677">
        <v>4.5556000000000001</v>
      </c>
      <c r="M677" t="s">
        <v>3371</v>
      </c>
      <c r="N677">
        <v>677</v>
      </c>
    </row>
    <row r="678" spans="1:14" x14ac:dyDescent="0.25">
      <c r="A678" t="s">
        <v>2446</v>
      </c>
      <c r="B678">
        <v>674</v>
      </c>
      <c r="C678">
        <v>1674</v>
      </c>
      <c r="D678" s="1" t="s">
        <v>769</v>
      </c>
      <c r="G678" t="s">
        <v>24</v>
      </c>
      <c r="I678">
        <v>45</v>
      </c>
      <c r="J678">
        <v>90</v>
      </c>
      <c r="K678">
        <v>45</v>
      </c>
      <c r="L678">
        <v>1</v>
      </c>
      <c r="M678" t="s">
        <v>3371</v>
      </c>
      <c r="N678">
        <v>678</v>
      </c>
    </row>
    <row r="679" spans="1:14" x14ac:dyDescent="0.25">
      <c r="A679" t="s">
        <v>2447</v>
      </c>
      <c r="B679">
        <v>675</v>
      </c>
      <c r="C679">
        <v>1675</v>
      </c>
      <c r="D679" s="1" t="s">
        <v>770</v>
      </c>
      <c r="G679" t="s">
        <v>24</v>
      </c>
      <c r="I679">
        <v>30</v>
      </c>
      <c r="J679">
        <v>55</v>
      </c>
      <c r="K679">
        <v>25</v>
      </c>
      <c r="L679">
        <v>0.83330000000000004</v>
      </c>
      <c r="M679" t="s">
        <v>3371</v>
      </c>
      <c r="N679">
        <v>679</v>
      </c>
    </row>
    <row r="680" spans="1:14" x14ac:dyDescent="0.25">
      <c r="A680" t="s">
        <v>2448</v>
      </c>
      <c r="B680">
        <v>676</v>
      </c>
      <c r="C680">
        <v>1676</v>
      </c>
      <c r="D680" s="1" t="s">
        <v>771</v>
      </c>
      <c r="G680" t="s">
        <v>24</v>
      </c>
      <c r="I680">
        <v>25</v>
      </c>
      <c r="J680">
        <v>45</v>
      </c>
      <c r="K680">
        <v>20</v>
      </c>
      <c r="L680">
        <v>0.8</v>
      </c>
      <c r="M680" t="s">
        <v>3371</v>
      </c>
      <c r="N680">
        <v>680</v>
      </c>
    </row>
    <row r="681" spans="1:14" x14ac:dyDescent="0.25">
      <c r="A681" t="s">
        <v>2449</v>
      </c>
      <c r="B681">
        <v>677</v>
      </c>
      <c r="C681">
        <v>1677</v>
      </c>
      <c r="D681" s="1" t="s">
        <v>772</v>
      </c>
      <c r="G681" t="s">
        <v>24</v>
      </c>
      <c r="I681">
        <v>35</v>
      </c>
      <c r="J681">
        <v>60</v>
      </c>
      <c r="K681">
        <v>25</v>
      </c>
      <c r="L681">
        <v>0.71430000000000005</v>
      </c>
      <c r="M681" t="s">
        <v>3371</v>
      </c>
      <c r="N681">
        <v>681</v>
      </c>
    </row>
    <row r="682" spans="1:14" x14ac:dyDescent="0.25">
      <c r="A682" t="s">
        <v>2450</v>
      </c>
      <c r="B682">
        <v>678</v>
      </c>
      <c r="C682">
        <v>1678</v>
      </c>
      <c r="D682" s="1" t="s">
        <v>773</v>
      </c>
      <c r="G682" t="s">
        <v>93</v>
      </c>
      <c r="I682">
        <v>170</v>
      </c>
      <c r="J682">
        <v>198</v>
      </c>
      <c r="K682">
        <v>28</v>
      </c>
      <c r="L682">
        <v>0.16470000000000001</v>
      </c>
      <c r="M682" t="s">
        <v>3371</v>
      </c>
      <c r="N682">
        <v>682</v>
      </c>
    </row>
    <row r="683" spans="1:14" x14ac:dyDescent="0.25">
      <c r="A683" t="s">
        <v>2451</v>
      </c>
      <c r="B683">
        <v>679</v>
      </c>
      <c r="C683">
        <v>1679</v>
      </c>
      <c r="D683" s="1" t="s">
        <v>774</v>
      </c>
      <c r="G683" t="s">
        <v>93</v>
      </c>
      <c r="I683">
        <v>74.8</v>
      </c>
      <c r="J683">
        <v>95</v>
      </c>
      <c r="K683">
        <v>20.2</v>
      </c>
      <c r="L683">
        <v>0.27010000000000001</v>
      </c>
      <c r="M683" t="s">
        <v>3371</v>
      </c>
      <c r="N683">
        <v>683</v>
      </c>
    </row>
    <row r="684" spans="1:14" x14ac:dyDescent="0.25">
      <c r="A684" t="s">
        <v>2452</v>
      </c>
      <c r="B684">
        <v>680</v>
      </c>
      <c r="C684">
        <v>1680</v>
      </c>
      <c r="D684" s="1" t="s">
        <v>775</v>
      </c>
      <c r="G684" t="s">
        <v>24</v>
      </c>
      <c r="I684">
        <v>75</v>
      </c>
      <c r="J684">
        <v>110</v>
      </c>
      <c r="K684">
        <v>35</v>
      </c>
      <c r="L684">
        <v>0.4667</v>
      </c>
      <c r="M684" t="s">
        <v>3371</v>
      </c>
      <c r="N684">
        <v>684</v>
      </c>
    </row>
    <row r="685" spans="1:14" x14ac:dyDescent="0.25">
      <c r="A685" t="s">
        <v>2453</v>
      </c>
      <c r="B685">
        <v>681</v>
      </c>
      <c r="C685">
        <v>1681</v>
      </c>
      <c r="D685" s="1" t="s">
        <v>776</v>
      </c>
      <c r="G685" t="s">
        <v>24</v>
      </c>
      <c r="I685">
        <v>35</v>
      </c>
      <c r="J685">
        <v>65</v>
      </c>
      <c r="K685">
        <v>30</v>
      </c>
      <c r="L685">
        <v>0.85709999999999997</v>
      </c>
      <c r="M685" t="s">
        <v>3371</v>
      </c>
      <c r="N685">
        <v>685</v>
      </c>
    </row>
    <row r="686" spans="1:14" x14ac:dyDescent="0.25">
      <c r="A686" t="s">
        <v>2454</v>
      </c>
      <c r="B686">
        <v>682</v>
      </c>
      <c r="C686">
        <v>1682</v>
      </c>
      <c r="D686" s="1" t="s">
        <v>777</v>
      </c>
      <c r="G686" t="s">
        <v>24</v>
      </c>
      <c r="I686">
        <v>117</v>
      </c>
      <c r="J686">
        <v>160</v>
      </c>
      <c r="K686">
        <v>43</v>
      </c>
      <c r="L686">
        <v>0.36749999999999999</v>
      </c>
      <c r="M686" t="s">
        <v>3371</v>
      </c>
      <c r="N686">
        <v>686</v>
      </c>
    </row>
    <row r="687" spans="1:14" x14ac:dyDescent="0.25">
      <c r="A687" t="s">
        <v>2455</v>
      </c>
      <c r="B687">
        <v>683</v>
      </c>
      <c r="C687">
        <v>1683</v>
      </c>
      <c r="D687" s="1" t="s">
        <v>778</v>
      </c>
      <c r="G687" t="s">
        <v>24</v>
      </c>
      <c r="I687">
        <v>44</v>
      </c>
      <c r="J687">
        <v>75</v>
      </c>
      <c r="K687">
        <v>31</v>
      </c>
      <c r="L687">
        <v>0.70450000000000002</v>
      </c>
      <c r="M687" t="s">
        <v>3371</v>
      </c>
      <c r="N687">
        <v>687</v>
      </c>
    </row>
    <row r="688" spans="1:14" x14ac:dyDescent="0.25">
      <c r="A688" t="s">
        <v>2456</v>
      </c>
      <c r="B688">
        <v>684</v>
      </c>
      <c r="C688">
        <v>1684</v>
      </c>
      <c r="D688" s="1" t="s">
        <v>779</v>
      </c>
      <c r="G688" t="s">
        <v>24</v>
      </c>
      <c r="I688">
        <v>54.21</v>
      </c>
      <c r="J688">
        <v>75</v>
      </c>
      <c r="K688">
        <v>20.79</v>
      </c>
      <c r="L688">
        <v>0.38350000000000001</v>
      </c>
      <c r="M688" t="s">
        <v>3371</v>
      </c>
      <c r="N688">
        <v>688</v>
      </c>
    </row>
    <row r="689" spans="1:14" x14ac:dyDescent="0.25">
      <c r="A689" t="s">
        <v>2457</v>
      </c>
      <c r="B689">
        <v>685</v>
      </c>
      <c r="C689">
        <v>1685</v>
      </c>
      <c r="D689" s="1" t="s">
        <v>780</v>
      </c>
      <c r="G689" t="s">
        <v>24</v>
      </c>
      <c r="I689">
        <v>30</v>
      </c>
      <c r="J689">
        <v>55</v>
      </c>
      <c r="K689">
        <v>25</v>
      </c>
      <c r="L689">
        <v>0.83330000000000004</v>
      </c>
      <c r="M689" t="s">
        <v>3371</v>
      </c>
      <c r="N689">
        <v>689</v>
      </c>
    </row>
    <row r="690" spans="1:14" x14ac:dyDescent="0.25">
      <c r="A690" t="s">
        <v>2458</v>
      </c>
      <c r="B690">
        <v>686</v>
      </c>
      <c r="C690">
        <v>1686</v>
      </c>
      <c r="D690" s="1" t="s">
        <v>781</v>
      </c>
      <c r="G690" t="s">
        <v>24</v>
      </c>
      <c r="I690">
        <v>35</v>
      </c>
      <c r="J690">
        <v>60</v>
      </c>
      <c r="K690">
        <v>25</v>
      </c>
      <c r="L690">
        <v>0.71430000000000005</v>
      </c>
      <c r="M690" t="s">
        <v>3371</v>
      </c>
      <c r="N690">
        <v>690</v>
      </c>
    </row>
    <row r="691" spans="1:14" x14ac:dyDescent="0.25">
      <c r="A691" t="s">
        <v>2459</v>
      </c>
      <c r="B691">
        <v>687</v>
      </c>
      <c r="C691">
        <v>1687</v>
      </c>
      <c r="D691" s="1" t="s">
        <v>782</v>
      </c>
      <c r="G691" t="s">
        <v>24</v>
      </c>
      <c r="I691">
        <v>25</v>
      </c>
      <c r="J691">
        <v>45</v>
      </c>
      <c r="K691">
        <v>20</v>
      </c>
      <c r="L691">
        <v>0.8</v>
      </c>
      <c r="M691" t="s">
        <v>3371</v>
      </c>
      <c r="N691">
        <v>691</v>
      </c>
    </row>
    <row r="692" spans="1:14" x14ac:dyDescent="0.25">
      <c r="A692" t="s">
        <v>2460</v>
      </c>
      <c r="B692">
        <v>688</v>
      </c>
      <c r="C692">
        <v>1688</v>
      </c>
      <c r="D692" s="1" t="s">
        <v>783</v>
      </c>
      <c r="G692" t="s">
        <v>24</v>
      </c>
      <c r="I692">
        <v>18.11</v>
      </c>
      <c r="J692">
        <v>35</v>
      </c>
      <c r="K692">
        <v>16.89</v>
      </c>
      <c r="L692">
        <v>0.93259999999999998</v>
      </c>
      <c r="M692" t="s">
        <v>3371</v>
      </c>
      <c r="N692">
        <v>692</v>
      </c>
    </row>
    <row r="693" spans="1:14" x14ac:dyDescent="0.25">
      <c r="A693" t="s">
        <v>2461</v>
      </c>
      <c r="B693">
        <v>689</v>
      </c>
      <c r="C693">
        <v>1689</v>
      </c>
      <c r="D693" s="1" t="s">
        <v>784</v>
      </c>
      <c r="G693" t="s">
        <v>24</v>
      </c>
      <c r="I693">
        <v>69.72</v>
      </c>
      <c r="J693">
        <v>95</v>
      </c>
      <c r="K693">
        <v>25.28</v>
      </c>
      <c r="L693">
        <v>0.36259999999999998</v>
      </c>
      <c r="M693" t="s">
        <v>3371</v>
      </c>
      <c r="N693">
        <v>693</v>
      </c>
    </row>
    <row r="694" spans="1:14" x14ac:dyDescent="0.25">
      <c r="A694" t="s">
        <v>2462</v>
      </c>
      <c r="B694">
        <v>690</v>
      </c>
      <c r="C694">
        <v>1690</v>
      </c>
      <c r="D694" s="1" t="s">
        <v>785</v>
      </c>
      <c r="G694" t="s">
        <v>24</v>
      </c>
      <c r="I694">
        <v>71</v>
      </c>
      <c r="J694">
        <v>115</v>
      </c>
      <c r="K694">
        <v>44</v>
      </c>
      <c r="L694">
        <v>0.61970000000000003</v>
      </c>
      <c r="M694" t="s">
        <v>3371</v>
      </c>
      <c r="N694">
        <v>694</v>
      </c>
    </row>
    <row r="695" spans="1:14" x14ac:dyDescent="0.25">
      <c r="A695" t="s">
        <v>2463</v>
      </c>
      <c r="B695">
        <v>691</v>
      </c>
      <c r="C695">
        <v>1691</v>
      </c>
      <c r="D695" s="1" t="s">
        <v>786</v>
      </c>
      <c r="G695" t="s">
        <v>24</v>
      </c>
      <c r="I695">
        <v>60</v>
      </c>
      <c r="J695">
        <v>95</v>
      </c>
      <c r="K695">
        <v>35</v>
      </c>
      <c r="L695">
        <v>0.58330000000000004</v>
      </c>
      <c r="M695" t="s">
        <v>3371</v>
      </c>
      <c r="N695">
        <v>695</v>
      </c>
    </row>
    <row r="696" spans="1:14" x14ac:dyDescent="0.25">
      <c r="A696" t="s">
        <v>2464</v>
      </c>
      <c r="B696">
        <v>692</v>
      </c>
      <c r="C696">
        <v>1692</v>
      </c>
      <c r="D696" s="1" t="s">
        <v>787</v>
      </c>
      <c r="G696" t="s">
        <v>24</v>
      </c>
      <c r="I696">
        <v>160</v>
      </c>
      <c r="J696">
        <v>210</v>
      </c>
      <c r="K696">
        <v>50</v>
      </c>
      <c r="L696">
        <v>0.3125</v>
      </c>
      <c r="M696" t="s">
        <v>3371</v>
      </c>
      <c r="N696">
        <v>696</v>
      </c>
    </row>
    <row r="697" spans="1:14" x14ac:dyDescent="0.25">
      <c r="A697" t="s">
        <v>2465</v>
      </c>
      <c r="B697">
        <v>693</v>
      </c>
      <c r="C697">
        <v>1693</v>
      </c>
      <c r="D697" s="1" t="s">
        <v>788</v>
      </c>
      <c r="E697" t="s">
        <v>789</v>
      </c>
      <c r="G697" t="s">
        <v>24</v>
      </c>
      <c r="I697">
        <v>410</v>
      </c>
      <c r="J697">
        <v>510</v>
      </c>
      <c r="K697">
        <v>100</v>
      </c>
      <c r="L697">
        <v>0.24390000000000001</v>
      </c>
      <c r="M697" t="s">
        <v>3371</v>
      </c>
      <c r="N697">
        <v>697</v>
      </c>
    </row>
    <row r="698" spans="1:14" x14ac:dyDescent="0.25">
      <c r="A698" t="s">
        <v>2466</v>
      </c>
      <c r="B698">
        <v>694</v>
      </c>
      <c r="C698">
        <v>1694</v>
      </c>
      <c r="D698" s="1" t="s">
        <v>790</v>
      </c>
      <c r="G698" t="s">
        <v>24</v>
      </c>
      <c r="I698">
        <v>423</v>
      </c>
      <c r="J698">
        <v>510</v>
      </c>
      <c r="K698">
        <v>87</v>
      </c>
      <c r="L698">
        <v>0.20569999999999999</v>
      </c>
      <c r="M698" t="s">
        <v>3371</v>
      </c>
      <c r="N698">
        <v>698</v>
      </c>
    </row>
    <row r="699" spans="1:14" x14ac:dyDescent="0.25">
      <c r="A699" t="s">
        <v>2467</v>
      </c>
      <c r="B699">
        <v>695</v>
      </c>
      <c r="C699">
        <v>1695</v>
      </c>
      <c r="D699" s="1" t="s">
        <v>791</v>
      </c>
      <c r="G699" t="s">
        <v>24</v>
      </c>
      <c r="I699">
        <v>616</v>
      </c>
      <c r="J699">
        <v>725</v>
      </c>
      <c r="K699">
        <v>109</v>
      </c>
      <c r="L699">
        <v>0.1769</v>
      </c>
      <c r="M699" t="s">
        <v>3371</v>
      </c>
      <c r="N699">
        <v>699</v>
      </c>
    </row>
    <row r="700" spans="1:14" x14ac:dyDescent="0.25">
      <c r="A700" t="s">
        <v>2468</v>
      </c>
      <c r="B700">
        <v>696</v>
      </c>
      <c r="C700">
        <v>1696</v>
      </c>
      <c r="D700" s="1" t="s">
        <v>792</v>
      </c>
      <c r="G700" t="s">
        <v>55</v>
      </c>
      <c r="I700">
        <v>74</v>
      </c>
      <c r="J700">
        <v>100</v>
      </c>
      <c r="K700">
        <v>26</v>
      </c>
      <c r="L700">
        <v>0.35139999999999999</v>
      </c>
      <c r="M700" t="s">
        <v>3371</v>
      </c>
      <c r="N700">
        <v>700</v>
      </c>
    </row>
    <row r="701" spans="1:14" x14ac:dyDescent="0.25">
      <c r="A701" t="s">
        <v>2469</v>
      </c>
      <c r="B701">
        <v>697</v>
      </c>
      <c r="C701">
        <v>1697</v>
      </c>
      <c r="D701" s="1" t="s">
        <v>793</v>
      </c>
      <c r="G701" t="s">
        <v>24</v>
      </c>
      <c r="I701">
        <v>10</v>
      </c>
      <c r="J701">
        <v>15</v>
      </c>
      <c r="K701">
        <v>5</v>
      </c>
      <c r="L701">
        <v>0.5</v>
      </c>
      <c r="M701" t="s">
        <v>3371</v>
      </c>
      <c r="N701">
        <v>701</v>
      </c>
    </row>
    <row r="702" spans="1:14" x14ac:dyDescent="0.25">
      <c r="A702" t="s">
        <v>2470</v>
      </c>
      <c r="B702">
        <v>698</v>
      </c>
      <c r="C702">
        <v>1698</v>
      </c>
      <c r="D702" s="1" t="s">
        <v>794</v>
      </c>
      <c r="G702" t="s">
        <v>24</v>
      </c>
      <c r="I702">
        <v>25</v>
      </c>
      <c r="J702">
        <v>35</v>
      </c>
      <c r="K702">
        <v>10</v>
      </c>
      <c r="L702">
        <v>0.4</v>
      </c>
      <c r="M702" t="s">
        <v>3371</v>
      </c>
      <c r="N702">
        <v>702</v>
      </c>
    </row>
    <row r="703" spans="1:14" x14ac:dyDescent="0.25">
      <c r="A703" t="s">
        <v>2471</v>
      </c>
      <c r="B703">
        <v>699</v>
      </c>
      <c r="C703">
        <v>1699</v>
      </c>
      <c r="D703" s="1" t="s">
        <v>795</v>
      </c>
      <c r="G703" t="s">
        <v>24</v>
      </c>
      <c r="I703">
        <v>35</v>
      </c>
      <c r="J703">
        <v>48</v>
      </c>
      <c r="K703">
        <v>13</v>
      </c>
      <c r="L703">
        <v>0.37140000000000001</v>
      </c>
      <c r="M703" t="s">
        <v>3371</v>
      </c>
      <c r="N703">
        <v>703</v>
      </c>
    </row>
    <row r="704" spans="1:14" x14ac:dyDescent="0.25">
      <c r="A704" t="s">
        <v>2472</v>
      </c>
      <c r="B704">
        <v>700</v>
      </c>
      <c r="C704">
        <v>1700</v>
      </c>
      <c r="D704" s="1" t="s">
        <v>796</v>
      </c>
      <c r="G704" t="s">
        <v>24</v>
      </c>
      <c r="I704">
        <v>38.71</v>
      </c>
      <c r="J704">
        <v>55</v>
      </c>
      <c r="K704">
        <v>16.29</v>
      </c>
      <c r="L704">
        <v>0.42080000000000001</v>
      </c>
      <c r="M704" t="s">
        <v>3371</v>
      </c>
      <c r="N704">
        <v>704</v>
      </c>
    </row>
    <row r="705" spans="1:14" x14ac:dyDescent="0.25">
      <c r="A705" t="s">
        <v>2473</v>
      </c>
      <c r="B705">
        <v>701</v>
      </c>
      <c r="C705">
        <v>1701</v>
      </c>
      <c r="D705" s="1" t="s">
        <v>797</v>
      </c>
      <c r="G705" t="s">
        <v>55</v>
      </c>
      <c r="I705">
        <v>36</v>
      </c>
      <c r="J705">
        <v>48</v>
      </c>
      <c r="K705">
        <v>12</v>
      </c>
      <c r="L705">
        <v>0.33329999999999999</v>
      </c>
      <c r="M705" t="s">
        <v>3371</v>
      </c>
      <c r="N705">
        <v>705</v>
      </c>
    </row>
    <row r="706" spans="1:14" x14ac:dyDescent="0.25">
      <c r="A706" t="s">
        <v>2474</v>
      </c>
      <c r="B706">
        <v>702</v>
      </c>
      <c r="C706">
        <v>1702</v>
      </c>
      <c r="D706" s="1" t="s">
        <v>798</v>
      </c>
      <c r="G706" t="s">
        <v>55</v>
      </c>
      <c r="I706">
        <v>36</v>
      </c>
      <c r="J706">
        <v>48</v>
      </c>
      <c r="K706">
        <v>12</v>
      </c>
      <c r="L706">
        <v>0.33329999999999999</v>
      </c>
      <c r="M706" t="s">
        <v>3371</v>
      </c>
      <c r="N706">
        <v>706</v>
      </c>
    </row>
    <row r="707" spans="1:14" x14ac:dyDescent="0.25">
      <c r="A707" t="s">
        <v>2475</v>
      </c>
      <c r="B707">
        <v>703</v>
      </c>
      <c r="C707">
        <v>1703</v>
      </c>
      <c r="D707" s="1" t="s">
        <v>799</v>
      </c>
      <c r="G707" t="s">
        <v>55</v>
      </c>
      <c r="I707">
        <v>18</v>
      </c>
      <c r="J707">
        <v>24</v>
      </c>
      <c r="K707">
        <v>6</v>
      </c>
      <c r="L707">
        <v>0.33329999999999999</v>
      </c>
      <c r="M707" t="s">
        <v>3371</v>
      </c>
      <c r="N707">
        <v>707</v>
      </c>
    </row>
    <row r="708" spans="1:14" x14ac:dyDescent="0.25">
      <c r="A708" t="s">
        <v>2476</v>
      </c>
      <c r="B708">
        <v>704</v>
      </c>
      <c r="C708">
        <v>1704</v>
      </c>
      <c r="D708" s="1" t="s">
        <v>800</v>
      </c>
      <c r="G708" t="s">
        <v>55</v>
      </c>
      <c r="I708">
        <v>18</v>
      </c>
      <c r="J708">
        <v>24</v>
      </c>
      <c r="K708">
        <v>6</v>
      </c>
      <c r="L708">
        <v>0.33329999999999999</v>
      </c>
      <c r="M708" t="s">
        <v>3371</v>
      </c>
      <c r="N708">
        <v>708</v>
      </c>
    </row>
    <row r="709" spans="1:14" x14ac:dyDescent="0.25">
      <c r="A709" t="s">
        <v>2477</v>
      </c>
      <c r="B709">
        <v>705</v>
      </c>
      <c r="C709">
        <v>1705</v>
      </c>
      <c r="D709" s="1" t="s">
        <v>801</v>
      </c>
      <c r="G709" t="s">
        <v>24</v>
      </c>
      <c r="I709">
        <v>394</v>
      </c>
      <c r="J709">
        <v>490</v>
      </c>
      <c r="K709">
        <v>96</v>
      </c>
      <c r="L709">
        <v>0.2437</v>
      </c>
      <c r="M709" t="s">
        <v>3371</v>
      </c>
      <c r="N709">
        <v>709</v>
      </c>
    </row>
    <row r="710" spans="1:14" x14ac:dyDescent="0.25">
      <c r="A710" t="s">
        <v>2478</v>
      </c>
      <c r="B710">
        <v>706</v>
      </c>
      <c r="C710">
        <v>1706</v>
      </c>
      <c r="D710" s="1" t="s">
        <v>802</v>
      </c>
      <c r="G710" t="s">
        <v>55</v>
      </c>
      <c r="I710">
        <v>1500</v>
      </c>
      <c r="J710">
        <v>1800</v>
      </c>
      <c r="K710">
        <v>300</v>
      </c>
      <c r="L710">
        <v>0.2</v>
      </c>
      <c r="M710" t="s">
        <v>3371</v>
      </c>
      <c r="N710">
        <v>710</v>
      </c>
    </row>
    <row r="711" spans="1:14" x14ac:dyDescent="0.25">
      <c r="A711" t="s">
        <v>2479</v>
      </c>
      <c r="B711">
        <v>707</v>
      </c>
      <c r="C711">
        <v>1707</v>
      </c>
      <c r="D711" s="1" t="s">
        <v>803</v>
      </c>
      <c r="E711" t="s">
        <v>804</v>
      </c>
      <c r="G711" t="s">
        <v>24</v>
      </c>
      <c r="I711">
        <v>18</v>
      </c>
      <c r="J711">
        <v>20</v>
      </c>
      <c r="K711">
        <v>2</v>
      </c>
      <c r="L711">
        <v>0.1111</v>
      </c>
      <c r="M711" t="s">
        <v>3371</v>
      </c>
      <c r="N711">
        <v>711</v>
      </c>
    </row>
    <row r="712" spans="1:14" x14ac:dyDescent="0.25">
      <c r="A712" t="s">
        <v>2480</v>
      </c>
      <c r="B712">
        <v>708</v>
      </c>
      <c r="C712">
        <v>1708</v>
      </c>
      <c r="D712" s="1" t="s">
        <v>805</v>
      </c>
      <c r="G712" t="s">
        <v>24</v>
      </c>
      <c r="I712">
        <v>20</v>
      </c>
      <c r="J712">
        <v>30</v>
      </c>
      <c r="K712">
        <v>10</v>
      </c>
      <c r="L712">
        <v>0.5</v>
      </c>
      <c r="M712" t="s">
        <v>3371</v>
      </c>
      <c r="N712">
        <v>712</v>
      </c>
    </row>
    <row r="713" spans="1:14" x14ac:dyDescent="0.25">
      <c r="A713" t="s">
        <v>2481</v>
      </c>
      <c r="B713">
        <v>709</v>
      </c>
      <c r="C713">
        <v>1709</v>
      </c>
      <c r="D713" s="1" t="s">
        <v>806</v>
      </c>
      <c r="G713" t="s">
        <v>24</v>
      </c>
      <c r="I713">
        <v>25</v>
      </c>
      <c r="J713">
        <v>35</v>
      </c>
      <c r="K713">
        <v>10</v>
      </c>
      <c r="L713">
        <v>0.4</v>
      </c>
      <c r="M713" t="s">
        <v>3371</v>
      </c>
      <c r="N713">
        <v>713</v>
      </c>
    </row>
    <row r="714" spans="1:14" x14ac:dyDescent="0.25">
      <c r="A714" t="s">
        <v>2482</v>
      </c>
      <c r="B714">
        <v>710</v>
      </c>
      <c r="C714">
        <v>1710</v>
      </c>
      <c r="D714" s="1" t="s">
        <v>807</v>
      </c>
      <c r="G714" t="s">
        <v>24</v>
      </c>
      <c r="I714">
        <v>17.09</v>
      </c>
      <c r="J714">
        <v>45</v>
      </c>
      <c r="K714">
        <v>27.91</v>
      </c>
      <c r="L714">
        <v>1.6331</v>
      </c>
      <c r="M714" t="s">
        <v>3371</v>
      </c>
      <c r="N714">
        <v>714</v>
      </c>
    </row>
    <row r="715" spans="1:14" x14ac:dyDescent="0.25">
      <c r="A715" t="s">
        <v>2483</v>
      </c>
      <c r="B715">
        <v>711</v>
      </c>
      <c r="C715">
        <v>1711</v>
      </c>
      <c r="D715" s="1" t="s">
        <v>808</v>
      </c>
      <c r="G715" t="s">
        <v>24</v>
      </c>
      <c r="I715">
        <v>30</v>
      </c>
      <c r="J715">
        <v>60</v>
      </c>
      <c r="K715">
        <v>30</v>
      </c>
      <c r="L715">
        <v>1</v>
      </c>
      <c r="M715" t="s">
        <v>3371</v>
      </c>
      <c r="N715">
        <v>715</v>
      </c>
    </row>
    <row r="716" spans="1:14" x14ac:dyDescent="0.25">
      <c r="A716" t="s">
        <v>2484</v>
      </c>
      <c r="B716">
        <v>712</v>
      </c>
      <c r="C716">
        <v>1712</v>
      </c>
      <c r="D716" s="1" t="s">
        <v>809</v>
      </c>
      <c r="G716" t="s">
        <v>24</v>
      </c>
      <c r="I716">
        <v>45</v>
      </c>
      <c r="J716">
        <v>70</v>
      </c>
      <c r="K716">
        <v>25</v>
      </c>
      <c r="L716">
        <v>0.55559999999999998</v>
      </c>
      <c r="M716" t="s">
        <v>3371</v>
      </c>
      <c r="N716">
        <v>716</v>
      </c>
    </row>
    <row r="717" spans="1:14" x14ac:dyDescent="0.25">
      <c r="A717" t="s">
        <v>2485</v>
      </c>
      <c r="B717">
        <v>713</v>
      </c>
      <c r="C717">
        <v>1713</v>
      </c>
      <c r="D717" s="1" t="s">
        <v>810</v>
      </c>
      <c r="M717" t="s">
        <v>3371</v>
      </c>
      <c r="N717">
        <v>717</v>
      </c>
    </row>
    <row r="718" spans="1:14" x14ac:dyDescent="0.25">
      <c r="A718" t="s">
        <v>2486</v>
      </c>
      <c r="B718">
        <v>714</v>
      </c>
      <c r="C718">
        <v>1714</v>
      </c>
      <c r="D718" s="1" t="s">
        <v>811</v>
      </c>
      <c r="F718" t="s">
        <v>810</v>
      </c>
      <c r="G718" t="s">
        <v>24</v>
      </c>
      <c r="I718">
        <v>25</v>
      </c>
      <c r="J718">
        <v>45</v>
      </c>
      <c r="K718">
        <v>20</v>
      </c>
      <c r="L718">
        <v>0.8</v>
      </c>
      <c r="M718" t="s">
        <v>3371</v>
      </c>
      <c r="N718">
        <v>718</v>
      </c>
    </row>
    <row r="719" spans="1:14" x14ac:dyDescent="0.25">
      <c r="A719" t="s">
        <v>2487</v>
      </c>
      <c r="B719">
        <v>715</v>
      </c>
      <c r="C719">
        <v>1715</v>
      </c>
      <c r="D719" s="1" t="s">
        <v>812</v>
      </c>
      <c r="F719" t="s">
        <v>810</v>
      </c>
      <c r="G719" t="s">
        <v>24</v>
      </c>
      <c r="I719">
        <v>18</v>
      </c>
      <c r="J719">
        <v>35</v>
      </c>
      <c r="K719">
        <v>17</v>
      </c>
      <c r="L719">
        <v>0.94440000000000002</v>
      </c>
      <c r="M719" t="s">
        <v>3371</v>
      </c>
      <c r="N719">
        <v>719</v>
      </c>
    </row>
    <row r="720" spans="1:14" x14ac:dyDescent="0.25">
      <c r="A720" t="s">
        <v>2488</v>
      </c>
      <c r="B720">
        <v>716</v>
      </c>
      <c r="C720">
        <v>1716</v>
      </c>
      <c r="D720" s="1" t="s">
        <v>813</v>
      </c>
      <c r="E720" t="s">
        <v>814</v>
      </c>
      <c r="F720" t="s">
        <v>810</v>
      </c>
      <c r="G720" t="s">
        <v>24</v>
      </c>
      <c r="I720">
        <v>53</v>
      </c>
      <c r="J720">
        <v>70</v>
      </c>
      <c r="K720">
        <v>17</v>
      </c>
      <c r="L720">
        <v>0.32079999999999997</v>
      </c>
      <c r="M720" t="s">
        <v>3371</v>
      </c>
      <c r="N720">
        <v>720</v>
      </c>
    </row>
    <row r="721" spans="1:14" x14ac:dyDescent="0.25">
      <c r="A721" t="s">
        <v>2489</v>
      </c>
      <c r="B721">
        <v>717</v>
      </c>
      <c r="C721">
        <v>1717</v>
      </c>
      <c r="D721" s="1" t="s">
        <v>815</v>
      </c>
      <c r="F721" t="s">
        <v>810</v>
      </c>
      <c r="G721" t="s">
        <v>24</v>
      </c>
      <c r="I721">
        <v>85</v>
      </c>
      <c r="J721">
        <v>150</v>
      </c>
      <c r="K721">
        <v>65</v>
      </c>
      <c r="L721">
        <v>0.76470000000000005</v>
      </c>
      <c r="M721" t="s">
        <v>3371</v>
      </c>
      <c r="N721">
        <v>721</v>
      </c>
    </row>
    <row r="722" spans="1:14" x14ac:dyDescent="0.25">
      <c r="A722" t="s">
        <v>2490</v>
      </c>
      <c r="B722">
        <v>718</v>
      </c>
      <c r="C722">
        <v>1718</v>
      </c>
      <c r="D722" s="1" t="s">
        <v>816</v>
      </c>
      <c r="F722" t="s">
        <v>810</v>
      </c>
      <c r="G722" t="s">
        <v>24</v>
      </c>
      <c r="I722">
        <v>80</v>
      </c>
      <c r="J722">
        <v>140</v>
      </c>
      <c r="K722">
        <v>60</v>
      </c>
      <c r="L722">
        <v>0.75</v>
      </c>
      <c r="M722" t="s">
        <v>3371</v>
      </c>
      <c r="N722">
        <v>722</v>
      </c>
    </row>
    <row r="723" spans="1:14" x14ac:dyDescent="0.25">
      <c r="A723" t="s">
        <v>2491</v>
      </c>
      <c r="B723">
        <v>719</v>
      </c>
      <c r="C723">
        <v>1719</v>
      </c>
      <c r="D723" s="1" t="s">
        <v>817</v>
      </c>
      <c r="E723" t="s">
        <v>342</v>
      </c>
      <c r="F723" t="s">
        <v>810</v>
      </c>
      <c r="G723" t="s">
        <v>24</v>
      </c>
      <c r="I723">
        <v>139</v>
      </c>
      <c r="J723">
        <v>175</v>
      </c>
      <c r="K723">
        <v>36</v>
      </c>
      <c r="L723">
        <v>0.25900000000000001</v>
      </c>
      <c r="M723" t="s">
        <v>3371</v>
      </c>
      <c r="N723">
        <v>723</v>
      </c>
    </row>
    <row r="724" spans="1:14" x14ac:dyDescent="0.25">
      <c r="A724" t="s">
        <v>2492</v>
      </c>
      <c r="B724">
        <v>720</v>
      </c>
      <c r="C724">
        <v>1720</v>
      </c>
      <c r="D724" s="1" t="s">
        <v>818</v>
      </c>
      <c r="E724" t="s">
        <v>342</v>
      </c>
      <c r="F724" t="s">
        <v>810</v>
      </c>
      <c r="G724" t="s">
        <v>24</v>
      </c>
      <c r="I724">
        <v>168</v>
      </c>
      <c r="J724">
        <v>220</v>
      </c>
      <c r="K724">
        <v>52</v>
      </c>
      <c r="L724">
        <v>0.3095</v>
      </c>
      <c r="M724" t="s">
        <v>3371</v>
      </c>
      <c r="N724">
        <v>724</v>
      </c>
    </row>
    <row r="725" spans="1:14" x14ac:dyDescent="0.25">
      <c r="A725" t="s">
        <v>2493</v>
      </c>
      <c r="B725">
        <v>721</v>
      </c>
      <c r="C725">
        <v>1721</v>
      </c>
      <c r="D725" s="1" t="s">
        <v>819</v>
      </c>
      <c r="E725" t="s">
        <v>342</v>
      </c>
      <c r="F725" t="s">
        <v>810</v>
      </c>
      <c r="G725" t="s">
        <v>24</v>
      </c>
      <c r="I725">
        <v>168</v>
      </c>
      <c r="J725">
        <v>220</v>
      </c>
      <c r="K725">
        <v>52</v>
      </c>
      <c r="L725">
        <v>0.3095</v>
      </c>
      <c r="M725" t="s">
        <v>3371</v>
      </c>
      <c r="N725">
        <v>725</v>
      </c>
    </row>
    <row r="726" spans="1:14" x14ac:dyDescent="0.25">
      <c r="A726" t="s">
        <v>2494</v>
      </c>
      <c r="B726">
        <v>722</v>
      </c>
      <c r="C726">
        <v>1722</v>
      </c>
      <c r="D726" s="1" t="s">
        <v>820</v>
      </c>
      <c r="E726" t="s">
        <v>90</v>
      </c>
      <c r="F726" t="s">
        <v>810</v>
      </c>
      <c r="G726" t="s">
        <v>24</v>
      </c>
      <c r="I726">
        <v>442</v>
      </c>
      <c r="J726">
        <v>685</v>
      </c>
      <c r="K726">
        <v>243</v>
      </c>
      <c r="L726">
        <v>0.54979999999999996</v>
      </c>
      <c r="M726" t="s">
        <v>3371</v>
      </c>
      <c r="N726">
        <v>726</v>
      </c>
    </row>
    <row r="727" spans="1:14" x14ac:dyDescent="0.25">
      <c r="A727" t="s">
        <v>2495</v>
      </c>
      <c r="B727">
        <v>723</v>
      </c>
      <c r="C727">
        <v>1723</v>
      </c>
      <c r="D727" s="1" t="s">
        <v>821</v>
      </c>
      <c r="E727" t="s">
        <v>90</v>
      </c>
      <c r="F727" t="s">
        <v>810</v>
      </c>
      <c r="G727" t="s">
        <v>24</v>
      </c>
      <c r="I727">
        <v>440</v>
      </c>
      <c r="J727">
        <v>610</v>
      </c>
      <c r="K727">
        <v>170</v>
      </c>
      <c r="L727">
        <v>0.38640000000000002</v>
      </c>
      <c r="M727" t="s">
        <v>3371</v>
      </c>
      <c r="N727">
        <v>727</v>
      </c>
    </row>
    <row r="728" spans="1:14" x14ac:dyDescent="0.25">
      <c r="A728" t="s">
        <v>2496</v>
      </c>
      <c r="B728">
        <v>724</v>
      </c>
      <c r="C728">
        <v>1724</v>
      </c>
      <c r="D728" s="1" t="s">
        <v>822</v>
      </c>
      <c r="E728" t="s">
        <v>342</v>
      </c>
      <c r="F728" t="s">
        <v>810</v>
      </c>
      <c r="G728" t="s">
        <v>24</v>
      </c>
      <c r="I728">
        <v>130</v>
      </c>
      <c r="J728">
        <v>185</v>
      </c>
      <c r="K728">
        <v>55</v>
      </c>
      <c r="L728">
        <v>0.42309999999999998</v>
      </c>
      <c r="M728" t="s">
        <v>3371</v>
      </c>
      <c r="N728">
        <v>728</v>
      </c>
    </row>
    <row r="729" spans="1:14" x14ac:dyDescent="0.25">
      <c r="A729" t="s">
        <v>2497</v>
      </c>
      <c r="B729">
        <v>725</v>
      </c>
      <c r="C729">
        <v>1725</v>
      </c>
      <c r="D729" s="1" t="s">
        <v>823</v>
      </c>
      <c r="E729" t="s">
        <v>342</v>
      </c>
      <c r="F729" t="s">
        <v>810</v>
      </c>
      <c r="G729" t="s">
        <v>24</v>
      </c>
      <c r="I729">
        <v>128</v>
      </c>
      <c r="J729">
        <v>185</v>
      </c>
      <c r="K729">
        <v>57</v>
      </c>
      <c r="L729">
        <v>0.44529999999999997</v>
      </c>
      <c r="M729" t="s">
        <v>3371</v>
      </c>
      <c r="N729">
        <v>729</v>
      </c>
    </row>
    <row r="730" spans="1:14" x14ac:dyDescent="0.25">
      <c r="A730" t="s">
        <v>2498</v>
      </c>
      <c r="B730">
        <v>726</v>
      </c>
      <c r="C730">
        <v>1726</v>
      </c>
      <c r="D730" s="1" t="s">
        <v>824</v>
      </c>
      <c r="E730" t="s">
        <v>342</v>
      </c>
      <c r="F730" t="s">
        <v>810</v>
      </c>
      <c r="G730" t="s">
        <v>24</v>
      </c>
      <c r="I730">
        <v>151</v>
      </c>
      <c r="J730">
        <v>205</v>
      </c>
      <c r="K730">
        <v>54</v>
      </c>
      <c r="L730">
        <v>0.35759999999999997</v>
      </c>
      <c r="M730" t="s">
        <v>3371</v>
      </c>
      <c r="N730">
        <v>730</v>
      </c>
    </row>
    <row r="731" spans="1:14" x14ac:dyDescent="0.25">
      <c r="A731" t="s">
        <v>2499</v>
      </c>
      <c r="B731">
        <v>727</v>
      </c>
      <c r="C731">
        <v>1727</v>
      </c>
      <c r="D731" s="1" t="s">
        <v>825</v>
      </c>
      <c r="E731" t="s">
        <v>826</v>
      </c>
      <c r="F731" t="s">
        <v>810</v>
      </c>
      <c r="G731" t="s">
        <v>24</v>
      </c>
      <c r="I731">
        <v>55</v>
      </c>
      <c r="J731">
        <v>85</v>
      </c>
      <c r="K731">
        <v>30</v>
      </c>
      <c r="L731">
        <v>0.54549999999999998</v>
      </c>
      <c r="M731" t="s">
        <v>3371</v>
      </c>
      <c r="N731">
        <v>731</v>
      </c>
    </row>
    <row r="732" spans="1:14" x14ac:dyDescent="0.25">
      <c r="A732" t="s">
        <v>2500</v>
      </c>
      <c r="B732">
        <v>728</v>
      </c>
      <c r="C732">
        <v>1728</v>
      </c>
      <c r="D732" s="1" t="s">
        <v>827</v>
      </c>
      <c r="E732" t="s">
        <v>826</v>
      </c>
      <c r="F732" t="s">
        <v>810</v>
      </c>
      <c r="G732" t="s">
        <v>24</v>
      </c>
      <c r="I732">
        <v>52.75</v>
      </c>
      <c r="J732">
        <v>85</v>
      </c>
      <c r="K732">
        <v>32.25</v>
      </c>
      <c r="L732">
        <v>0.61140000000000005</v>
      </c>
      <c r="M732" t="s">
        <v>3371</v>
      </c>
      <c r="N732">
        <v>732</v>
      </c>
    </row>
    <row r="733" spans="1:14" x14ac:dyDescent="0.25">
      <c r="A733" t="s">
        <v>2501</v>
      </c>
      <c r="B733">
        <v>729</v>
      </c>
      <c r="C733">
        <v>1729</v>
      </c>
      <c r="D733" s="1" t="s">
        <v>828</v>
      </c>
      <c r="E733" t="s">
        <v>826</v>
      </c>
      <c r="F733" t="s">
        <v>810</v>
      </c>
      <c r="G733" t="s">
        <v>24</v>
      </c>
      <c r="I733">
        <v>44.25</v>
      </c>
      <c r="J733">
        <v>65</v>
      </c>
      <c r="K733">
        <v>20.75</v>
      </c>
      <c r="L733">
        <v>0.46889999999999998</v>
      </c>
      <c r="M733" t="s">
        <v>3371</v>
      </c>
      <c r="N733">
        <v>733</v>
      </c>
    </row>
    <row r="734" spans="1:14" x14ac:dyDescent="0.25">
      <c r="A734" t="s">
        <v>2502</v>
      </c>
      <c r="B734">
        <v>730</v>
      </c>
      <c r="C734">
        <v>1730</v>
      </c>
      <c r="D734" s="1" t="s">
        <v>829</v>
      </c>
      <c r="E734" t="s">
        <v>826</v>
      </c>
      <c r="F734" t="s">
        <v>810</v>
      </c>
      <c r="G734" t="s">
        <v>24</v>
      </c>
      <c r="I734">
        <v>55</v>
      </c>
      <c r="J734">
        <v>85</v>
      </c>
      <c r="K734">
        <v>30</v>
      </c>
      <c r="L734">
        <v>0.54549999999999998</v>
      </c>
      <c r="M734" t="s">
        <v>3371</v>
      </c>
      <c r="N734">
        <v>734</v>
      </c>
    </row>
    <row r="735" spans="1:14" x14ac:dyDescent="0.25">
      <c r="A735" t="s">
        <v>2503</v>
      </c>
      <c r="B735">
        <v>731</v>
      </c>
      <c r="C735">
        <v>1731</v>
      </c>
      <c r="D735" s="1" t="s">
        <v>830</v>
      </c>
      <c r="F735" t="s">
        <v>810</v>
      </c>
      <c r="G735" t="s">
        <v>24</v>
      </c>
      <c r="I735">
        <v>55</v>
      </c>
      <c r="J735">
        <v>85</v>
      </c>
      <c r="K735">
        <v>30</v>
      </c>
      <c r="L735">
        <v>0.54549999999999998</v>
      </c>
      <c r="M735" t="s">
        <v>3371</v>
      </c>
      <c r="N735">
        <v>735</v>
      </c>
    </row>
    <row r="736" spans="1:14" x14ac:dyDescent="0.25">
      <c r="A736" t="s">
        <v>2504</v>
      </c>
      <c r="B736">
        <v>732</v>
      </c>
      <c r="C736">
        <v>1732</v>
      </c>
      <c r="D736" s="1" t="s">
        <v>831</v>
      </c>
      <c r="F736" t="s">
        <v>810</v>
      </c>
      <c r="G736" t="s">
        <v>24</v>
      </c>
      <c r="I736">
        <v>9</v>
      </c>
      <c r="J736">
        <v>25</v>
      </c>
      <c r="K736">
        <v>16</v>
      </c>
      <c r="L736">
        <v>1.7778</v>
      </c>
      <c r="M736" t="s">
        <v>3371</v>
      </c>
      <c r="N736">
        <v>736</v>
      </c>
    </row>
    <row r="737" spans="1:14" x14ac:dyDescent="0.25">
      <c r="A737" t="s">
        <v>2505</v>
      </c>
      <c r="B737">
        <v>733</v>
      </c>
      <c r="C737">
        <v>1733</v>
      </c>
      <c r="D737" s="1" t="s">
        <v>832</v>
      </c>
      <c r="F737" t="s">
        <v>810</v>
      </c>
      <c r="G737" t="s">
        <v>24</v>
      </c>
      <c r="I737">
        <v>9</v>
      </c>
      <c r="J737">
        <v>25</v>
      </c>
      <c r="K737">
        <v>16</v>
      </c>
      <c r="L737">
        <v>1.7778</v>
      </c>
      <c r="M737" t="s">
        <v>3371</v>
      </c>
      <c r="N737">
        <v>737</v>
      </c>
    </row>
    <row r="738" spans="1:14" x14ac:dyDescent="0.25">
      <c r="A738" t="s">
        <v>2506</v>
      </c>
      <c r="B738">
        <v>734</v>
      </c>
      <c r="C738">
        <v>1734</v>
      </c>
      <c r="D738" s="1" t="s">
        <v>833</v>
      </c>
      <c r="F738" t="s">
        <v>810</v>
      </c>
      <c r="G738" t="s">
        <v>24</v>
      </c>
      <c r="I738">
        <v>19</v>
      </c>
      <c r="J738">
        <v>35</v>
      </c>
      <c r="K738">
        <v>16</v>
      </c>
      <c r="L738">
        <v>0.84209999999999996</v>
      </c>
      <c r="M738" t="s">
        <v>3371</v>
      </c>
      <c r="N738">
        <v>738</v>
      </c>
    </row>
    <row r="739" spans="1:14" x14ac:dyDescent="0.25">
      <c r="A739" t="s">
        <v>2507</v>
      </c>
      <c r="B739">
        <v>735</v>
      </c>
      <c r="C739">
        <v>1735</v>
      </c>
      <c r="D739" s="1" t="s">
        <v>834</v>
      </c>
      <c r="F739" t="s">
        <v>810</v>
      </c>
      <c r="G739" t="s">
        <v>24</v>
      </c>
      <c r="I739">
        <v>11</v>
      </c>
      <c r="J739">
        <v>25</v>
      </c>
      <c r="K739">
        <v>14</v>
      </c>
      <c r="L739">
        <v>1.2726999999999999</v>
      </c>
      <c r="M739" t="s">
        <v>3371</v>
      </c>
      <c r="N739">
        <v>739</v>
      </c>
    </row>
    <row r="740" spans="1:14" x14ac:dyDescent="0.25">
      <c r="A740" t="s">
        <v>2508</v>
      </c>
      <c r="B740">
        <v>736</v>
      </c>
      <c r="C740">
        <v>1736</v>
      </c>
      <c r="D740" s="1" t="s">
        <v>835</v>
      </c>
      <c r="M740" t="s">
        <v>3371</v>
      </c>
      <c r="N740">
        <v>740</v>
      </c>
    </row>
    <row r="741" spans="1:14" x14ac:dyDescent="0.25">
      <c r="A741" t="s">
        <v>2509</v>
      </c>
      <c r="B741">
        <v>737</v>
      </c>
      <c r="C741">
        <v>1737</v>
      </c>
      <c r="D741" s="1" t="s">
        <v>836</v>
      </c>
      <c r="F741" t="s">
        <v>837</v>
      </c>
      <c r="G741" t="s">
        <v>24</v>
      </c>
      <c r="I741">
        <v>31</v>
      </c>
      <c r="J741">
        <v>50</v>
      </c>
      <c r="K741">
        <v>19</v>
      </c>
      <c r="L741">
        <v>0.6129</v>
      </c>
      <c r="M741" t="s">
        <v>3371</v>
      </c>
      <c r="N741">
        <v>741</v>
      </c>
    </row>
    <row r="742" spans="1:14" x14ac:dyDescent="0.25">
      <c r="A742" t="s">
        <v>2510</v>
      </c>
      <c r="B742">
        <v>738</v>
      </c>
      <c r="C742">
        <v>1738</v>
      </c>
      <c r="D742" s="1" t="s">
        <v>838</v>
      </c>
      <c r="F742" t="s">
        <v>837</v>
      </c>
      <c r="G742" t="s">
        <v>24</v>
      </c>
      <c r="I742">
        <v>22</v>
      </c>
      <c r="J742">
        <v>40</v>
      </c>
      <c r="K742">
        <v>18</v>
      </c>
      <c r="L742">
        <v>0.81820000000000004</v>
      </c>
      <c r="M742" t="s">
        <v>3371</v>
      </c>
      <c r="N742">
        <v>742</v>
      </c>
    </row>
    <row r="743" spans="1:14" x14ac:dyDescent="0.25">
      <c r="A743" t="s">
        <v>2511</v>
      </c>
      <c r="B743">
        <v>739</v>
      </c>
      <c r="C743">
        <v>1739</v>
      </c>
      <c r="D743" s="1" t="s">
        <v>839</v>
      </c>
      <c r="F743" t="s">
        <v>837</v>
      </c>
      <c r="G743" t="s">
        <v>24</v>
      </c>
      <c r="I743">
        <v>20.5</v>
      </c>
      <c r="J743">
        <v>40</v>
      </c>
      <c r="K743">
        <v>19.5</v>
      </c>
      <c r="L743">
        <v>0.95120000000000005</v>
      </c>
      <c r="M743" t="s">
        <v>3371</v>
      </c>
      <c r="N743">
        <v>743</v>
      </c>
    </row>
    <row r="744" spans="1:14" x14ac:dyDescent="0.25">
      <c r="A744" t="s">
        <v>2512</v>
      </c>
      <c r="B744">
        <v>740</v>
      </c>
      <c r="C744">
        <v>1740</v>
      </c>
      <c r="D744" s="1" t="s">
        <v>840</v>
      </c>
      <c r="E744" t="s">
        <v>841</v>
      </c>
      <c r="F744" t="s">
        <v>837</v>
      </c>
      <c r="G744" t="s">
        <v>24</v>
      </c>
      <c r="I744">
        <v>32</v>
      </c>
      <c r="J744">
        <v>60</v>
      </c>
      <c r="K744">
        <v>28</v>
      </c>
      <c r="L744">
        <v>0.875</v>
      </c>
      <c r="M744" t="s">
        <v>3371</v>
      </c>
      <c r="N744">
        <v>744</v>
      </c>
    </row>
    <row r="745" spans="1:14" x14ac:dyDescent="0.25">
      <c r="A745" t="s">
        <v>2513</v>
      </c>
      <c r="B745">
        <v>741</v>
      </c>
      <c r="C745">
        <v>1741</v>
      </c>
      <c r="D745" s="1" t="s">
        <v>842</v>
      </c>
      <c r="E745" t="s">
        <v>841</v>
      </c>
      <c r="F745" t="s">
        <v>837</v>
      </c>
      <c r="G745" t="s">
        <v>24</v>
      </c>
      <c r="I745">
        <v>73</v>
      </c>
      <c r="J745">
        <v>120</v>
      </c>
      <c r="K745">
        <v>47</v>
      </c>
      <c r="L745">
        <v>0.64380000000000004</v>
      </c>
      <c r="M745" t="s">
        <v>3371</v>
      </c>
      <c r="N745">
        <v>745</v>
      </c>
    </row>
    <row r="746" spans="1:14" x14ac:dyDescent="0.25">
      <c r="A746" t="s">
        <v>2514</v>
      </c>
      <c r="B746">
        <v>742</v>
      </c>
      <c r="C746">
        <v>1742</v>
      </c>
      <c r="D746" s="1" t="s">
        <v>843</v>
      </c>
      <c r="E746" t="s">
        <v>386</v>
      </c>
      <c r="F746" t="s">
        <v>837</v>
      </c>
      <c r="G746" t="s">
        <v>24</v>
      </c>
      <c r="I746">
        <v>80</v>
      </c>
      <c r="J746">
        <v>110</v>
      </c>
      <c r="K746">
        <v>30</v>
      </c>
      <c r="L746">
        <v>0.375</v>
      </c>
      <c r="M746" t="s">
        <v>3371</v>
      </c>
      <c r="N746">
        <v>746</v>
      </c>
    </row>
    <row r="747" spans="1:14" x14ac:dyDescent="0.25">
      <c r="A747" t="s">
        <v>2515</v>
      </c>
      <c r="B747">
        <v>743</v>
      </c>
      <c r="C747">
        <v>1743</v>
      </c>
      <c r="D747" s="1" t="s">
        <v>844</v>
      </c>
      <c r="E747" t="s">
        <v>845</v>
      </c>
      <c r="F747" t="s">
        <v>837</v>
      </c>
      <c r="G747" t="s">
        <v>24</v>
      </c>
      <c r="I747">
        <v>65</v>
      </c>
      <c r="J747">
        <v>90</v>
      </c>
      <c r="K747">
        <v>25</v>
      </c>
      <c r="L747">
        <v>0.3846</v>
      </c>
      <c r="M747" t="s">
        <v>3371</v>
      </c>
      <c r="N747">
        <v>747</v>
      </c>
    </row>
    <row r="748" spans="1:14" x14ac:dyDescent="0.25">
      <c r="A748" t="s">
        <v>2516</v>
      </c>
      <c r="B748">
        <v>744</v>
      </c>
      <c r="C748">
        <v>1744</v>
      </c>
      <c r="D748" s="1" t="s">
        <v>846</v>
      </c>
      <c r="E748" t="s">
        <v>845</v>
      </c>
      <c r="F748" t="s">
        <v>837</v>
      </c>
      <c r="G748" t="s">
        <v>24</v>
      </c>
      <c r="I748">
        <v>55</v>
      </c>
      <c r="J748">
        <v>85</v>
      </c>
      <c r="K748">
        <v>30</v>
      </c>
      <c r="L748">
        <v>0.54549999999999998</v>
      </c>
      <c r="M748" t="s">
        <v>3371</v>
      </c>
      <c r="N748">
        <v>748</v>
      </c>
    </row>
    <row r="749" spans="1:14" x14ac:dyDescent="0.25">
      <c r="A749" t="s">
        <v>2517</v>
      </c>
      <c r="B749">
        <v>745</v>
      </c>
      <c r="C749">
        <v>1745</v>
      </c>
      <c r="D749" s="1" t="s">
        <v>847</v>
      </c>
      <c r="E749" t="s">
        <v>848</v>
      </c>
      <c r="F749" t="s">
        <v>837</v>
      </c>
      <c r="G749" t="s">
        <v>24</v>
      </c>
      <c r="I749">
        <v>70</v>
      </c>
      <c r="J749">
        <v>100</v>
      </c>
      <c r="K749">
        <v>30</v>
      </c>
      <c r="L749">
        <v>0.42859999999999998</v>
      </c>
      <c r="M749" t="s">
        <v>3371</v>
      </c>
      <c r="N749">
        <v>749</v>
      </c>
    </row>
    <row r="750" spans="1:14" x14ac:dyDescent="0.25">
      <c r="A750" t="s">
        <v>2518</v>
      </c>
      <c r="B750">
        <v>746</v>
      </c>
      <c r="C750">
        <v>1746</v>
      </c>
      <c r="D750" s="1" t="s">
        <v>849</v>
      </c>
      <c r="F750" t="s">
        <v>837</v>
      </c>
      <c r="G750" t="s">
        <v>24</v>
      </c>
      <c r="I750">
        <v>20.5</v>
      </c>
      <c r="J750">
        <v>40</v>
      </c>
      <c r="K750">
        <v>19.5</v>
      </c>
      <c r="L750">
        <v>0.95120000000000005</v>
      </c>
      <c r="M750" t="s">
        <v>3371</v>
      </c>
      <c r="N750">
        <v>750</v>
      </c>
    </row>
    <row r="751" spans="1:14" x14ac:dyDescent="0.25">
      <c r="A751" t="s">
        <v>2519</v>
      </c>
      <c r="B751">
        <v>747</v>
      </c>
      <c r="C751">
        <v>1747</v>
      </c>
      <c r="D751" s="1" t="s">
        <v>850</v>
      </c>
      <c r="F751" t="s">
        <v>837</v>
      </c>
      <c r="G751" t="s">
        <v>24</v>
      </c>
      <c r="I751">
        <v>20.5</v>
      </c>
      <c r="J751">
        <v>40</v>
      </c>
      <c r="K751">
        <v>19.5</v>
      </c>
      <c r="L751">
        <v>0.95120000000000005</v>
      </c>
      <c r="M751" t="s">
        <v>3371</v>
      </c>
      <c r="N751">
        <v>751</v>
      </c>
    </row>
    <row r="752" spans="1:14" x14ac:dyDescent="0.25">
      <c r="A752" t="s">
        <v>2520</v>
      </c>
      <c r="B752">
        <v>748</v>
      </c>
      <c r="C752">
        <v>1748</v>
      </c>
      <c r="D752" s="1" t="s">
        <v>851</v>
      </c>
      <c r="F752" t="s">
        <v>837</v>
      </c>
      <c r="G752" t="s">
        <v>24</v>
      </c>
      <c r="I752">
        <v>20.5</v>
      </c>
      <c r="J752">
        <v>40</v>
      </c>
      <c r="K752">
        <v>19.5</v>
      </c>
      <c r="L752">
        <v>0.95120000000000005</v>
      </c>
      <c r="M752" t="s">
        <v>3371</v>
      </c>
      <c r="N752">
        <v>752</v>
      </c>
    </row>
    <row r="753" spans="1:14" x14ac:dyDescent="0.25">
      <c r="A753" t="s">
        <v>2521</v>
      </c>
      <c r="B753">
        <v>749</v>
      </c>
      <c r="C753">
        <v>1749</v>
      </c>
      <c r="D753" s="1" t="s">
        <v>852</v>
      </c>
      <c r="F753" t="s">
        <v>837</v>
      </c>
      <c r="G753" t="s">
        <v>24</v>
      </c>
      <c r="I753">
        <v>20.5</v>
      </c>
      <c r="J753">
        <v>40</v>
      </c>
      <c r="K753">
        <v>19.5</v>
      </c>
      <c r="L753">
        <v>0.95120000000000005</v>
      </c>
      <c r="M753" t="s">
        <v>3371</v>
      </c>
      <c r="N753">
        <v>753</v>
      </c>
    </row>
    <row r="754" spans="1:14" x14ac:dyDescent="0.25">
      <c r="A754" t="s">
        <v>2522</v>
      </c>
      <c r="B754">
        <v>750</v>
      </c>
      <c r="C754">
        <v>1750</v>
      </c>
      <c r="D754" s="1" t="s">
        <v>853</v>
      </c>
      <c r="F754" t="s">
        <v>837</v>
      </c>
      <c r="G754" t="s">
        <v>24</v>
      </c>
      <c r="I754">
        <v>20.5</v>
      </c>
      <c r="J754">
        <v>40</v>
      </c>
      <c r="K754">
        <v>19.5</v>
      </c>
      <c r="L754">
        <v>0.95120000000000005</v>
      </c>
      <c r="M754" t="s">
        <v>3371</v>
      </c>
      <c r="N754">
        <v>754</v>
      </c>
    </row>
    <row r="755" spans="1:14" x14ac:dyDescent="0.25">
      <c r="A755" t="s">
        <v>2523</v>
      </c>
      <c r="B755">
        <v>751</v>
      </c>
      <c r="C755">
        <v>1751</v>
      </c>
      <c r="D755" s="1" t="s">
        <v>854</v>
      </c>
      <c r="F755" t="s">
        <v>837</v>
      </c>
      <c r="G755" t="s">
        <v>24</v>
      </c>
      <c r="I755">
        <v>40</v>
      </c>
      <c r="J755">
        <v>65</v>
      </c>
      <c r="K755">
        <v>25</v>
      </c>
      <c r="L755">
        <v>0.625</v>
      </c>
      <c r="M755" t="s">
        <v>3371</v>
      </c>
      <c r="N755">
        <v>755</v>
      </c>
    </row>
    <row r="756" spans="1:14" x14ac:dyDescent="0.25">
      <c r="A756" t="s">
        <v>2524</v>
      </c>
      <c r="B756">
        <v>752</v>
      </c>
      <c r="C756">
        <v>1752</v>
      </c>
      <c r="D756" s="1" t="s">
        <v>855</v>
      </c>
      <c r="F756" t="s">
        <v>837</v>
      </c>
      <c r="G756" t="s">
        <v>24</v>
      </c>
      <c r="I756">
        <v>42.5</v>
      </c>
      <c r="J756">
        <v>65</v>
      </c>
      <c r="K756">
        <v>22.5</v>
      </c>
      <c r="L756">
        <v>0.52939999999999998</v>
      </c>
      <c r="M756" t="s">
        <v>3371</v>
      </c>
      <c r="N756">
        <v>756</v>
      </c>
    </row>
    <row r="757" spans="1:14" x14ac:dyDescent="0.25">
      <c r="A757" t="s">
        <v>2525</v>
      </c>
      <c r="B757">
        <v>753</v>
      </c>
      <c r="C757">
        <v>1753</v>
      </c>
      <c r="D757" s="1" t="s">
        <v>856</v>
      </c>
      <c r="F757" t="s">
        <v>837</v>
      </c>
      <c r="G757" t="s">
        <v>24</v>
      </c>
      <c r="I757">
        <v>41</v>
      </c>
      <c r="J757">
        <v>60</v>
      </c>
      <c r="K757">
        <v>19</v>
      </c>
      <c r="L757">
        <v>0.46339999999999998</v>
      </c>
      <c r="M757" t="s">
        <v>3371</v>
      </c>
      <c r="N757">
        <v>757</v>
      </c>
    </row>
    <row r="758" spans="1:14" x14ac:dyDescent="0.25">
      <c r="A758" t="s">
        <v>2526</v>
      </c>
      <c r="B758">
        <v>754</v>
      </c>
      <c r="C758">
        <v>1754</v>
      </c>
      <c r="D758" s="1" t="s">
        <v>857</v>
      </c>
      <c r="F758" t="s">
        <v>837</v>
      </c>
      <c r="G758" t="s">
        <v>24</v>
      </c>
      <c r="I758">
        <v>45</v>
      </c>
      <c r="J758">
        <v>75</v>
      </c>
      <c r="K758">
        <v>30</v>
      </c>
      <c r="L758">
        <v>0.66669999999999996</v>
      </c>
      <c r="M758" t="s">
        <v>3371</v>
      </c>
      <c r="N758">
        <v>758</v>
      </c>
    </row>
    <row r="759" spans="1:14" x14ac:dyDescent="0.25">
      <c r="A759" t="s">
        <v>2527</v>
      </c>
      <c r="B759">
        <v>755</v>
      </c>
      <c r="C759">
        <v>1755</v>
      </c>
      <c r="D759" s="1" t="s">
        <v>858</v>
      </c>
      <c r="F759" t="s">
        <v>837</v>
      </c>
      <c r="G759" t="s">
        <v>24</v>
      </c>
      <c r="I759">
        <v>63</v>
      </c>
      <c r="J759">
        <v>85</v>
      </c>
      <c r="K759">
        <v>22</v>
      </c>
      <c r="L759">
        <v>0.34920000000000001</v>
      </c>
      <c r="M759" t="s">
        <v>3371</v>
      </c>
      <c r="N759">
        <v>759</v>
      </c>
    </row>
    <row r="760" spans="1:14" x14ac:dyDescent="0.25">
      <c r="A760" t="s">
        <v>2528</v>
      </c>
      <c r="B760">
        <v>756</v>
      </c>
      <c r="C760">
        <v>1756</v>
      </c>
      <c r="D760" s="1" t="s">
        <v>859</v>
      </c>
      <c r="E760" t="s">
        <v>345</v>
      </c>
      <c r="F760" t="s">
        <v>837</v>
      </c>
      <c r="G760" t="s">
        <v>24</v>
      </c>
      <c r="I760">
        <v>51.8</v>
      </c>
      <c r="J760">
        <v>110</v>
      </c>
      <c r="K760">
        <v>58.2</v>
      </c>
      <c r="L760">
        <v>1.1235999999999999</v>
      </c>
      <c r="M760" t="s">
        <v>3371</v>
      </c>
      <c r="N760">
        <v>760</v>
      </c>
    </row>
    <row r="761" spans="1:14" x14ac:dyDescent="0.25">
      <c r="A761" t="s">
        <v>2529</v>
      </c>
      <c r="B761">
        <v>757</v>
      </c>
      <c r="C761">
        <v>1757</v>
      </c>
      <c r="D761" s="1" t="s">
        <v>860</v>
      </c>
      <c r="E761" t="s">
        <v>345</v>
      </c>
      <c r="F761" t="s">
        <v>837</v>
      </c>
      <c r="G761" t="s">
        <v>24</v>
      </c>
      <c r="I761">
        <v>51.8</v>
      </c>
      <c r="J761">
        <v>90</v>
      </c>
      <c r="K761">
        <v>38.200000000000003</v>
      </c>
      <c r="L761">
        <v>0.73750000000000004</v>
      </c>
      <c r="M761" t="s">
        <v>3371</v>
      </c>
      <c r="N761">
        <v>761</v>
      </c>
    </row>
    <row r="762" spans="1:14" x14ac:dyDescent="0.25">
      <c r="A762" t="s">
        <v>2530</v>
      </c>
      <c r="B762">
        <v>758</v>
      </c>
      <c r="C762">
        <v>1758</v>
      </c>
      <c r="D762" s="1" t="s">
        <v>861</v>
      </c>
      <c r="E762" t="s">
        <v>345</v>
      </c>
      <c r="F762" t="s">
        <v>837</v>
      </c>
      <c r="G762" t="s">
        <v>24</v>
      </c>
      <c r="I762">
        <v>51.8</v>
      </c>
      <c r="J762">
        <v>85</v>
      </c>
      <c r="K762">
        <v>33.200000000000003</v>
      </c>
      <c r="L762">
        <v>0.64090000000000003</v>
      </c>
      <c r="M762" t="s">
        <v>3371</v>
      </c>
      <c r="N762">
        <v>762</v>
      </c>
    </row>
    <row r="763" spans="1:14" x14ac:dyDescent="0.25">
      <c r="A763" t="s">
        <v>2531</v>
      </c>
      <c r="B763">
        <v>759</v>
      </c>
      <c r="C763">
        <v>1759</v>
      </c>
      <c r="D763" s="1" t="s">
        <v>862</v>
      </c>
      <c r="E763" t="s">
        <v>345</v>
      </c>
      <c r="F763" t="s">
        <v>837</v>
      </c>
      <c r="G763" t="s">
        <v>24</v>
      </c>
      <c r="I763">
        <v>35</v>
      </c>
      <c r="J763">
        <v>70</v>
      </c>
      <c r="K763">
        <v>35</v>
      </c>
      <c r="L763">
        <v>1</v>
      </c>
      <c r="M763" t="s">
        <v>3371</v>
      </c>
      <c r="N763">
        <v>763</v>
      </c>
    </row>
    <row r="764" spans="1:14" x14ac:dyDescent="0.25">
      <c r="A764" t="s">
        <v>2532</v>
      </c>
      <c r="B764">
        <v>760</v>
      </c>
      <c r="C764">
        <v>1760</v>
      </c>
      <c r="D764" s="1" t="s">
        <v>863</v>
      </c>
      <c r="G764" t="s">
        <v>93</v>
      </c>
      <c r="I764">
        <v>7.35</v>
      </c>
      <c r="J764">
        <v>10</v>
      </c>
      <c r="K764">
        <v>2.65</v>
      </c>
      <c r="L764">
        <v>0.36049999999999999</v>
      </c>
      <c r="M764" t="s">
        <v>3371</v>
      </c>
      <c r="N764">
        <v>764</v>
      </c>
    </row>
    <row r="765" spans="1:14" x14ac:dyDescent="0.25">
      <c r="A765" t="s">
        <v>2533</v>
      </c>
      <c r="B765">
        <v>761</v>
      </c>
      <c r="C765">
        <v>1761</v>
      </c>
      <c r="D765" s="1" t="s">
        <v>864</v>
      </c>
      <c r="G765" t="s">
        <v>93</v>
      </c>
      <c r="I765">
        <v>10.86</v>
      </c>
      <c r="J765">
        <v>15</v>
      </c>
      <c r="K765">
        <v>4.1399999999999997</v>
      </c>
      <c r="L765">
        <v>0.38119999999999998</v>
      </c>
      <c r="M765" t="s">
        <v>3371</v>
      </c>
      <c r="N765">
        <v>765</v>
      </c>
    </row>
    <row r="766" spans="1:14" x14ac:dyDescent="0.25">
      <c r="A766" t="s">
        <v>2534</v>
      </c>
      <c r="B766">
        <v>762</v>
      </c>
      <c r="C766">
        <v>1762</v>
      </c>
      <c r="D766" s="1" t="s">
        <v>865</v>
      </c>
      <c r="G766" t="s">
        <v>24</v>
      </c>
      <c r="I766">
        <v>117</v>
      </c>
      <c r="J766">
        <v>126</v>
      </c>
      <c r="K766">
        <v>9</v>
      </c>
      <c r="L766">
        <v>7.6899999999999996E-2</v>
      </c>
      <c r="M766" t="s">
        <v>3371</v>
      </c>
      <c r="N766">
        <v>766</v>
      </c>
    </row>
    <row r="767" spans="1:14" x14ac:dyDescent="0.25">
      <c r="A767" t="s">
        <v>2535</v>
      </c>
      <c r="B767">
        <v>763</v>
      </c>
      <c r="C767">
        <v>1763</v>
      </c>
      <c r="D767" s="1" t="s">
        <v>866</v>
      </c>
      <c r="G767" t="s">
        <v>24</v>
      </c>
      <c r="I767">
        <v>78</v>
      </c>
      <c r="J767">
        <v>88</v>
      </c>
      <c r="K767">
        <v>10</v>
      </c>
      <c r="L767">
        <v>0.12820000000000001</v>
      </c>
      <c r="M767" t="s">
        <v>3371</v>
      </c>
      <c r="N767">
        <v>767</v>
      </c>
    </row>
    <row r="768" spans="1:14" x14ac:dyDescent="0.25">
      <c r="A768" t="s">
        <v>2536</v>
      </c>
      <c r="B768">
        <v>764</v>
      </c>
      <c r="C768">
        <v>1764</v>
      </c>
      <c r="D768" s="1" t="s">
        <v>867</v>
      </c>
      <c r="E768" t="s">
        <v>868</v>
      </c>
      <c r="G768" t="s">
        <v>24</v>
      </c>
      <c r="I768">
        <v>81</v>
      </c>
      <c r="J768">
        <v>120</v>
      </c>
      <c r="K768">
        <v>39</v>
      </c>
      <c r="L768">
        <v>0.48149999999999998</v>
      </c>
      <c r="M768" t="s">
        <v>3371</v>
      </c>
      <c r="N768">
        <v>768</v>
      </c>
    </row>
    <row r="769" spans="1:14" x14ac:dyDescent="0.25">
      <c r="A769" t="s">
        <v>2537</v>
      </c>
      <c r="B769">
        <v>765</v>
      </c>
      <c r="C769">
        <v>1765</v>
      </c>
      <c r="D769" s="1" t="s">
        <v>869</v>
      </c>
      <c r="G769" t="s">
        <v>24</v>
      </c>
      <c r="I769">
        <v>240</v>
      </c>
      <c r="J769">
        <v>264</v>
      </c>
      <c r="K769">
        <v>24</v>
      </c>
      <c r="L769">
        <v>0.1</v>
      </c>
      <c r="M769" t="s">
        <v>3371</v>
      </c>
      <c r="N769">
        <v>769</v>
      </c>
    </row>
    <row r="770" spans="1:14" x14ac:dyDescent="0.25">
      <c r="A770" t="s">
        <v>2538</v>
      </c>
      <c r="B770">
        <v>766</v>
      </c>
      <c r="C770">
        <v>1766</v>
      </c>
      <c r="D770" s="1" t="s">
        <v>870</v>
      </c>
      <c r="G770" t="s">
        <v>24</v>
      </c>
      <c r="I770">
        <v>142</v>
      </c>
      <c r="J770">
        <v>160</v>
      </c>
      <c r="K770">
        <v>18</v>
      </c>
      <c r="L770">
        <v>0.1268</v>
      </c>
      <c r="M770" t="s">
        <v>3371</v>
      </c>
      <c r="N770">
        <v>770</v>
      </c>
    </row>
    <row r="771" spans="1:14" x14ac:dyDescent="0.25">
      <c r="A771" t="s">
        <v>2539</v>
      </c>
      <c r="B771">
        <v>767</v>
      </c>
      <c r="C771">
        <v>1767</v>
      </c>
      <c r="D771" s="1" t="s">
        <v>871</v>
      </c>
      <c r="G771" t="s">
        <v>24</v>
      </c>
      <c r="I771">
        <v>51</v>
      </c>
      <c r="J771">
        <v>62</v>
      </c>
      <c r="K771">
        <v>11</v>
      </c>
      <c r="L771">
        <v>0.2157</v>
      </c>
      <c r="M771" t="s">
        <v>3371</v>
      </c>
      <c r="N771">
        <v>771</v>
      </c>
    </row>
    <row r="772" spans="1:14" x14ac:dyDescent="0.25">
      <c r="A772" t="s">
        <v>2540</v>
      </c>
      <c r="B772">
        <v>768</v>
      </c>
      <c r="C772">
        <v>1768</v>
      </c>
      <c r="D772" s="1" t="s">
        <v>872</v>
      </c>
      <c r="G772" t="s">
        <v>24</v>
      </c>
      <c r="I772">
        <v>85</v>
      </c>
      <c r="J772">
        <v>140</v>
      </c>
      <c r="K772">
        <v>55</v>
      </c>
      <c r="L772">
        <v>0.64710000000000001</v>
      </c>
      <c r="M772" t="s">
        <v>3371</v>
      </c>
      <c r="N772">
        <v>772</v>
      </c>
    </row>
    <row r="773" spans="1:14" x14ac:dyDescent="0.25">
      <c r="A773" t="s">
        <v>2541</v>
      </c>
      <c r="B773">
        <v>769</v>
      </c>
      <c r="C773">
        <v>1769</v>
      </c>
      <c r="D773" s="1" t="s">
        <v>873</v>
      </c>
      <c r="G773" t="s">
        <v>24</v>
      </c>
      <c r="I773">
        <v>185</v>
      </c>
      <c r="J773">
        <v>290</v>
      </c>
      <c r="K773">
        <v>105</v>
      </c>
      <c r="L773">
        <v>0.56759999999999999</v>
      </c>
      <c r="M773" t="s">
        <v>3371</v>
      </c>
      <c r="N773">
        <v>773</v>
      </c>
    </row>
    <row r="774" spans="1:14" x14ac:dyDescent="0.25">
      <c r="A774" t="s">
        <v>2542</v>
      </c>
      <c r="B774">
        <v>770</v>
      </c>
      <c r="C774">
        <v>1770</v>
      </c>
      <c r="D774" s="1" t="s">
        <v>874</v>
      </c>
      <c r="G774" t="s">
        <v>55</v>
      </c>
      <c r="I774">
        <v>30</v>
      </c>
      <c r="J774">
        <v>43</v>
      </c>
      <c r="K774">
        <v>13</v>
      </c>
      <c r="L774">
        <v>0.43330000000000002</v>
      </c>
      <c r="M774" t="s">
        <v>3371</v>
      </c>
      <c r="N774">
        <v>774</v>
      </c>
    </row>
    <row r="775" spans="1:14" x14ac:dyDescent="0.25">
      <c r="A775" t="s">
        <v>2543</v>
      </c>
      <c r="B775">
        <v>771</v>
      </c>
      <c r="C775">
        <v>1771</v>
      </c>
      <c r="D775" s="1" t="s">
        <v>875</v>
      </c>
      <c r="G775" t="s">
        <v>24</v>
      </c>
      <c r="I775">
        <v>86</v>
      </c>
      <c r="J775">
        <v>165</v>
      </c>
      <c r="K775">
        <v>79</v>
      </c>
      <c r="L775">
        <v>0.91859999999999997</v>
      </c>
      <c r="M775" t="s">
        <v>3371</v>
      </c>
      <c r="N775">
        <v>775</v>
      </c>
    </row>
    <row r="776" spans="1:14" x14ac:dyDescent="0.25">
      <c r="A776" t="s">
        <v>2544</v>
      </c>
      <c r="B776">
        <v>772</v>
      </c>
      <c r="C776">
        <v>1772</v>
      </c>
      <c r="D776" s="1" t="s">
        <v>876</v>
      </c>
      <c r="G776" t="s">
        <v>24</v>
      </c>
      <c r="I776">
        <v>56</v>
      </c>
      <c r="J776">
        <v>85</v>
      </c>
      <c r="K776">
        <v>29</v>
      </c>
      <c r="L776">
        <v>0.51790000000000003</v>
      </c>
      <c r="M776" t="s">
        <v>3371</v>
      </c>
      <c r="N776">
        <v>776</v>
      </c>
    </row>
    <row r="777" spans="1:14" x14ac:dyDescent="0.25">
      <c r="A777" t="s">
        <v>2545</v>
      </c>
      <c r="B777">
        <v>773</v>
      </c>
      <c r="C777">
        <v>1773</v>
      </c>
      <c r="D777" s="1" t="s">
        <v>877</v>
      </c>
      <c r="G777" t="s">
        <v>24</v>
      </c>
      <c r="I777">
        <v>7.5</v>
      </c>
      <c r="J777">
        <v>11</v>
      </c>
      <c r="K777">
        <v>3.5</v>
      </c>
      <c r="L777">
        <v>0.4667</v>
      </c>
      <c r="M777" t="s">
        <v>3371</v>
      </c>
      <c r="N777">
        <v>777</v>
      </c>
    </row>
    <row r="778" spans="1:14" x14ac:dyDescent="0.25">
      <c r="A778" t="s">
        <v>2546</v>
      </c>
      <c r="B778">
        <v>774</v>
      </c>
      <c r="C778">
        <v>1774</v>
      </c>
      <c r="D778" s="1" t="s">
        <v>878</v>
      </c>
      <c r="E778" t="s">
        <v>879</v>
      </c>
      <c r="G778" t="s">
        <v>24</v>
      </c>
      <c r="I778">
        <v>165</v>
      </c>
      <c r="J778">
        <v>210</v>
      </c>
      <c r="K778">
        <v>45</v>
      </c>
      <c r="L778">
        <v>0.2727</v>
      </c>
      <c r="M778" t="s">
        <v>3371</v>
      </c>
      <c r="N778">
        <v>778</v>
      </c>
    </row>
    <row r="779" spans="1:14" x14ac:dyDescent="0.25">
      <c r="A779" t="s">
        <v>2547</v>
      </c>
      <c r="B779">
        <v>775</v>
      </c>
      <c r="C779">
        <v>1775</v>
      </c>
      <c r="D779" s="1" t="s">
        <v>880</v>
      </c>
      <c r="G779" t="s">
        <v>55</v>
      </c>
      <c r="I779">
        <v>32.5</v>
      </c>
      <c r="J779">
        <v>45</v>
      </c>
      <c r="K779">
        <v>12.5</v>
      </c>
      <c r="L779">
        <v>0.3846</v>
      </c>
      <c r="M779" t="s">
        <v>3371</v>
      </c>
      <c r="N779">
        <v>779</v>
      </c>
    </row>
    <row r="780" spans="1:14" x14ac:dyDescent="0.25">
      <c r="A780" t="s">
        <v>2548</v>
      </c>
      <c r="B780">
        <v>776</v>
      </c>
      <c r="C780">
        <v>1776</v>
      </c>
      <c r="D780" s="1" t="s">
        <v>881</v>
      </c>
      <c r="E780" t="s">
        <v>882</v>
      </c>
      <c r="G780" t="s">
        <v>24</v>
      </c>
      <c r="I780">
        <v>35</v>
      </c>
      <c r="J780">
        <v>65</v>
      </c>
      <c r="K780">
        <v>30</v>
      </c>
      <c r="L780">
        <v>0.85709999999999997</v>
      </c>
      <c r="M780" t="s">
        <v>3371</v>
      </c>
      <c r="N780">
        <v>780</v>
      </c>
    </row>
    <row r="781" spans="1:14" x14ac:dyDescent="0.25">
      <c r="A781" t="s">
        <v>2549</v>
      </c>
      <c r="B781">
        <v>777</v>
      </c>
      <c r="C781">
        <v>1777</v>
      </c>
      <c r="D781" s="1" t="s">
        <v>883</v>
      </c>
      <c r="E781" t="s">
        <v>882</v>
      </c>
      <c r="G781" t="s">
        <v>24</v>
      </c>
      <c r="I781">
        <v>45</v>
      </c>
      <c r="J781">
        <v>80</v>
      </c>
      <c r="K781">
        <v>35</v>
      </c>
      <c r="L781">
        <v>0.77780000000000005</v>
      </c>
      <c r="M781" t="s">
        <v>3371</v>
      </c>
      <c r="N781">
        <v>781</v>
      </c>
    </row>
    <row r="782" spans="1:14" x14ac:dyDescent="0.25">
      <c r="A782" t="s">
        <v>2550</v>
      </c>
      <c r="B782">
        <v>778</v>
      </c>
      <c r="C782">
        <v>1778</v>
      </c>
      <c r="D782" s="1" t="s">
        <v>884</v>
      </c>
      <c r="E782" t="s">
        <v>882</v>
      </c>
      <c r="G782" t="s">
        <v>24</v>
      </c>
      <c r="I782">
        <v>90</v>
      </c>
      <c r="J782">
        <v>125</v>
      </c>
      <c r="K782">
        <v>35</v>
      </c>
      <c r="L782">
        <v>0.38890000000000002</v>
      </c>
      <c r="M782" t="s">
        <v>3371</v>
      </c>
      <c r="N782">
        <v>782</v>
      </c>
    </row>
    <row r="783" spans="1:14" x14ac:dyDescent="0.25">
      <c r="A783" t="s">
        <v>2551</v>
      </c>
      <c r="B783">
        <v>779</v>
      </c>
      <c r="C783">
        <v>1779</v>
      </c>
      <c r="D783" s="1" t="s">
        <v>885</v>
      </c>
      <c r="E783" t="s">
        <v>886</v>
      </c>
      <c r="G783" t="s">
        <v>24</v>
      </c>
      <c r="I783">
        <v>17</v>
      </c>
      <c r="J783">
        <v>40</v>
      </c>
      <c r="K783">
        <v>23</v>
      </c>
      <c r="L783">
        <v>1.3529</v>
      </c>
      <c r="M783" t="s">
        <v>3371</v>
      </c>
      <c r="N783">
        <v>783</v>
      </c>
    </row>
    <row r="784" spans="1:14" x14ac:dyDescent="0.25">
      <c r="A784" t="s">
        <v>2552</v>
      </c>
      <c r="B784">
        <v>780</v>
      </c>
      <c r="C784">
        <v>1780</v>
      </c>
      <c r="D784" s="1" t="s">
        <v>887</v>
      </c>
      <c r="E784" t="s">
        <v>886</v>
      </c>
      <c r="G784" t="s">
        <v>24</v>
      </c>
      <c r="I784">
        <v>23</v>
      </c>
      <c r="J784">
        <v>45</v>
      </c>
      <c r="K784">
        <v>22</v>
      </c>
      <c r="L784">
        <v>0.95650000000000002</v>
      </c>
      <c r="M784" t="s">
        <v>3371</v>
      </c>
      <c r="N784">
        <v>784</v>
      </c>
    </row>
    <row r="785" spans="1:14" x14ac:dyDescent="0.25">
      <c r="A785" t="s">
        <v>2553</v>
      </c>
      <c r="B785">
        <v>781</v>
      </c>
      <c r="C785">
        <v>1781</v>
      </c>
      <c r="D785" s="1" t="s">
        <v>888</v>
      </c>
      <c r="E785" t="s">
        <v>886</v>
      </c>
      <c r="G785" t="s">
        <v>24</v>
      </c>
      <c r="I785">
        <v>7</v>
      </c>
      <c r="J785">
        <v>20</v>
      </c>
      <c r="K785">
        <v>13</v>
      </c>
      <c r="L785">
        <v>1.8571</v>
      </c>
      <c r="M785" t="s">
        <v>3371</v>
      </c>
      <c r="N785">
        <v>785</v>
      </c>
    </row>
    <row r="786" spans="1:14" x14ac:dyDescent="0.25">
      <c r="A786" t="s">
        <v>2554</v>
      </c>
      <c r="B786">
        <v>782</v>
      </c>
      <c r="C786">
        <v>1782</v>
      </c>
      <c r="D786" s="1" t="s">
        <v>889</v>
      </c>
      <c r="E786" t="s">
        <v>886</v>
      </c>
      <c r="G786" t="s">
        <v>24</v>
      </c>
      <c r="I786">
        <v>9</v>
      </c>
      <c r="J786">
        <v>25</v>
      </c>
      <c r="K786">
        <v>16</v>
      </c>
      <c r="L786">
        <v>1.7778</v>
      </c>
      <c r="M786" t="s">
        <v>3371</v>
      </c>
      <c r="N786">
        <v>786</v>
      </c>
    </row>
    <row r="787" spans="1:14" x14ac:dyDescent="0.25">
      <c r="A787" t="s">
        <v>2555</v>
      </c>
      <c r="B787">
        <v>783</v>
      </c>
      <c r="C787">
        <v>1783</v>
      </c>
      <c r="D787" s="1" t="s">
        <v>890</v>
      </c>
      <c r="E787" t="s">
        <v>886</v>
      </c>
      <c r="G787" t="s">
        <v>24</v>
      </c>
      <c r="I787">
        <v>15</v>
      </c>
      <c r="J787">
        <v>30</v>
      </c>
      <c r="K787">
        <v>15</v>
      </c>
      <c r="L787">
        <v>1</v>
      </c>
      <c r="M787" t="s">
        <v>3371</v>
      </c>
      <c r="N787">
        <v>787</v>
      </c>
    </row>
    <row r="788" spans="1:14" x14ac:dyDescent="0.25">
      <c r="A788" t="s">
        <v>2556</v>
      </c>
      <c r="B788">
        <v>784</v>
      </c>
      <c r="C788">
        <v>1784</v>
      </c>
      <c r="D788" s="1" t="s">
        <v>891</v>
      </c>
      <c r="E788" t="s">
        <v>892</v>
      </c>
      <c r="G788" t="s">
        <v>24</v>
      </c>
      <c r="I788">
        <v>35</v>
      </c>
      <c r="J788">
        <v>70</v>
      </c>
      <c r="K788">
        <v>35</v>
      </c>
      <c r="L788">
        <v>1</v>
      </c>
      <c r="M788" t="s">
        <v>3371</v>
      </c>
      <c r="N788">
        <v>788</v>
      </c>
    </row>
    <row r="789" spans="1:14" x14ac:dyDescent="0.25">
      <c r="A789" t="s">
        <v>2557</v>
      </c>
      <c r="B789">
        <v>785</v>
      </c>
      <c r="C789">
        <v>1785</v>
      </c>
      <c r="D789" s="1" t="s">
        <v>893</v>
      </c>
      <c r="E789" t="s">
        <v>90</v>
      </c>
      <c r="G789" t="s">
        <v>24</v>
      </c>
      <c r="I789">
        <v>73</v>
      </c>
      <c r="J789">
        <v>120</v>
      </c>
      <c r="K789">
        <v>47</v>
      </c>
      <c r="L789">
        <v>0.64380000000000004</v>
      </c>
      <c r="M789" t="s">
        <v>3371</v>
      </c>
      <c r="N789">
        <v>789</v>
      </c>
    </row>
    <row r="790" spans="1:14" x14ac:dyDescent="0.25">
      <c r="A790" t="s">
        <v>2558</v>
      </c>
      <c r="B790">
        <v>786</v>
      </c>
      <c r="C790">
        <v>1786</v>
      </c>
      <c r="D790" s="1" t="s">
        <v>894</v>
      </c>
      <c r="E790" t="s">
        <v>90</v>
      </c>
      <c r="G790" t="s">
        <v>24</v>
      </c>
      <c r="I790">
        <v>175</v>
      </c>
      <c r="J790">
        <v>255</v>
      </c>
      <c r="K790">
        <v>80</v>
      </c>
      <c r="L790">
        <v>0.45710000000000001</v>
      </c>
      <c r="M790" t="s">
        <v>3371</v>
      </c>
      <c r="N790">
        <v>790</v>
      </c>
    </row>
    <row r="791" spans="1:14" x14ac:dyDescent="0.25">
      <c r="A791" t="s">
        <v>2559</v>
      </c>
      <c r="B791">
        <v>787</v>
      </c>
      <c r="C791">
        <v>1787</v>
      </c>
      <c r="D791" s="1" t="s">
        <v>895</v>
      </c>
      <c r="E791" t="s">
        <v>90</v>
      </c>
      <c r="G791" t="s">
        <v>24</v>
      </c>
      <c r="I791">
        <v>71</v>
      </c>
      <c r="J791">
        <v>120</v>
      </c>
      <c r="K791">
        <v>49</v>
      </c>
      <c r="L791">
        <v>0.69010000000000005</v>
      </c>
      <c r="M791" t="s">
        <v>3371</v>
      </c>
      <c r="N791">
        <v>791</v>
      </c>
    </row>
    <row r="792" spans="1:14" x14ac:dyDescent="0.25">
      <c r="A792" t="s">
        <v>2560</v>
      </c>
      <c r="B792">
        <v>788</v>
      </c>
      <c r="C792">
        <v>1788</v>
      </c>
      <c r="D792" s="1" t="s">
        <v>896</v>
      </c>
      <c r="E792" t="s">
        <v>90</v>
      </c>
      <c r="G792" t="s">
        <v>24</v>
      </c>
      <c r="I792">
        <v>35</v>
      </c>
      <c r="J792">
        <v>90</v>
      </c>
      <c r="K792">
        <v>55</v>
      </c>
      <c r="L792">
        <v>1.5713999999999999</v>
      </c>
      <c r="M792" t="s">
        <v>3371</v>
      </c>
      <c r="N792">
        <v>792</v>
      </c>
    </row>
    <row r="793" spans="1:14" x14ac:dyDescent="0.25">
      <c r="A793" t="s">
        <v>2561</v>
      </c>
      <c r="B793">
        <v>789</v>
      </c>
      <c r="C793">
        <v>1789</v>
      </c>
      <c r="D793" s="1" t="s">
        <v>897</v>
      </c>
      <c r="E793" t="s">
        <v>90</v>
      </c>
      <c r="G793" t="s">
        <v>24</v>
      </c>
      <c r="I793">
        <v>73</v>
      </c>
      <c r="J793">
        <v>120</v>
      </c>
      <c r="K793">
        <v>47</v>
      </c>
      <c r="L793">
        <v>0.64380000000000004</v>
      </c>
      <c r="M793" t="s">
        <v>3371</v>
      </c>
      <c r="N793">
        <v>793</v>
      </c>
    </row>
    <row r="794" spans="1:14" x14ac:dyDescent="0.25">
      <c r="A794" t="s">
        <v>2562</v>
      </c>
      <c r="B794">
        <v>790</v>
      </c>
      <c r="C794">
        <v>1790</v>
      </c>
      <c r="D794" s="1" t="s">
        <v>898</v>
      </c>
      <c r="E794" t="s">
        <v>90</v>
      </c>
      <c r="G794" t="s">
        <v>24</v>
      </c>
      <c r="I794">
        <v>83</v>
      </c>
      <c r="J794">
        <v>130</v>
      </c>
      <c r="K794">
        <v>47</v>
      </c>
      <c r="L794">
        <v>0.56630000000000003</v>
      </c>
      <c r="M794" t="s">
        <v>3371</v>
      </c>
      <c r="N794">
        <v>794</v>
      </c>
    </row>
    <row r="795" spans="1:14" x14ac:dyDescent="0.25">
      <c r="A795" t="s">
        <v>2563</v>
      </c>
      <c r="B795">
        <v>791</v>
      </c>
      <c r="C795">
        <v>1791</v>
      </c>
      <c r="D795" s="1" t="s">
        <v>899</v>
      </c>
      <c r="E795" t="s">
        <v>90</v>
      </c>
      <c r="G795" t="s">
        <v>24</v>
      </c>
      <c r="I795">
        <v>83</v>
      </c>
      <c r="J795">
        <v>130</v>
      </c>
      <c r="K795">
        <v>47</v>
      </c>
      <c r="L795">
        <v>0.56630000000000003</v>
      </c>
      <c r="M795" t="s">
        <v>3371</v>
      </c>
      <c r="N795">
        <v>795</v>
      </c>
    </row>
    <row r="796" spans="1:14" x14ac:dyDescent="0.25">
      <c r="A796" t="s">
        <v>2564</v>
      </c>
      <c r="B796">
        <v>792</v>
      </c>
      <c r="C796">
        <v>1792</v>
      </c>
      <c r="D796" s="1" t="s">
        <v>900</v>
      </c>
      <c r="G796" t="s">
        <v>24</v>
      </c>
      <c r="I796">
        <v>26.5</v>
      </c>
      <c r="J796">
        <v>55</v>
      </c>
      <c r="K796">
        <v>28.5</v>
      </c>
      <c r="L796">
        <v>1.0754999999999999</v>
      </c>
      <c r="M796" t="s">
        <v>3371</v>
      </c>
      <c r="N796">
        <v>796</v>
      </c>
    </row>
    <row r="797" spans="1:14" x14ac:dyDescent="0.25">
      <c r="A797" t="s">
        <v>2565</v>
      </c>
      <c r="B797">
        <v>793</v>
      </c>
      <c r="C797">
        <v>1793</v>
      </c>
      <c r="D797" s="1" t="s">
        <v>901</v>
      </c>
      <c r="G797" t="s">
        <v>24</v>
      </c>
      <c r="I797">
        <v>20</v>
      </c>
      <c r="J797">
        <v>45</v>
      </c>
      <c r="K797">
        <v>25</v>
      </c>
      <c r="L797">
        <v>1.25</v>
      </c>
      <c r="M797" t="s">
        <v>3371</v>
      </c>
      <c r="N797">
        <v>797</v>
      </c>
    </row>
    <row r="798" spans="1:14" x14ac:dyDescent="0.25">
      <c r="A798" t="s">
        <v>2566</v>
      </c>
      <c r="B798">
        <v>794</v>
      </c>
      <c r="C798">
        <v>1794</v>
      </c>
      <c r="D798" s="1" t="s">
        <v>902</v>
      </c>
      <c r="G798" t="s">
        <v>55</v>
      </c>
      <c r="I798">
        <v>34.4</v>
      </c>
      <c r="J798">
        <v>53</v>
      </c>
      <c r="K798">
        <v>18.600000000000001</v>
      </c>
      <c r="L798">
        <v>0.54069999999999996</v>
      </c>
      <c r="M798" t="s">
        <v>3371</v>
      </c>
      <c r="N798">
        <v>798</v>
      </c>
    </row>
    <row r="799" spans="1:14" x14ac:dyDescent="0.25">
      <c r="A799" t="s">
        <v>2567</v>
      </c>
      <c r="B799">
        <v>795</v>
      </c>
      <c r="C799">
        <v>1795</v>
      </c>
      <c r="D799" s="1" t="s">
        <v>903</v>
      </c>
      <c r="G799" t="s">
        <v>55</v>
      </c>
      <c r="I799">
        <v>17.2</v>
      </c>
      <c r="J799">
        <v>27</v>
      </c>
      <c r="K799">
        <v>9.8000000000000007</v>
      </c>
      <c r="L799">
        <v>0.56979999999999997</v>
      </c>
      <c r="M799" t="s">
        <v>3371</v>
      </c>
      <c r="N799">
        <v>799</v>
      </c>
    </row>
    <row r="800" spans="1:14" x14ac:dyDescent="0.25">
      <c r="A800" t="s">
        <v>2568</v>
      </c>
      <c r="B800">
        <v>796</v>
      </c>
      <c r="C800">
        <v>1796</v>
      </c>
      <c r="D800" s="1" t="s">
        <v>904</v>
      </c>
      <c r="G800" t="s">
        <v>55</v>
      </c>
      <c r="I800">
        <v>129.75</v>
      </c>
      <c r="J800">
        <v>155</v>
      </c>
      <c r="K800">
        <v>25.25</v>
      </c>
      <c r="L800">
        <v>0.1946</v>
      </c>
      <c r="M800" t="s">
        <v>3371</v>
      </c>
      <c r="N800">
        <v>800</v>
      </c>
    </row>
    <row r="801" spans="1:14" x14ac:dyDescent="0.25">
      <c r="A801" t="s">
        <v>2569</v>
      </c>
      <c r="B801">
        <v>797</v>
      </c>
      <c r="C801">
        <v>1797</v>
      </c>
      <c r="D801" s="1" t="s">
        <v>905</v>
      </c>
      <c r="G801" t="s">
        <v>24</v>
      </c>
      <c r="I801">
        <v>25</v>
      </c>
      <c r="J801">
        <v>50</v>
      </c>
      <c r="K801">
        <v>25</v>
      </c>
      <c r="L801">
        <v>1</v>
      </c>
      <c r="M801" t="s">
        <v>3371</v>
      </c>
      <c r="N801">
        <v>801</v>
      </c>
    </row>
    <row r="802" spans="1:14" x14ac:dyDescent="0.25">
      <c r="A802" t="s">
        <v>2570</v>
      </c>
      <c r="B802">
        <v>798</v>
      </c>
      <c r="C802">
        <v>1798</v>
      </c>
      <c r="D802" s="1" t="s">
        <v>906</v>
      </c>
      <c r="G802" t="s">
        <v>24</v>
      </c>
      <c r="I802">
        <v>42</v>
      </c>
      <c r="J802">
        <v>90</v>
      </c>
      <c r="K802">
        <v>48</v>
      </c>
      <c r="L802">
        <v>1.1429</v>
      </c>
      <c r="M802" t="s">
        <v>3371</v>
      </c>
      <c r="N802">
        <v>802</v>
      </c>
    </row>
    <row r="803" spans="1:14" x14ac:dyDescent="0.25">
      <c r="A803" t="s">
        <v>2571</v>
      </c>
      <c r="B803">
        <v>799</v>
      </c>
      <c r="C803">
        <v>1799</v>
      </c>
      <c r="D803" s="1" t="s">
        <v>907</v>
      </c>
      <c r="G803" t="s">
        <v>24</v>
      </c>
      <c r="I803">
        <v>69</v>
      </c>
      <c r="J803">
        <v>130</v>
      </c>
      <c r="K803">
        <v>61</v>
      </c>
      <c r="L803">
        <v>0.8841</v>
      </c>
      <c r="M803" t="s">
        <v>3371</v>
      </c>
      <c r="N803">
        <v>803</v>
      </c>
    </row>
    <row r="804" spans="1:14" x14ac:dyDescent="0.25">
      <c r="A804" t="s">
        <v>2572</v>
      </c>
      <c r="B804">
        <v>800</v>
      </c>
      <c r="C804">
        <v>1800</v>
      </c>
      <c r="D804" s="1" t="s">
        <v>908</v>
      </c>
      <c r="G804" t="s">
        <v>24</v>
      </c>
      <c r="I804">
        <v>69</v>
      </c>
      <c r="J804">
        <v>95</v>
      </c>
      <c r="K804">
        <v>26</v>
      </c>
      <c r="L804">
        <v>0.37680000000000002</v>
      </c>
      <c r="M804" t="s">
        <v>3371</v>
      </c>
      <c r="N804">
        <v>804</v>
      </c>
    </row>
    <row r="805" spans="1:14" x14ac:dyDescent="0.25">
      <c r="A805" t="s">
        <v>2573</v>
      </c>
      <c r="B805">
        <v>801</v>
      </c>
      <c r="C805">
        <v>1801</v>
      </c>
      <c r="D805" s="1" t="s">
        <v>909</v>
      </c>
      <c r="E805" t="s">
        <v>84</v>
      </c>
      <c r="G805" t="s">
        <v>24</v>
      </c>
      <c r="I805">
        <v>45</v>
      </c>
      <c r="J805">
        <v>65</v>
      </c>
      <c r="K805">
        <v>20</v>
      </c>
      <c r="L805">
        <v>0.44440000000000002</v>
      </c>
      <c r="M805" t="s">
        <v>3371</v>
      </c>
      <c r="N805">
        <v>805</v>
      </c>
    </row>
    <row r="806" spans="1:14" x14ac:dyDescent="0.25">
      <c r="A806" t="s">
        <v>2574</v>
      </c>
      <c r="B806">
        <v>802</v>
      </c>
      <c r="C806">
        <v>1802</v>
      </c>
      <c r="D806" s="1" t="s">
        <v>910</v>
      </c>
      <c r="E806" t="s">
        <v>911</v>
      </c>
      <c r="G806" t="s">
        <v>24</v>
      </c>
      <c r="I806">
        <v>105</v>
      </c>
      <c r="J806">
        <v>195</v>
      </c>
      <c r="K806">
        <v>90</v>
      </c>
      <c r="L806">
        <v>0.85709999999999997</v>
      </c>
      <c r="M806" t="s">
        <v>3371</v>
      </c>
      <c r="N806">
        <v>806</v>
      </c>
    </row>
    <row r="807" spans="1:14" x14ac:dyDescent="0.25">
      <c r="A807" t="s">
        <v>2575</v>
      </c>
      <c r="B807">
        <v>803</v>
      </c>
      <c r="C807">
        <v>1803</v>
      </c>
      <c r="D807" s="1" t="s">
        <v>912</v>
      </c>
      <c r="E807" t="s">
        <v>911</v>
      </c>
      <c r="G807" t="s">
        <v>24</v>
      </c>
      <c r="I807">
        <v>135</v>
      </c>
      <c r="J807">
        <v>205</v>
      </c>
      <c r="K807">
        <v>70</v>
      </c>
      <c r="L807">
        <v>0.51849999999999996</v>
      </c>
      <c r="M807" t="s">
        <v>3371</v>
      </c>
      <c r="N807">
        <v>807</v>
      </c>
    </row>
    <row r="808" spans="1:14" x14ac:dyDescent="0.25">
      <c r="A808" t="s">
        <v>2576</v>
      </c>
      <c r="B808">
        <v>804</v>
      </c>
      <c r="C808">
        <v>1804</v>
      </c>
      <c r="D808" s="1" t="s">
        <v>913</v>
      </c>
      <c r="E808" t="s">
        <v>911</v>
      </c>
      <c r="G808" t="s">
        <v>24</v>
      </c>
      <c r="I808">
        <v>149</v>
      </c>
      <c r="J808">
        <v>220</v>
      </c>
      <c r="K808">
        <v>71</v>
      </c>
      <c r="L808">
        <v>0.47649999999999998</v>
      </c>
      <c r="M808" t="s">
        <v>3371</v>
      </c>
      <c r="N808">
        <v>808</v>
      </c>
    </row>
    <row r="809" spans="1:14" x14ac:dyDescent="0.25">
      <c r="A809" t="s">
        <v>2577</v>
      </c>
      <c r="B809">
        <v>805</v>
      </c>
      <c r="C809">
        <v>1805</v>
      </c>
      <c r="D809" s="1" t="s">
        <v>914</v>
      </c>
      <c r="E809" t="s">
        <v>915</v>
      </c>
      <c r="G809" t="s">
        <v>24</v>
      </c>
      <c r="M809" t="s">
        <v>3371</v>
      </c>
      <c r="N809">
        <v>809</v>
      </c>
    </row>
    <row r="810" spans="1:14" x14ac:dyDescent="0.25">
      <c r="A810" t="s">
        <v>2578</v>
      </c>
      <c r="B810">
        <v>806</v>
      </c>
      <c r="C810">
        <v>1806</v>
      </c>
      <c r="D810" s="1" t="s">
        <v>916</v>
      </c>
      <c r="E810" t="s">
        <v>915</v>
      </c>
      <c r="G810" t="s">
        <v>24</v>
      </c>
      <c r="M810" t="s">
        <v>3371</v>
      </c>
      <c r="N810">
        <v>810</v>
      </c>
    </row>
    <row r="811" spans="1:14" x14ac:dyDescent="0.25">
      <c r="A811" t="s">
        <v>2579</v>
      </c>
      <c r="B811">
        <v>807</v>
      </c>
      <c r="C811">
        <v>1807</v>
      </c>
      <c r="D811" s="1" t="s">
        <v>917</v>
      </c>
      <c r="E811" t="s">
        <v>915</v>
      </c>
      <c r="G811" t="s">
        <v>24</v>
      </c>
      <c r="M811" t="s">
        <v>3371</v>
      </c>
      <c r="N811">
        <v>811</v>
      </c>
    </row>
    <row r="812" spans="1:14" x14ac:dyDescent="0.25">
      <c r="A812" t="s">
        <v>2580</v>
      </c>
      <c r="B812">
        <v>808</v>
      </c>
      <c r="C812">
        <v>1808</v>
      </c>
      <c r="D812" s="1" t="s">
        <v>918</v>
      </c>
      <c r="E812" t="s">
        <v>915</v>
      </c>
      <c r="G812" t="s">
        <v>24</v>
      </c>
      <c r="I812">
        <v>523</v>
      </c>
      <c r="J812">
        <v>675</v>
      </c>
      <c r="K812">
        <v>152</v>
      </c>
      <c r="L812">
        <v>0.29060000000000002</v>
      </c>
      <c r="M812" t="s">
        <v>3371</v>
      </c>
      <c r="N812">
        <v>812</v>
      </c>
    </row>
    <row r="813" spans="1:14" x14ac:dyDescent="0.25">
      <c r="A813" t="s">
        <v>2581</v>
      </c>
      <c r="B813">
        <v>809</v>
      </c>
      <c r="C813">
        <v>1809</v>
      </c>
      <c r="D813" s="1" t="s">
        <v>919</v>
      </c>
      <c r="E813" t="s">
        <v>915</v>
      </c>
      <c r="G813" t="s">
        <v>24</v>
      </c>
      <c r="M813" t="s">
        <v>3371</v>
      </c>
      <c r="N813">
        <v>813</v>
      </c>
    </row>
    <row r="814" spans="1:14" x14ac:dyDescent="0.25">
      <c r="A814" t="s">
        <v>2582</v>
      </c>
      <c r="B814">
        <v>810</v>
      </c>
      <c r="C814">
        <v>1810</v>
      </c>
      <c r="D814" s="1" t="s">
        <v>920</v>
      </c>
      <c r="E814" t="s">
        <v>915</v>
      </c>
      <c r="G814" t="s">
        <v>24</v>
      </c>
      <c r="M814" t="s">
        <v>3371</v>
      </c>
      <c r="N814">
        <v>814</v>
      </c>
    </row>
    <row r="815" spans="1:14" x14ac:dyDescent="0.25">
      <c r="A815" t="s">
        <v>2583</v>
      </c>
      <c r="B815">
        <v>811</v>
      </c>
      <c r="C815">
        <v>1811</v>
      </c>
      <c r="D815" s="1" t="s">
        <v>921</v>
      </c>
      <c r="E815" t="s">
        <v>915</v>
      </c>
      <c r="G815" t="s">
        <v>24</v>
      </c>
      <c r="M815" t="s">
        <v>3371</v>
      </c>
      <c r="N815">
        <v>815</v>
      </c>
    </row>
    <row r="816" spans="1:14" x14ac:dyDescent="0.25">
      <c r="A816" t="s">
        <v>2584</v>
      </c>
      <c r="B816">
        <v>812</v>
      </c>
      <c r="C816">
        <v>1812</v>
      </c>
      <c r="D816" s="1" t="s">
        <v>922</v>
      </c>
      <c r="E816" t="s">
        <v>915</v>
      </c>
      <c r="G816" t="s">
        <v>24</v>
      </c>
      <c r="M816" t="s">
        <v>3371</v>
      </c>
      <c r="N816">
        <v>816</v>
      </c>
    </row>
    <row r="817" spans="1:14" x14ac:dyDescent="0.25">
      <c r="A817" t="s">
        <v>2585</v>
      </c>
      <c r="B817">
        <v>813</v>
      </c>
      <c r="C817">
        <v>1813</v>
      </c>
      <c r="D817" s="1" t="s">
        <v>923</v>
      </c>
      <c r="E817" t="s">
        <v>915</v>
      </c>
      <c r="G817" t="s">
        <v>24</v>
      </c>
      <c r="I817">
        <v>494</v>
      </c>
      <c r="J817">
        <v>510</v>
      </c>
      <c r="K817">
        <v>16</v>
      </c>
      <c r="L817">
        <v>3.2399999999999998E-2</v>
      </c>
      <c r="M817" t="s">
        <v>3371</v>
      </c>
      <c r="N817">
        <v>817</v>
      </c>
    </row>
    <row r="818" spans="1:14" x14ac:dyDescent="0.25">
      <c r="A818" t="s">
        <v>2586</v>
      </c>
      <c r="B818">
        <v>814</v>
      </c>
      <c r="C818">
        <v>1814</v>
      </c>
      <c r="D818" s="1" t="s">
        <v>924</v>
      </c>
      <c r="E818" t="s">
        <v>915</v>
      </c>
      <c r="G818" t="s">
        <v>24</v>
      </c>
      <c r="I818">
        <v>616</v>
      </c>
      <c r="J818">
        <v>725</v>
      </c>
      <c r="K818">
        <v>109</v>
      </c>
      <c r="L818">
        <v>0.1769</v>
      </c>
      <c r="M818" t="s">
        <v>3371</v>
      </c>
      <c r="N818">
        <v>818</v>
      </c>
    </row>
    <row r="819" spans="1:14" x14ac:dyDescent="0.25">
      <c r="A819" t="s">
        <v>2587</v>
      </c>
      <c r="B819">
        <v>815</v>
      </c>
      <c r="C819">
        <v>1815</v>
      </c>
      <c r="D819" s="1" t="s">
        <v>925</v>
      </c>
      <c r="E819" t="s">
        <v>915</v>
      </c>
      <c r="G819" t="s">
        <v>24</v>
      </c>
      <c r="I819">
        <v>396</v>
      </c>
      <c r="J819">
        <v>445</v>
      </c>
      <c r="K819">
        <v>49</v>
      </c>
      <c r="L819">
        <v>0.1237</v>
      </c>
      <c r="M819" t="s">
        <v>3371</v>
      </c>
      <c r="N819">
        <v>819</v>
      </c>
    </row>
    <row r="820" spans="1:14" x14ac:dyDescent="0.25">
      <c r="A820" t="s">
        <v>2588</v>
      </c>
      <c r="B820">
        <v>816</v>
      </c>
      <c r="C820">
        <v>1816</v>
      </c>
      <c r="D820" s="1" t="s">
        <v>926</v>
      </c>
      <c r="E820" t="s">
        <v>915</v>
      </c>
      <c r="G820" t="s">
        <v>24</v>
      </c>
      <c r="I820">
        <v>510</v>
      </c>
      <c r="J820">
        <v>560</v>
      </c>
      <c r="K820">
        <v>50</v>
      </c>
      <c r="L820">
        <v>9.8000000000000004E-2</v>
      </c>
      <c r="M820" t="s">
        <v>3371</v>
      </c>
      <c r="N820">
        <v>820</v>
      </c>
    </row>
    <row r="821" spans="1:14" x14ac:dyDescent="0.25">
      <c r="A821" t="s">
        <v>2589</v>
      </c>
      <c r="B821">
        <v>817</v>
      </c>
      <c r="C821">
        <v>1817</v>
      </c>
      <c r="D821" s="1" t="s">
        <v>927</v>
      </c>
      <c r="F821" t="s">
        <v>928</v>
      </c>
      <c r="G821" t="s">
        <v>24</v>
      </c>
      <c r="I821">
        <v>280</v>
      </c>
      <c r="J821">
        <v>325</v>
      </c>
      <c r="K821">
        <v>45</v>
      </c>
      <c r="L821">
        <v>0.16070000000000001</v>
      </c>
      <c r="M821" t="s">
        <v>3371</v>
      </c>
      <c r="N821">
        <v>821</v>
      </c>
    </row>
    <row r="822" spans="1:14" x14ac:dyDescent="0.25">
      <c r="A822" t="s">
        <v>2590</v>
      </c>
      <c r="B822">
        <v>818</v>
      </c>
      <c r="C822">
        <v>1818</v>
      </c>
      <c r="D822" s="1" t="s">
        <v>929</v>
      </c>
      <c r="G822" t="s">
        <v>24</v>
      </c>
      <c r="I822">
        <v>365</v>
      </c>
      <c r="J822">
        <v>585</v>
      </c>
      <c r="K822">
        <v>220</v>
      </c>
      <c r="L822">
        <v>0.60270000000000001</v>
      </c>
      <c r="M822" t="s">
        <v>3371</v>
      </c>
      <c r="N822">
        <v>822</v>
      </c>
    </row>
    <row r="823" spans="1:14" x14ac:dyDescent="0.25">
      <c r="A823" t="s">
        <v>2591</v>
      </c>
      <c r="B823">
        <v>819</v>
      </c>
      <c r="C823">
        <v>1819</v>
      </c>
      <c r="D823" s="1" t="s">
        <v>930</v>
      </c>
      <c r="G823" t="s">
        <v>55</v>
      </c>
      <c r="I823">
        <v>72</v>
      </c>
      <c r="J823">
        <v>100</v>
      </c>
      <c r="K823">
        <v>28</v>
      </c>
      <c r="L823">
        <v>0.38890000000000002</v>
      </c>
      <c r="M823" t="s">
        <v>3371</v>
      </c>
      <c r="N823">
        <v>823</v>
      </c>
    </row>
    <row r="824" spans="1:14" x14ac:dyDescent="0.25">
      <c r="A824" t="s">
        <v>2592</v>
      </c>
      <c r="B824">
        <v>820</v>
      </c>
      <c r="C824">
        <v>1820</v>
      </c>
      <c r="D824" s="1" t="s">
        <v>931</v>
      </c>
      <c r="G824" t="s">
        <v>55</v>
      </c>
      <c r="I824">
        <v>36</v>
      </c>
      <c r="J824">
        <v>50</v>
      </c>
      <c r="K824">
        <v>14</v>
      </c>
      <c r="L824">
        <v>0.38890000000000002</v>
      </c>
      <c r="M824" t="s">
        <v>3371</v>
      </c>
      <c r="N824">
        <v>824</v>
      </c>
    </row>
    <row r="825" spans="1:14" x14ac:dyDescent="0.25">
      <c r="A825" t="s">
        <v>2593</v>
      </c>
      <c r="B825">
        <v>821</v>
      </c>
      <c r="C825">
        <v>1821</v>
      </c>
      <c r="D825" s="1" t="s">
        <v>932</v>
      </c>
      <c r="G825" t="s">
        <v>55</v>
      </c>
      <c r="I825">
        <v>18</v>
      </c>
      <c r="J825">
        <v>25</v>
      </c>
      <c r="K825">
        <v>7</v>
      </c>
      <c r="L825">
        <v>0.38890000000000002</v>
      </c>
      <c r="M825" t="s">
        <v>3371</v>
      </c>
      <c r="N825">
        <v>825</v>
      </c>
    </row>
    <row r="826" spans="1:14" x14ac:dyDescent="0.25">
      <c r="A826" t="s">
        <v>2594</v>
      </c>
      <c r="B826">
        <v>822</v>
      </c>
      <c r="C826">
        <v>1822</v>
      </c>
      <c r="D826" s="1" t="s">
        <v>933</v>
      </c>
      <c r="F826" t="s">
        <v>934</v>
      </c>
      <c r="G826" t="s">
        <v>24</v>
      </c>
      <c r="I826">
        <v>290</v>
      </c>
      <c r="J826">
        <v>365</v>
      </c>
      <c r="K826">
        <v>75</v>
      </c>
      <c r="L826">
        <v>0.2586</v>
      </c>
      <c r="M826" t="s">
        <v>3371</v>
      </c>
      <c r="N826">
        <v>826</v>
      </c>
    </row>
    <row r="827" spans="1:14" x14ac:dyDescent="0.25">
      <c r="A827" t="s">
        <v>2595</v>
      </c>
      <c r="B827">
        <v>823</v>
      </c>
      <c r="C827">
        <v>1823</v>
      </c>
      <c r="D827" s="1" t="s">
        <v>935</v>
      </c>
      <c r="F827" t="s">
        <v>934</v>
      </c>
      <c r="G827" t="s">
        <v>24</v>
      </c>
      <c r="I827">
        <v>350</v>
      </c>
      <c r="J827">
        <v>430</v>
      </c>
      <c r="K827">
        <v>80</v>
      </c>
      <c r="L827">
        <v>0.2286</v>
      </c>
      <c r="M827" t="s">
        <v>3371</v>
      </c>
      <c r="N827">
        <v>827</v>
      </c>
    </row>
    <row r="828" spans="1:14" x14ac:dyDescent="0.25">
      <c r="A828" t="s">
        <v>2596</v>
      </c>
      <c r="B828">
        <v>824</v>
      </c>
      <c r="C828">
        <v>1824</v>
      </c>
      <c r="D828" s="1" t="s">
        <v>936</v>
      </c>
      <c r="F828" t="s">
        <v>937</v>
      </c>
      <c r="G828" t="s">
        <v>24</v>
      </c>
      <c r="I828">
        <v>423</v>
      </c>
      <c r="J828">
        <v>490</v>
      </c>
      <c r="K828">
        <v>67</v>
      </c>
      <c r="L828">
        <v>0.15840000000000001</v>
      </c>
      <c r="M828" t="s">
        <v>3371</v>
      </c>
      <c r="N828">
        <v>828</v>
      </c>
    </row>
    <row r="829" spans="1:14" x14ac:dyDescent="0.25">
      <c r="A829" t="s">
        <v>2597</v>
      </c>
      <c r="B829">
        <v>825</v>
      </c>
      <c r="C829">
        <v>1825</v>
      </c>
      <c r="D829" s="1" t="s">
        <v>938</v>
      </c>
      <c r="F829" t="s">
        <v>937</v>
      </c>
      <c r="G829" t="s">
        <v>24</v>
      </c>
      <c r="I829">
        <v>489</v>
      </c>
      <c r="J829">
        <v>560</v>
      </c>
      <c r="K829">
        <v>71</v>
      </c>
      <c r="L829">
        <v>0.1452</v>
      </c>
      <c r="M829" t="s">
        <v>3371</v>
      </c>
      <c r="N829">
        <v>829</v>
      </c>
    </row>
    <row r="830" spans="1:14" x14ac:dyDescent="0.25">
      <c r="A830" t="s">
        <v>2598</v>
      </c>
      <c r="B830">
        <v>826</v>
      </c>
      <c r="C830">
        <v>1826</v>
      </c>
      <c r="D830" s="1" t="s">
        <v>939</v>
      </c>
      <c r="F830" t="s">
        <v>934</v>
      </c>
      <c r="G830" t="s">
        <v>24</v>
      </c>
      <c r="I830">
        <v>400</v>
      </c>
      <c r="J830">
        <v>490</v>
      </c>
      <c r="K830">
        <v>90</v>
      </c>
      <c r="L830">
        <v>0.22500000000000001</v>
      </c>
      <c r="M830" t="s">
        <v>3371</v>
      </c>
      <c r="N830">
        <v>830</v>
      </c>
    </row>
    <row r="831" spans="1:14" x14ac:dyDescent="0.25">
      <c r="A831" t="s">
        <v>2599</v>
      </c>
      <c r="B831">
        <v>827</v>
      </c>
      <c r="C831">
        <v>1827</v>
      </c>
      <c r="D831" s="1" t="s">
        <v>940</v>
      </c>
      <c r="F831" t="s">
        <v>937</v>
      </c>
      <c r="G831" t="s">
        <v>24</v>
      </c>
      <c r="I831">
        <v>687</v>
      </c>
      <c r="J831">
        <v>775</v>
      </c>
      <c r="K831">
        <v>88</v>
      </c>
      <c r="L831">
        <v>0.12809999999999999</v>
      </c>
      <c r="M831" t="s">
        <v>3371</v>
      </c>
      <c r="N831">
        <v>831</v>
      </c>
    </row>
    <row r="832" spans="1:14" x14ac:dyDescent="0.25">
      <c r="A832" t="s">
        <v>2600</v>
      </c>
      <c r="B832">
        <v>828</v>
      </c>
      <c r="C832">
        <v>1828</v>
      </c>
      <c r="D832" s="1" t="s">
        <v>941</v>
      </c>
      <c r="F832" t="s">
        <v>937</v>
      </c>
      <c r="G832" t="s">
        <v>24</v>
      </c>
      <c r="I832">
        <v>473</v>
      </c>
      <c r="J832">
        <v>545</v>
      </c>
      <c r="K832">
        <v>72</v>
      </c>
      <c r="L832">
        <v>0.1522</v>
      </c>
      <c r="M832" t="s">
        <v>3371</v>
      </c>
      <c r="N832">
        <v>832</v>
      </c>
    </row>
    <row r="833" spans="1:14" x14ac:dyDescent="0.25">
      <c r="A833" t="s">
        <v>2601</v>
      </c>
      <c r="B833">
        <v>829</v>
      </c>
      <c r="C833">
        <v>1829</v>
      </c>
      <c r="D833" s="1" t="s">
        <v>942</v>
      </c>
      <c r="F833" t="s">
        <v>934</v>
      </c>
      <c r="G833" t="s">
        <v>24</v>
      </c>
      <c r="I833">
        <v>489</v>
      </c>
      <c r="J833">
        <v>590</v>
      </c>
      <c r="K833">
        <v>101</v>
      </c>
      <c r="L833">
        <v>0.20649999999999999</v>
      </c>
      <c r="M833" t="s">
        <v>3371</v>
      </c>
      <c r="N833">
        <v>833</v>
      </c>
    </row>
    <row r="834" spans="1:14" x14ac:dyDescent="0.25">
      <c r="A834" t="s">
        <v>2602</v>
      </c>
      <c r="B834">
        <v>830</v>
      </c>
      <c r="C834">
        <v>1830</v>
      </c>
      <c r="D834" s="1" t="s">
        <v>943</v>
      </c>
      <c r="F834" t="s">
        <v>937</v>
      </c>
      <c r="G834" t="s">
        <v>24</v>
      </c>
      <c r="I834">
        <v>638</v>
      </c>
      <c r="J834">
        <v>740</v>
      </c>
      <c r="K834">
        <v>102</v>
      </c>
      <c r="L834">
        <v>0.15989999999999999</v>
      </c>
      <c r="M834" t="s">
        <v>3371</v>
      </c>
      <c r="N834">
        <v>834</v>
      </c>
    </row>
    <row r="835" spans="1:14" x14ac:dyDescent="0.25">
      <c r="A835" t="s">
        <v>2603</v>
      </c>
      <c r="B835">
        <v>831</v>
      </c>
      <c r="C835">
        <v>1831</v>
      </c>
      <c r="D835" s="1" t="s">
        <v>944</v>
      </c>
      <c r="F835" t="s">
        <v>937</v>
      </c>
      <c r="G835" t="s">
        <v>24</v>
      </c>
      <c r="I835">
        <v>737</v>
      </c>
      <c r="J835">
        <v>840</v>
      </c>
      <c r="K835">
        <v>103</v>
      </c>
      <c r="L835">
        <v>0.13980000000000001</v>
      </c>
      <c r="M835" t="s">
        <v>3371</v>
      </c>
      <c r="N835">
        <v>835</v>
      </c>
    </row>
    <row r="836" spans="1:14" x14ac:dyDescent="0.25">
      <c r="A836" t="s">
        <v>2604</v>
      </c>
      <c r="B836">
        <v>832</v>
      </c>
      <c r="C836">
        <v>1832</v>
      </c>
      <c r="D836" s="1" t="s">
        <v>945</v>
      </c>
      <c r="F836" t="s">
        <v>937</v>
      </c>
      <c r="G836" t="s">
        <v>24</v>
      </c>
      <c r="I836">
        <v>830</v>
      </c>
      <c r="J836">
        <v>935</v>
      </c>
      <c r="K836">
        <v>105</v>
      </c>
      <c r="L836">
        <v>0.1265</v>
      </c>
      <c r="M836" t="s">
        <v>3371</v>
      </c>
      <c r="N836">
        <v>836</v>
      </c>
    </row>
    <row r="837" spans="1:14" x14ac:dyDescent="0.25">
      <c r="A837" t="s">
        <v>2605</v>
      </c>
      <c r="B837">
        <v>833</v>
      </c>
      <c r="C837">
        <v>1833</v>
      </c>
      <c r="D837" s="1" t="s">
        <v>946</v>
      </c>
      <c r="F837" t="s">
        <v>937</v>
      </c>
      <c r="G837" t="s">
        <v>24</v>
      </c>
      <c r="I837">
        <v>929</v>
      </c>
      <c r="J837">
        <v>1030</v>
      </c>
      <c r="K837">
        <v>101</v>
      </c>
      <c r="L837">
        <v>0.1087</v>
      </c>
      <c r="M837" t="s">
        <v>3371</v>
      </c>
      <c r="N837">
        <v>837</v>
      </c>
    </row>
    <row r="838" spans="1:14" x14ac:dyDescent="0.25">
      <c r="A838" t="s">
        <v>2606</v>
      </c>
      <c r="B838">
        <v>834</v>
      </c>
      <c r="C838">
        <v>1834</v>
      </c>
      <c r="D838" s="1" t="s">
        <v>947</v>
      </c>
      <c r="F838" t="s">
        <v>937</v>
      </c>
      <c r="G838" t="s">
        <v>24</v>
      </c>
      <c r="I838">
        <v>1023</v>
      </c>
      <c r="J838">
        <v>1130</v>
      </c>
      <c r="K838">
        <v>107</v>
      </c>
      <c r="L838">
        <v>0.1046</v>
      </c>
      <c r="M838" t="s">
        <v>3371</v>
      </c>
      <c r="N838">
        <v>838</v>
      </c>
    </row>
    <row r="839" spans="1:14" x14ac:dyDescent="0.25">
      <c r="A839" t="s">
        <v>2607</v>
      </c>
      <c r="B839">
        <v>835</v>
      </c>
      <c r="C839">
        <v>1835</v>
      </c>
      <c r="D839" s="1" t="s">
        <v>948</v>
      </c>
      <c r="F839" t="s">
        <v>937</v>
      </c>
      <c r="G839" t="s">
        <v>24</v>
      </c>
      <c r="I839">
        <v>1215</v>
      </c>
      <c r="J839">
        <v>1320</v>
      </c>
      <c r="K839">
        <v>105</v>
      </c>
      <c r="L839">
        <v>8.6400000000000005E-2</v>
      </c>
      <c r="M839" t="s">
        <v>3371</v>
      </c>
      <c r="N839">
        <v>839</v>
      </c>
    </row>
    <row r="840" spans="1:14" x14ac:dyDescent="0.25">
      <c r="A840" t="s">
        <v>2608</v>
      </c>
      <c r="B840">
        <v>836</v>
      </c>
      <c r="C840">
        <v>1836</v>
      </c>
      <c r="D840" s="1" t="s">
        <v>949</v>
      </c>
      <c r="F840" t="s">
        <v>937</v>
      </c>
      <c r="G840" t="s">
        <v>24</v>
      </c>
      <c r="I840">
        <v>143</v>
      </c>
      <c r="J840">
        <v>190</v>
      </c>
      <c r="K840">
        <v>47</v>
      </c>
      <c r="L840">
        <v>0.32869999999999999</v>
      </c>
      <c r="M840" t="s">
        <v>3371</v>
      </c>
      <c r="N840">
        <v>840</v>
      </c>
    </row>
    <row r="841" spans="1:14" x14ac:dyDescent="0.25">
      <c r="A841" t="s">
        <v>2609</v>
      </c>
      <c r="B841">
        <v>837</v>
      </c>
      <c r="C841">
        <v>1837</v>
      </c>
      <c r="D841" s="1" t="s">
        <v>950</v>
      </c>
      <c r="F841" t="s">
        <v>937</v>
      </c>
      <c r="G841" t="s">
        <v>24</v>
      </c>
      <c r="I841">
        <v>192</v>
      </c>
      <c r="J841">
        <v>245</v>
      </c>
      <c r="K841">
        <v>53</v>
      </c>
      <c r="L841">
        <v>0.27600000000000002</v>
      </c>
      <c r="M841" t="s">
        <v>3371</v>
      </c>
      <c r="N841">
        <v>841</v>
      </c>
    </row>
    <row r="842" spans="1:14" x14ac:dyDescent="0.25">
      <c r="A842" t="s">
        <v>2610</v>
      </c>
      <c r="B842">
        <v>838</v>
      </c>
      <c r="C842">
        <v>1838</v>
      </c>
      <c r="D842" s="1" t="s">
        <v>951</v>
      </c>
      <c r="F842" t="s">
        <v>937</v>
      </c>
      <c r="G842" t="s">
        <v>24</v>
      </c>
      <c r="I842">
        <v>247</v>
      </c>
      <c r="J842">
        <v>297</v>
      </c>
      <c r="K842">
        <v>50</v>
      </c>
      <c r="L842">
        <v>0.2024</v>
      </c>
      <c r="M842" t="s">
        <v>3371</v>
      </c>
      <c r="N842">
        <v>842</v>
      </c>
    </row>
    <row r="843" spans="1:14" x14ac:dyDescent="0.25">
      <c r="A843" t="s">
        <v>2611</v>
      </c>
      <c r="B843">
        <v>839</v>
      </c>
      <c r="C843">
        <v>1839</v>
      </c>
      <c r="D843" s="1" t="s">
        <v>952</v>
      </c>
      <c r="F843" t="s">
        <v>937</v>
      </c>
      <c r="G843" t="s">
        <v>24</v>
      </c>
      <c r="I843">
        <v>467</v>
      </c>
      <c r="J843">
        <v>530</v>
      </c>
      <c r="K843">
        <v>63</v>
      </c>
      <c r="L843">
        <v>0.13489999999999999</v>
      </c>
      <c r="M843" t="s">
        <v>3371</v>
      </c>
      <c r="N843">
        <v>843</v>
      </c>
    </row>
    <row r="844" spans="1:14" x14ac:dyDescent="0.25">
      <c r="A844" t="s">
        <v>2612</v>
      </c>
      <c r="B844">
        <v>840</v>
      </c>
      <c r="C844">
        <v>1840</v>
      </c>
      <c r="D844" s="1" t="s">
        <v>953</v>
      </c>
      <c r="F844" t="s">
        <v>937</v>
      </c>
      <c r="G844" t="s">
        <v>24</v>
      </c>
      <c r="I844">
        <v>214</v>
      </c>
      <c r="J844">
        <v>260</v>
      </c>
      <c r="K844">
        <v>46</v>
      </c>
      <c r="L844">
        <v>0.215</v>
      </c>
      <c r="M844" t="s">
        <v>3371</v>
      </c>
      <c r="N844">
        <v>844</v>
      </c>
    </row>
    <row r="845" spans="1:14" x14ac:dyDescent="0.25">
      <c r="A845" t="s">
        <v>2613</v>
      </c>
      <c r="B845">
        <v>841</v>
      </c>
      <c r="C845">
        <v>1841</v>
      </c>
      <c r="D845" s="1" t="s">
        <v>954</v>
      </c>
      <c r="F845" t="s">
        <v>937</v>
      </c>
      <c r="G845" t="s">
        <v>24</v>
      </c>
      <c r="I845">
        <v>324</v>
      </c>
      <c r="J845">
        <v>385</v>
      </c>
      <c r="K845">
        <v>61</v>
      </c>
      <c r="L845">
        <v>0.1883</v>
      </c>
      <c r="M845" t="s">
        <v>3371</v>
      </c>
      <c r="N845">
        <v>845</v>
      </c>
    </row>
    <row r="846" spans="1:14" x14ac:dyDescent="0.25">
      <c r="A846" t="s">
        <v>2614</v>
      </c>
      <c r="B846">
        <v>842</v>
      </c>
      <c r="C846">
        <v>1842</v>
      </c>
      <c r="D846" s="1" t="s">
        <v>955</v>
      </c>
      <c r="F846" t="s">
        <v>937</v>
      </c>
      <c r="G846" t="s">
        <v>24</v>
      </c>
      <c r="I846">
        <v>429</v>
      </c>
      <c r="J846">
        <v>500</v>
      </c>
      <c r="K846">
        <v>71</v>
      </c>
      <c r="L846">
        <v>0.16550000000000001</v>
      </c>
      <c r="M846" t="s">
        <v>3371</v>
      </c>
      <c r="N846">
        <v>846</v>
      </c>
    </row>
    <row r="847" spans="1:14" x14ac:dyDescent="0.25">
      <c r="A847" t="s">
        <v>2615</v>
      </c>
      <c r="B847">
        <v>843</v>
      </c>
      <c r="C847">
        <v>1843</v>
      </c>
      <c r="D847" s="1" t="s">
        <v>956</v>
      </c>
      <c r="F847" t="s">
        <v>937</v>
      </c>
      <c r="G847" t="s">
        <v>24</v>
      </c>
      <c r="I847">
        <v>715</v>
      </c>
      <c r="J847">
        <v>805</v>
      </c>
      <c r="K847">
        <v>90</v>
      </c>
      <c r="L847">
        <v>0.12590000000000001</v>
      </c>
      <c r="M847" t="s">
        <v>3371</v>
      </c>
      <c r="N847">
        <v>847</v>
      </c>
    </row>
    <row r="848" spans="1:14" x14ac:dyDescent="0.25">
      <c r="A848" t="s">
        <v>2616</v>
      </c>
      <c r="B848">
        <v>844</v>
      </c>
      <c r="C848">
        <v>1844</v>
      </c>
      <c r="D848" s="1" t="s">
        <v>957</v>
      </c>
      <c r="F848" t="s">
        <v>937</v>
      </c>
      <c r="G848" t="s">
        <v>24</v>
      </c>
      <c r="I848">
        <v>286</v>
      </c>
      <c r="J848">
        <v>350</v>
      </c>
      <c r="K848">
        <v>64</v>
      </c>
      <c r="L848">
        <v>0.2238</v>
      </c>
      <c r="M848" t="s">
        <v>3371</v>
      </c>
      <c r="N848">
        <v>848</v>
      </c>
    </row>
    <row r="849" spans="1:14" x14ac:dyDescent="0.25">
      <c r="A849" t="s">
        <v>2617</v>
      </c>
      <c r="B849">
        <v>845</v>
      </c>
      <c r="C849">
        <v>1845</v>
      </c>
      <c r="D849" s="1" t="s">
        <v>958</v>
      </c>
      <c r="F849" t="s">
        <v>937</v>
      </c>
      <c r="G849" t="s">
        <v>24</v>
      </c>
      <c r="I849">
        <v>429</v>
      </c>
      <c r="J849">
        <v>490</v>
      </c>
      <c r="K849">
        <v>61</v>
      </c>
      <c r="L849">
        <v>0.14219999999999999</v>
      </c>
      <c r="M849" t="s">
        <v>3371</v>
      </c>
      <c r="N849">
        <v>849</v>
      </c>
    </row>
    <row r="850" spans="1:14" x14ac:dyDescent="0.25">
      <c r="A850" t="s">
        <v>2618</v>
      </c>
      <c r="B850">
        <v>846</v>
      </c>
      <c r="C850">
        <v>1846</v>
      </c>
      <c r="D850" s="1" t="s">
        <v>959</v>
      </c>
      <c r="F850" t="s">
        <v>937</v>
      </c>
      <c r="G850" t="s">
        <v>24</v>
      </c>
      <c r="I850">
        <v>561</v>
      </c>
      <c r="J850">
        <v>646</v>
      </c>
      <c r="K850">
        <v>85</v>
      </c>
      <c r="L850">
        <v>0.1515</v>
      </c>
      <c r="M850" t="s">
        <v>3371</v>
      </c>
      <c r="N850">
        <v>850</v>
      </c>
    </row>
    <row r="851" spans="1:14" x14ac:dyDescent="0.25">
      <c r="A851" t="s">
        <v>2619</v>
      </c>
      <c r="B851">
        <v>847</v>
      </c>
      <c r="C851">
        <v>1847</v>
      </c>
      <c r="D851" s="1" t="s">
        <v>960</v>
      </c>
      <c r="F851" t="s">
        <v>937</v>
      </c>
      <c r="G851" t="s">
        <v>24</v>
      </c>
      <c r="I851">
        <v>929</v>
      </c>
      <c r="J851">
        <v>1020</v>
      </c>
      <c r="K851">
        <v>91</v>
      </c>
      <c r="L851">
        <v>9.8000000000000004E-2</v>
      </c>
      <c r="M851" t="s">
        <v>3371</v>
      </c>
      <c r="N851">
        <v>851</v>
      </c>
    </row>
    <row r="852" spans="1:14" x14ac:dyDescent="0.25">
      <c r="A852" t="s">
        <v>2620</v>
      </c>
      <c r="B852">
        <v>848</v>
      </c>
      <c r="C852">
        <v>1848</v>
      </c>
      <c r="D852" s="1" t="s">
        <v>961</v>
      </c>
      <c r="E852" t="s">
        <v>789</v>
      </c>
      <c r="G852" t="s">
        <v>24</v>
      </c>
      <c r="I852">
        <v>593</v>
      </c>
      <c r="J852">
        <v>700</v>
      </c>
      <c r="K852">
        <v>107</v>
      </c>
      <c r="L852">
        <v>0.1804</v>
      </c>
      <c r="M852" t="s">
        <v>3371</v>
      </c>
      <c r="N852">
        <v>852</v>
      </c>
    </row>
    <row r="853" spans="1:14" x14ac:dyDescent="0.25">
      <c r="A853" t="s">
        <v>2621</v>
      </c>
      <c r="B853">
        <v>849</v>
      </c>
      <c r="C853">
        <v>1849</v>
      </c>
      <c r="D853" s="1" t="s">
        <v>962</v>
      </c>
      <c r="G853" t="s">
        <v>24</v>
      </c>
      <c r="I853">
        <v>22</v>
      </c>
      <c r="J853">
        <v>35</v>
      </c>
      <c r="K853">
        <v>13</v>
      </c>
      <c r="L853">
        <v>0.59089999999999998</v>
      </c>
      <c r="M853" t="s">
        <v>3371</v>
      </c>
      <c r="N853">
        <v>853</v>
      </c>
    </row>
    <row r="854" spans="1:14" x14ac:dyDescent="0.25">
      <c r="A854" t="s">
        <v>2622</v>
      </c>
      <c r="B854">
        <v>850</v>
      </c>
      <c r="C854">
        <v>1850</v>
      </c>
      <c r="D854" s="1" t="s">
        <v>963</v>
      </c>
      <c r="G854" t="s">
        <v>24</v>
      </c>
      <c r="I854">
        <v>27</v>
      </c>
      <c r="J854">
        <v>40</v>
      </c>
      <c r="K854">
        <v>13</v>
      </c>
      <c r="L854">
        <v>0.48149999999999998</v>
      </c>
      <c r="M854" t="s">
        <v>3371</v>
      </c>
      <c r="N854">
        <v>854</v>
      </c>
    </row>
    <row r="855" spans="1:14" x14ac:dyDescent="0.25">
      <c r="A855" t="s">
        <v>2623</v>
      </c>
      <c r="B855">
        <v>851</v>
      </c>
      <c r="C855">
        <v>1851</v>
      </c>
      <c r="D855" s="1" t="s">
        <v>964</v>
      </c>
      <c r="G855" t="s">
        <v>24</v>
      </c>
      <c r="I855">
        <v>112</v>
      </c>
      <c r="J855">
        <v>155</v>
      </c>
      <c r="K855">
        <v>43</v>
      </c>
      <c r="L855">
        <v>0.38390000000000002</v>
      </c>
      <c r="M855" t="s">
        <v>3372</v>
      </c>
      <c r="N855">
        <v>855</v>
      </c>
    </row>
    <row r="856" spans="1:14" x14ac:dyDescent="0.25">
      <c r="A856" t="s">
        <v>2624</v>
      </c>
      <c r="B856">
        <v>852</v>
      </c>
      <c r="C856">
        <v>1852</v>
      </c>
      <c r="D856" s="1" t="s">
        <v>965</v>
      </c>
      <c r="E856" t="s">
        <v>386</v>
      </c>
      <c r="G856" t="s">
        <v>24</v>
      </c>
      <c r="I856">
        <v>55</v>
      </c>
      <c r="J856">
        <v>85</v>
      </c>
      <c r="K856">
        <v>30</v>
      </c>
      <c r="L856">
        <v>0.54549999999999998</v>
      </c>
      <c r="M856" t="s">
        <v>3372</v>
      </c>
      <c r="N856">
        <v>856</v>
      </c>
    </row>
    <row r="857" spans="1:14" x14ac:dyDescent="0.25">
      <c r="A857" t="s">
        <v>2625</v>
      </c>
      <c r="B857">
        <v>853</v>
      </c>
      <c r="C857">
        <v>1853</v>
      </c>
      <c r="D857" s="1" t="s">
        <v>966</v>
      </c>
      <c r="E857" t="s">
        <v>967</v>
      </c>
      <c r="G857" t="s">
        <v>24</v>
      </c>
      <c r="I857">
        <v>25</v>
      </c>
      <c r="J857">
        <v>50</v>
      </c>
      <c r="K857">
        <v>25</v>
      </c>
      <c r="L857">
        <v>1</v>
      </c>
      <c r="M857" t="s">
        <v>3372</v>
      </c>
      <c r="N857">
        <v>857</v>
      </c>
    </row>
    <row r="858" spans="1:14" x14ac:dyDescent="0.25">
      <c r="A858" t="s">
        <v>2626</v>
      </c>
      <c r="B858">
        <v>854</v>
      </c>
      <c r="C858">
        <v>1854</v>
      </c>
      <c r="D858" s="1" t="s">
        <v>968</v>
      </c>
      <c r="E858" t="s">
        <v>969</v>
      </c>
      <c r="G858" t="s">
        <v>24</v>
      </c>
      <c r="I858">
        <v>200</v>
      </c>
      <c r="J858">
        <v>265</v>
      </c>
      <c r="K858">
        <v>65</v>
      </c>
      <c r="L858">
        <v>0.32500000000000001</v>
      </c>
      <c r="M858" t="s">
        <v>3372</v>
      </c>
      <c r="N858">
        <v>858</v>
      </c>
    </row>
    <row r="859" spans="1:14" x14ac:dyDescent="0.25">
      <c r="A859" t="s">
        <v>2627</v>
      </c>
      <c r="B859">
        <v>855</v>
      </c>
      <c r="C859">
        <v>1855</v>
      </c>
      <c r="D859" s="1" t="s">
        <v>970</v>
      </c>
      <c r="E859" t="s">
        <v>969</v>
      </c>
      <c r="G859" t="s">
        <v>24</v>
      </c>
      <c r="I859">
        <v>123</v>
      </c>
      <c r="J859">
        <v>175</v>
      </c>
      <c r="K859">
        <v>52</v>
      </c>
      <c r="L859">
        <v>0.42280000000000001</v>
      </c>
      <c r="M859" t="s">
        <v>3372</v>
      </c>
      <c r="N859">
        <v>859</v>
      </c>
    </row>
    <row r="860" spans="1:14" x14ac:dyDescent="0.25">
      <c r="A860" t="s">
        <v>2628</v>
      </c>
      <c r="B860">
        <v>856</v>
      </c>
      <c r="C860">
        <v>1856</v>
      </c>
      <c r="D860" s="1" t="s">
        <v>971</v>
      </c>
      <c r="E860" t="s">
        <v>972</v>
      </c>
      <c r="G860" t="s">
        <v>24</v>
      </c>
      <c r="I860">
        <v>81</v>
      </c>
      <c r="J860">
        <v>120</v>
      </c>
      <c r="K860">
        <v>39</v>
      </c>
      <c r="L860">
        <v>0.48149999999999998</v>
      </c>
      <c r="M860" t="s">
        <v>3372</v>
      </c>
      <c r="N860">
        <v>860</v>
      </c>
    </row>
    <row r="861" spans="1:14" x14ac:dyDescent="0.25">
      <c r="A861" t="s">
        <v>2629</v>
      </c>
      <c r="B861">
        <v>857</v>
      </c>
      <c r="C861">
        <v>1857</v>
      </c>
      <c r="D861" s="1" t="s">
        <v>973</v>
      </c>
      <c r="E861" t="s">
        <v>972</v>
      </c>
      <c r="G861" t="s">
        <v>24</v>
      </c>
      <c r="I861">
        <v>40.5</v>
      </c>
      <c r="J861">
        <v>60</v>
      </c>
      <c r="K861">
        <v>19.5</v>
      </c>
      <c r="L861">
        <v>0.48149999999999998</v>
      </c>
      <c r="M861" t="s">
        <v>3372</v>
      </c>
      <c r="N861">
        <v>861</v>
      </c>
    </row>
    <row r="862" spans="1:14" x14ac:dyDescent="0.25">
      <c r="A862" t="s">
        <v>2630</v>
      </c>
      <c r="B862">
        <v>858</v>
      </c>
      <c r="C862">
        <v>1858</v>
      </c>
      <c r="D862" s="1" t="s">
        <v>974</v>
      </c>
      <c r="E862" t="s">
        <v>975</v>
      </c>
      <c r="G862" t="s">
        <v>24</v>
      </c>
      <c r="I862">
        <v>536</v>
      </c>
      <c r="J862">
        <v>640</v>
      </c>
      <c r="K862">
        <v>104</v>
      </c>
      <c r="L862">
        <v>0.19400000000000001</v>
      </c>
      <c r="M862" t="s">
        <v>3372</v>
      </c>
      <c r="N862">
        <v>862</v>
      </c>
    </row>
    <row r="863" spans="1:14" x14ac:dyDescent="0.25">
      <c r="A863" t="s">
        <v>2631</v>
      </c>
      <c r="B863">
        <v>859</v>
      </c>
      <c r="C863">
        <v>1859</v>
      </c>
      <c r="D863" s="1" t="s">
        <v>976</v>
      </c>
      <c r="E863" t="s">
        <v>84</v>
      </c>
      <c r="G863" t="s">
        <v>24</v>
      </c>
      <c r="I863">
        <v>183</v>
      </c>
      <c r="J863">
        <v>275</v>
      </c>
      <c r="K863">
        <v>92</v>
      </c>
      <c r="L863">
        <v>0.50270000000000004</v>
      </c>
      <c r="M863" t="s">
        <v>3372</v>
      </c>
      <c r="N863">
        <v>863</v>
      </c>
    </row>
    <row r="864" spans="1:14" x14ac:dyDescent="0.25">
      <c r="A864" t="s">
        <v>2632</v>
      </c>
      <c r="B864">
        <v>860</v>
      </c>
      <c r="C864">
        <v>1860</v>
      </c>
      <c r="D864" s="1" t="s">
        <v>977</v>
      </c>
      <c r="E864" t="s">
        <v>84</v>
      </c>
      <c r="G864" t="s">
        <v>24</v>
      </c>
      <c r="I864">
        <v>562</v>
      </c>
      <c r="J864">
        <v>685</v>
      </c>
      <c r="K864">
        <v>123</v>
      </c>
      <c r="L864">
        <v>0.21890000000000001</v>
      </c>
      <c r="M864" t="s">
        <v>3372</v>
      </c>
      <c r="N864">
        <v>864</v>
      </c>
    </row>
    <row r="865" spans="1:14" x14ac:dyDescent="0.25">
      <c r="A865" t="s">
        <v>2633</v>
      </c>
      <c r="B865">
        <v>861</v>
      </c>
      <c r="C865">
        <v>1861</v>
      </c>
      <c r="D865" s="1" t="s">
        <v>978</v>
      </c>
      <c r="E865" t="s">
        <v>84</v>
      </c>
      <c r="G865" t="s">
        <v>24</v>
      </c>
      <c r="I865">
        <v>46</v>
      </c>
      <c r="J865">
        <v>75</v>
      </c>
      <c r="K865">
        <v>29</v>
      </c>
      <c r="L865">
        <v>0.63039999999999996</v>
      </c>
      <c r="M865" t="s">
        <v>3372</v>
      </c>
      <c r="N865">
        <v>865</v>
      </c>
    </row>
    <row r="866" spans="1:14" x14ac:dyDescent="0.25">
      <c r="A866" t="s">
        <v>2634</v>
      </c>
      <c r="B866">
        <v>862</v>
      </c>
      <c r="C866">
        <v>1862</v>
      </c>
      <c r="D866" s="1" t="s">
        <v>979</v>
      </c>
      <c r="G866" t="s">
        <v>24</v>
      </c>
      <c r="I866">
        <v>51</v>
      </c>
      <c r="J866">
        <v>75</v>
      </c>
      <c r="K866">
        <v>24</v>
      </c>
      <c r="L866">
        <v>0.47060000000000002</v>
      </c>
      <c r="M866" t="s">
        <v>3372</v>
      </c>
      <c r="N866">
        <v>866</v>
      </c>
    </row>
    <row r="867" spans="1:14" x14ac:dyDescent="0.25">
      <c r="A867" t="s">
        <v>2635</v>
      </c>
      <c r="B867">
        <v>863</v>
      </c>
      <c r="C867">
        <v>1863</v>
      </c>
      <c r="D867" s="1" t="s">
        <v>980</v>
      </c>
      <c r="F867" t="s">
        <v>981</v>
      </c>
      <c r="G867" t="s">
        <v>24</v>
      </c>
      <c r="I867">
        <v>22</v>
      </c>
      <c r="J867">
        <v>45</v>
      </c>
      <c r="K867">
        <v>23</v>
      </c>
      <c r="L867">
        <v>1.0455000000000001</v>
      </c>
      <c r="M867" t="s">
        <v>3372</v>
      </c>
      <c r="N867">
        <v>867</v>
      </c>
    </row>
    <row r="868" spans="1:14" x14ac:dyDescent="0.25">
      <c r="A868" t="s">
        <v>2636</v>
      </c>
      <c r="B868">
        <v>864</v>
      </c>
      <c r="C868">
        <v>1864</v>
      </c>
      <c r="D868" s="1" t="s">
        <v>982</v>
      </c>
      <c r="G868" t="s">
        <v>176</v>
      </c>
      <c r="I868">
        <v>287.5</v>
      </c>
      <c r="J868">
        <v>450</v>
      </c>
      <c r="K868">
        <v>162.5</v>
      </c>
      <c r="L868">
        <v>0.56520000000000004</v>
      </c>
      <c r="M868" t="s">
        <v>3372</v>
      </c>
      <c r="N868">
        <v>868</v>
      </c>
    </row>
    <row r="869" spans="1:14" x14ac:dyDescent="0.25">
      <c r="A869" t="s">
        <v>2637</v>
      </c>
      <c r="B869">
        <v>865</v>
      </c>
      <c r="C869">
        <v>1865</v>
      </c>
      <c r="D869" s="1" t="s">
        <v>983</v>
      </c>
      <c r="G869" t="s">
        <v>24</v>
      </c>
      <c r="I869">
        <v>64</v>
      </c>
      <c r="J869">
        <v>90</v>
      </c>
      <c r="K869">
        <v>26</v>
      </c>
      <c r="L869">
        <v>0.40629999999999999</v>
      </c>
      <c r="M869" t="s">
        <v>3372</v>
      </c>
      <c r="N869">
        <v>869</v>
      </c>
    </row>
    <row r="870" spans="1:14" x14ac:dyDescent="0.25">
      <c r="A870" t="s">
        <v>2638</v>
      </c>
      <c r="B870">
        <v>866</v>
      </c>
      <c r="C870">
        <v>1866</v>
      </c>
      <c r="D870" s="1" t="s">
        <v>984</v>
      </c>
      <c r="G870" t="s">
        <v>24</v>
      </c>
      <c r="I870">
        <v>40</v>
      </c>
      <c r="J870">
        <v>65</v>
      </c>
      <c r="K870">
        <v>25</v>
      </c>
      <c r="L870">
        <v>0.625</v>
      </c>
      <c r="M870" t="s">
        <v>3372</v>
      </c>
      <c r="N870">
        <v>870</v>
      </c>
    </row>
    <row r="871" spans="1:14" x14ac:dyDescent="0.25">
      <c r="A871" t="s">
        <v>2639</v>
      </c>
      <c r="B871">
        <v>867</v>
      </c>
      <c r="C871">
        <v>1867</v>
      </c>
      <c r="D871" s="1" t="s">
        <v>985</v>
      </c>
      <c r="G871" t="s">
        <v>24</v>
      </c>
      <c r="I871">
        <v>30</v>
      </c>
      <c r="J871">
        <v>40</v>
      </c>
      <c r="K871">
        <v>10</v>
      </c>
      <c r="L871">
        <v>0.33329999999999999</v>
      </c>
      <c r="M871" t="s">
        <v>3372</v>
      </c>
      <c r="N871">
        <v>871</v>
      </c>
    </row>
    <row r="872" spans="1:14" x14ac:dyDescent="0.25">
      <c r="A872" t="s">
        <v>2640</v>
      </c>
      <c r="B872">
        <v>868</v>
      </c>
      <c r="C872">
        <v>1868</v>
      </c>
      <c r="D872" s="1" t="s">
        <v>986</v>
      </c>
      <c r="G872" t="s">
        <v>24</v>
      </c>
      <c r="I872">
        <v>20</v>
      </c>
      <c r="J872">
        <v>45</v>
      </c>
      <c r="K872">
        <v>25</v>
      </c>
      <c r="L872">
        <v>1.25</v>
      </c>
      <c r="M872" t="s">
        <v>3372</v>
      </c>
      <c r="N872">
        <v>872</v>
      </c>
    </row>
    <row r="873" spans="1:14" x14ac:dyDescent="0.25">
      <c r="A873" t="s">
        <v>2641</v>
      </c>
      <c r="B873">
        <v>869</v>
      </c>
      <c r="C873">
        <v>1869</v>
      </c>
      <c r="D873" s="1" t="s">
        <v>987</v>
      </c>
      <c r="G873" t="s">
        <v>24</v>
      </c>
      <c r="I873">
        <v>80</v>
      </c>
      <c r="J873">
        <v>120</v>
      </c>
      <c r="K873">
        <v>40</v>
      </c>
      <c r="L873">
        <v>0.5</v>
      </c>
      <c r="M873" t="s">
        <v>3372</v>
      </c>
      <c r="N873">
        <v>873</v>
      </c>
    </row>
    <row r="874" spans="1:14" x14ac:dyDescent="0.25">
      <c r="A874" t="s">
        <v>2642</v>
      </c>
      <c r="B874">
        <v>870</v>
      </c>
      <c r="C874">
        <v>1870</v>
      </c>
      <c r="D874" s="1" t="s">
        <v>988</v>
      </c>
      <c r="E874" t="s">
        <v>989</v>
      </c>
      <c r="G874" t="s">
        <v>24</v>
      </c>
      <c r="I874">
        <v>25</v>
      </c>
      <c r="J874">
        <v>50</v>
      </c>
      <c r="K874">
        <v>25</v>
      </c>
      <c r="L874">
        <v>1</v>
      </c>
      <c r="M874" t="s">
        <v>3372</v>
      </c>
      <c r="N874">
        <v>874</v>
      </c>
    </row>
    <row r="875" spans="1:14" x14ac:dyDescent="0.25">
      <c r="A875" t="s">
        <v>2643</v>
      </c>
      <c r="B875">
        <v>871</v>
      </c>
      <c r="C875">
        <v>1871</v>
      </c>
      <c r="D875" s="1" t="s">
        <v>990</v>
      </c>
      <c r="G875" t="s">
        <v>24</v>
      </c>
      <c r="I875">
        <v>170</v>
      </c>
      <c r="J875">
        <v>220</v>
      </c>
      <c r="K875">
        <v>50</v>
      </c>
      <c r="L875">
        <v>0.29409999999999997</v>
      </c>
      <c r="M875" t="s">
        <v>3372</v>
      </c>
      <c r="N875">
        <v>875</v>
      </c>
    </row>
    <row r="876" spans="1:14" x14ac:dyDescent="0.25">
      <c r="A876" t="s">
        <v>2644</v>
      </c>
      <c r="B876">
        <v>872</v>
      </c>
      <c r="C876">
        <v>1872</v>
      </c>
      <c r="D876" s="1" t="s">
        <v>991</v>
      </c>
      <c r="E876" t="s">
        <v>345</v>
      </c>
      <c r="G876" t="s">
        <v>24</v>
      </c>
      <c r="I876">
        <v>49</v>
      </c>
      <c r="J876">
        <v>75</v>
      </c>
      <c r="K876">
        <v>26</v>
      </c>
      <c r="L876">
        <v>0.53059999999999996</v>
      </c>
      <c r="M876" t="s">
        <v>3372</v>
      </c>
      <c r="N876">
        <v>876</v>
      </c>
    </row>
    <row r="877" spans="1:14" x14ac:dyDescent="0.25">
      <c r="A877" t="s">
        <v>2645</v>
      </c>
      <c r="B877">
        <v>873</v>
      </c>
      <c r="C877">
        <v>1873</v>
      </c>
      <c r="D877" s="1" t="s">
        <v>992</v>
      </c>
      <c r="G877" t="s">
        <v>24</v>
      </c>
      <c r="I877">
        <v>15</v>
      </c>
      <c r="J877">
        <v>30</v>
      </c>
      <c r="K877">
        <v>15</v>
      </c>
      <c r="L877">
        <v>1</v>
      </c>
      <c r="M877" t="s">
        <v>3372</v>
      </c>
      <c r="N877">
        <v>877</v>
      </c>
    </row>
    <row r="878" spans="1:14" x14ac:dyDescent="0.25">
      <c r="A878" t="s">
        <v>2646</v>
      </c>
      <c r="B878">
        <v>874</v>
      </c>
      <c r="C878">
        <v>1874</v>
      </c>
      <c r="D878" s="1" t="s">
        <v>993</v>
      </c>
      <c r="G878" t="s">
        <v>994</v>
      </c>
      <c r="I878">
        <v>221</v>
      </c>
      <c r="J878">
        <v>255</v>
      </c>
      <c r="K878">
        <v>34</v>
      </c>
      <c r="L878">
        <v>0.15379999999999999</v>
      </c>
      <c r="M878" t="s">
        <v>3372</v>
      </c>
      <c r="N878">
        <v>878</v>
      </c>
    </row>
    <row r="879" spans="1:14" x14ac:dyDescent="0.25">
      <c r="A879" t="s">
        <v>2647</v>
      </c>
      <c r="B879">
        <v>875</v>
      </c>
      <c r="C879">
        <v>1875</v>
      </c>
      <c r="D879" s="1" t="s">
        <v>995</v>
      </c>
      <c r="E879" t="s">
        <v>114</v>
      </c>
      <c r="G879" t="s">
        <v>24</v>
      </c>
      <c r="I879">
        <v>305</v>
      </c>
      <c r="J879">
        <v>430</v>
      </c>
      <c r="K879">
        <v>125</v>
      </c>
      <c r="L879">
        <v>0.4098</v>
      </c>
      <c r="M879" t="s">
        <v>3372</v>
      </c>
      <c r="N879">
        <v>879</v>
      </c>
    </row>
    <row r="880" spans="1:14" x14ac:dyDescent="0.25">
      <c r="A880" t="s">
        <v>2648</v>
      </c>
      <c r="B880">
        <v>876</v>
      </c>
      <c r="C880">
        <v>1876</v>
      </c>
      <c r="D880" s="1" t="s">
        <v>996</v>
      </c>
      <c r="E880" t="s">
        <v>114</v>
      </c>
      <c r="G880" t="s">
        <v>24</v>
      </c>
      <c r="I880">
        <v>385</v>
      </c>
      <c r="J880">
        <v>485</v>
      </c>
      <c r="K880">
        <v>100</v>
      </c>
      <c r="L880">
        <v>0.25969999999999999</v>
      </c>
      <c r="M880" t="s">
        <v>3372</v>
      </c>
      <c r="N880">
        <v>880</v>
      </c>
    </row>
    <row r="881" spans="1:14" x14ac:dyDescent="0.25">
      <c r="A881" t="s">
        <v>2649</v>
      </c>
      <c r="B881">
        <v>877</v>
      </c>
      <c r="C881">
        <v>1877</v>
      </c>
      <c r="D881" s="1" t="s">
        <v>997</v>
      </c>
      <c r="E881" t="s">
        <v>114</v>
      </c>
      <c r="G881" t="s">
        <v>24</v>
      </c>
      <c r="I881">
        <v>458</v>
      </c>
      <c r="J881">
        <v>560</v>
      </c>
      <c r="K881">
        <v>102</v>
      </c>
      <c r="L881">
        <v>0.22270000000000001</v>
      </c>
      <c r="M881" t="s">
        <v>3372</v>
      </c>
      <c r="N881">
        <v>881</v>
      </c>
    </row>
    <row r="882" spans="1:14" x14ac:dyDescent="0.25">
      <c r="A882" t="s">
        <v>2650</v>
      </c>
      <c r="B882">
        <v>878</v>
      </c>
      <c r="C882">
        <v>1878</v>
      </c>
      <c r="D882" s="1" t="s">
        <v>998</v>
      </c>
      <c r="E882" t="s">
        <v>999</v>
      </c>
      <c r="G882" t="s">
        <v>55</v>
      </c>
      <c r="I882">
        <v>64.88</v>
      </c>
      <c r="J882">
        <v>78</v>
      </c>
      <c r="K882">
        <v>13.13</v>
      </c>
      <c r="L882">
        <v>0.20230000000000001</v>
      </c>
      <c r="M882" t="s">
        <v>3372</v>
      </c>
      <c r="N882">
        <v>882</v>
      </c>
    </row>
    <row r="883" spans="1:14" x14ac:dyDescent="0.25">
      <c r="A883" t="s">
        <v>2651</v>
      </c>
      <c r="B883">
        <v>879</v>
      </c>
      <c r="C883">
        <v>1879</v>
      </c>
      <c r="D883" s="1" t="s">
        <v>1000</v>
      </c>
      <c r="G883" t="s">
        <v>24</v>
      </c>
      <c r="I883">
        <v>45</v>
      </c>
      <c r="J883">
        <v>75</v>
      </c>
      <c r="K883">
        <v>30</v>
      </c>
      <c r="L883">
        <v>0.66669999999999996</v>
      </c>
      <c r="M883" t="s">
        <v>3372</v>
      </c>
      <c r="N883">
        <v>883</v>
      </c>
    </row>
    <row r="884" spans="1:14" x14ac:dyDescent="0.25">
      <c r="A884" t="s">
        <v>2652</v>
      </c>
      <c r="B884">
        <v>880</v>
      </c>
      <c r="C884">
        <v>1880</v>
      </c>
      <c r="D884" s="1" t="s">
        <v>1001</v>
      </c>
      <c r="G884" t="s">
        <v>24</v>
      </c>
      <c r="I884">
        <v>48</v>
      </c>
      <c r="J884">
        <v>95</v>
      </c>
      <c r="K884">
        <v>47</v>
      </c>
      <c r="L884">
        <v>0.97919999999999996</v>
      </c>
      <c r="M884" t="s">
        <v>3372</v>
      </c>
      <c r="N884">
        <v>884</v>
      </c>
    </row>
    <row r="885" spans="1:14" x14ac:dyDescent="0.25">
      <c r="A885" t="s">
        <v>2653</v>
      </c>
      <c r="B885">
        <v>881</v>
      </c>
      <c r="C885">
        <v>1881</v>
      </c>
      <c r="D885" s="1" t="s">
        <v>1002</v>
      </c>
      <c r="E885" t="s">
        <v>1003</v>
      </c>
      <c r="G885" t="s">
        <v>24</v>
      </c>
      <c r="I885">
        <v>64.75</v>
      </c>
      <c r="J885">
        <v>90</v>
      </c>
      <c r="K885">
        <v>25.25</v>
      </c>
      <c r="L885">
        <v>0.39</v>
      </c>
      <c r="M885" t="s">
        <v>3372</v>
      </c>
      <c r="N885">
        <v>885</v>
      </c>
    </row>
    <row r="886" spans="1:14" x14ac:dyDescent="0.25">
      <c r="A886" t="s">
        <v>2654</v>
      </c>
      <c r="B886">
        <v>882</v>
      </c>
      <c r="C886">
        <v>1882</v>
      </c>
      <c r="D886" s="1" t="s">
        <v>1004</v>
      </c>
      <c r="E886" t="s">
        <v>90</v>
      </c>
      <c r="G886" t="s">
        <v>24</v>
      </c>
      <c r="I886">
        <v>635</v>
      </c>
      <c r="J886">
        <v>840</v>
      </c>
      <c r="K886">
        <v>205</v>
      </c>
      <c r="L886">
        <v>0.32279999999999998</v>
      </c>
      <c r="M886" t="s">
        <v>3372</v>
      </c>
      <c r="N886">
        <v>886</v>
      </c>
    </row>
    <row r="887" spans="1:14" x14ac:dyDescent="0.25">
      <c r="A887" t="s">
        <v>2655</v>
      </c>
      <c r="B887">
        <v>883</v>
      </c>
      <c r="C887">
        <v>1883</v>
      </c>
      <c r="D887" s="1" t="s">
        <v>1005</v>
      </c>
      <c r="G887" t="s">
        <v>24</v>
      </c>
      <c r="I887">
        <v>135</v>
      </c>
      <c r="J887">
        <v>165</v>
      </c>
      <c r="K887">
        <v>30</v>
      </c>
      <c r="L887">
        <v>0.22220000000000001</v>
      </c>
      <c r="M887" t="s">
        <v>3372</v>
      </c>
      <c r="N887">
        <v>887</v>
      </c>
    </row>
    <row r="888" spans="1:14" x14ac:dyDescent="0.25">
      <c r="A888" t="s">
        <v>2656</v>
      </c>
      <c r="B888">
        <v>884</v>
      </c>
      <c r="C888">
        <v>1884</v>
      </c>
      <c r="D888" s="1" t="s">
        <v>1006</v>
      </c>
      <c r="G888" t="s">
        <v>24</v>
      </c>
      <c r="I888">
        <v>138.6</v>
      </c>
      <c r="J888">
        <v>163.6</v>
      </c>
      <c r="K888">
        <v>25</v>
      </c>
      <c r="L888">
        <v>0.1804</v>
      </c>
      <c r="M888" t="s">
        <v>3372</v>
      </c>
      <c r="N888">
        <v>888</v>
      </c>
    </row>
    <row r="889" spans="1:14" x14ac:dyDescent="0.25">
      <c r="A889" t="s">
        <v>2657</v>
      </c>
      <c r="B889">
        <v>885</v>
      </c>
      <c r="C889">
        <v>1885</v>
      </c>
      <c r="D889" s="1" t="s">
        <v>1007</v>
      </c>
      <c r="G889" t="s">
        <v>1008</v>
      </c>
      <c r="I889">
        <v>50</v>
      </c>
      <c r="J889">
        <v>80</v>
      </c>
      <c r="K889">
        <v>30</v>
      </c>
      <c r="L889">
        <v>0.6</v>
      </c>
      <c r="M889" t="s">
        <v>3372</v>
      </c>
      <c r="N889">
        <v>889</v>
      </c>
    </row>
    <row r="890" spans="1:14" x14ac:dyDescent="0.25">
      <c r="A890" t="s">
        <v>2658</v>
      </c>
      <c r="B890">
        <v>886</v>
      </c>
      <c r="C890">
        <v>1886</v>
      </c>
      <c r="D890" s="1" t="s">
        <v>1009</v>
      </c>
      <c r="G890" t="s">
        <v>1008</v>
      </c>
      <c r="I890">
        <v>70</v>
      </c>
      <c r="J890">
        <v>100</v>
      </c>
      <c r="K890">
        <v>30</v>
      </c>
      <c r="L890">
        <v>0.42859999999999998</v>
      </c>
      <c r="M890" t="s">
        <v>3372</v>
      </c>
      <c r="N890">
        <v>890</v>
      </c>
    </row>
    <row r="891" spans="1:14" x14ac:dyDescent="0.25">
      <c r="A891" t="s">
        <v>2659</v>
      </c>
      <c r="B891">
        <v>887</v>
      </c>
      <c r="C891">
        <v>1887</v>
      </c>
      <c r="D891" s="1" t="s">
        <v>1010</v>
      </c>
      <c r="G891" t="s">
        <v>24</v>
      </c>
      <c r="I891">
        <v>82.5</v>
      </c>
      <c r="J891">
        <v>165</v>
      </c>
      <c r="K891">
        <v>82.5</v>
      </c>
      <c r="L891">
        <v>1</v>
      </c>
      <c r="M891" t="s">
        <v>3372</v>
      </c>
      <c r="N891">
        <v>891</v>
      </c>
    </row>
    <row r="892" spans="1:14" x14ac:dyDescent="0.25">
      <c r="A892" t="s">
        <v>2660</v>
      </c>
      <c r="B892">
        <v>888</v>
      </c>
      <c r="C892">
        <v>1888</v>
      </c>
      <c r="D892" s="1" t="s">
        <v>1011</v>
      </c>
      <c r="G892" t="s">
        <v>24</v>
      </c>
      <c r="I892">
        <v>765</v>
      </c>
      <c r="J892">
        <v>895</v>
      </c>
      <c r="K892">
        <v>130</v>
      </c>
      <c r="L892">
        <v>0.1699</v>
      </c>
      <c r="M892" t="s">
        <v>3372</v>
      </c>
      <c r="N892">
        <v>892</v>
      </c>
    </row>
    <row r="893" spans="1:14" x14ac:dyDescent="0.25">
      <c r="A893" t="s">
        <v>2661</v>
      </c>
      <c r="B893">
        <v>889</v>
      </c>
      <c r="C893">
        <v>1889</v>
      </c>
      <c r="D893" s="1" t="s">
        <v>1012</v>
      </c>
      <c r="G893" t="s">
        <v>24</v>
      </c>
      <c r="I893">
        <v>180</v>
      </c>
      <c r="J893">
        <v>295</v>
      </c>
      <c r="K893">
        <v>115</v>
      </c>
      <c r="L893">
        <v>0.63890000000000002</v>
      </c>
      <c r="M893" t="s">
        <v>3372</v>
      </c>
      <c r="N893">
        <v>893</v>
      </c>
    </row>
    <row r="894" spans="1:14" x14ac:dyDescent="0.25">
      <c r="A894" t="s">
        <v>2662</v>
      </c>
      <c r="B894">
        <v>890</v>
      </c>
      <c r="C894">
        <v>1890</v>
      </c>
      <c r="D894" s="1" t="s">
        <v>1013</v>
      </c>
      <c r="E894" t="s">
        <v>544</v>
      </c>
      <c r="G894" t="s">
        <v>24</v>
      </c>
      <c r="I894">
        <v>35</v>
      </c>
      <c r="J894">
        <v>75</v>
      </c>
      <c r="K894">
        <v>40</v>
      </c>
      <c r="L894">
        <v>1.1429</v>
      </c>
      <c r="M894" t="s">
        <v>3372</v>
      </c>
      <c r="N894">
        <v>894</v>
      </c>
    </row>
    <row r="895" spans="1:14" x14ac:dyDescent="0.25">
      <c r="A895" t="s">
        <v>2663</v>
      </c>
      <c r="B895">
        <v>891</v>
      </c>
      <c r="C895">
        <v>1891</v>
      </c>
      <c r="D895" s="1" t="s">
        <v>1014</v>
      </c>
      <c r="E895" t="s">
        <v>544</v>
      </c>
      <c r="G895" t="s">
        <v>24</v>
      </c>
      <c r="I895">
        <v>35</v>
      </c>
      <c r="J895">
        <v>75</v>
      </c>
      <c r="K895">
        <v>40</v>
      </c>
      <c r="L895">
        <v>1.1429</v>
      </c>
      <c r="M895" t="s">
        <v>3372</v>
      </c>
      <c r="N895">
        <v>895</v>
      </c>
    </row>
    <row r="896" spans="1:14" x14ac:dyDescent="0.25">
      <c r="A896" t="s">
        <v>2664</v>
      </c>
      <c r="B896">
        <v>892</v>
      </c>
      <c r="C896">
        <v>1892</v>
      </c>
      <c r="D896" s="1" t="s">
        <v>1015</v>
      </c>
      <c r="E896" t="s">
        <v>544</v>
      </c>
      <c r="G896" t="s">
        <v>24</v>
      </c>
      <c r="I896">
        <v>35</v>
      </c>
      <c r="J896">
        <v>75</v>
      </c>
      <c r="K896">
        <v>40</v>
      </c>
      <c r="L896">
        <v>1.1429</v>
      </c>
      <c r="M896" t="s">
        <v>3372</v>
      </c>
      <c r="N896">
        <v>896</v>
      </c>
    </row>
    <row r="897" spans="1:14" x14ac:dyDescent="0.25">
      <c r="A897" t="s">
        <v>2665</v>
      </c>
      <c r="B897">
        <v>893</v>
      </c>
      <c r="C897">
        <v>1893</v>
      </c>
      <c r="D897" s="1" t="s">
        <v>1016</v>
      </c>
      <c r="E897" t="s">
        <v>544</v>
      </c>
      <c r="G897" t="s">
        <v>24</v>
      </c>
      <c r="I897">
        <v>35</v>
      </c>
      <c r="J897">
        <v>75</v>
      </c>
      <c r="K897">
        <v>40</v>
      </c>
      <c r="L897">
        <v>1.1429</v>
      </c>
      <c r="M897" t="s">
        <v>3372</v>
      </c>
      <c r="N897">
        <v>897</v>
      </c>
    </row>
    <row r="898" spans="1:14" x14ac:dyDescent="0.25">
      <c r="A898" t="s">
        <v>2666</v>
      </c>
      <c r="B898">
        <v>894</v>
      </c>
      <c r="C898">
        <v>1894</v>
      </c>
      <c r="D898" s="1" t="s">
        <v>1017</v>
      </c>
      <c r="E898" t="s">
        <v>544</v>
      </c>
      <c r="G898" t="s">
        <v>24</v>
      </c>
      <c r="I898">
        <v>35</v>
      </c>
      <c r="J898">
        <v>75</v>
      </c>
      <c r="K898">
        <v>40</v>
      </c>
      <c r="L898">
        <v>1.1429</v>
      </c>
      <c r="M898" t="s">
        <v>3372</v>
      </c>
      <c r="N898">
        <v>898</v>
      </c>
    </row>
    <row r="899" spans="1:14" x14ac:dyDescent="0.25">
      <c r="A899" t="s">
        <v>2667</v>
      </c>
      <c r="B899">
        <v>895</v>
      </c>
      <c r="C899">
        <v>1895</v>
      </c>
      <c r="D899" s="1" t="s">
        <v>1018</v>
      </c>
      <c r="E899" t="s">
        <v>544</v>
      </c>
      <c r="G899" t="s">
        <v>24</v>
      </c>
      <c r="I899">
        <v>35</v>
      </c>
      <c r="J899">
        <v>75</v>
      </c>
      <c r="K899">
        <v>40</v>
      </c>
      <c r="L899">
        <v>1.1429</v>
      </c>
      <c r="M899" t="s">
        <v>3372</v>
      </c>
      <c r="N899">
        <v>899</v>
      </c>
    </row>
    <row r="900" spans="1:14" x14ac:dyDescent="0.25">
      <c r="A900" t="s">
        <v>2668</v>
      </c>
      <c r="B900">
        <v>896</v>
      </c>
      <c r="C900">
        <v>1896</v>
      </c>
      <c r="D900" s="1" t="s">
        <v>1019</v>
      </c>
      <c r="E900" t="s">
        <v>544</v>
      </c>
      <c r="G900" t="s">
        <v>24</v>
      </c>
      <c r="I900">
        <v>35</v>
      </c>
      <c r="J900">
        <v>75</v>
      </c>
      <c r="K900">
        <v>40</v>
      </c>
      <c r="L900">
        <v>1.1429</v>
      </c>
      <c r="M900" t="s">
        <v>3372</v>
      </c>
      <c r="N900">
        <v>900</v>
      </c>
    </row>
    <row r="901" spans="1:14" x14ac:dyDescent="0.25">
      <c r="A901" t="s">
        <v>2669</v>
      </c>
      <c r="B901">
        <v>897</v>
      </c>
      <c r="C901">
        <v>1897</v>
      </c>
      <c r="D901" s="1" t="s">
        <v>1020</v>
      </c>
      <c r="G901" t="s">
        <v>55</v>
      </c>
      <c r="I901">
        <v>6.38</v>
      </c>
      <c r="J901">
        <v>15</v>
      </c>
      <c r="K901">
        <v>8.6300000000000008</v>
      </c>
      <c r="L901">
        <v>1.3529</v>
      </c>
      <c r="M901" t="s">
        <v>3372</v>
      </c>
      <c r="N901">
        <v>901</v>
      </c>
    </row>
    <row r="902" spans="1:14" x14ac:dyDescent="0.25">
      <c r="A902" t="s">
        <v>2670</v>
      </c>
      <c r="B902">
        <v>898</v>
      </c>
      <c r="C902">
        <v>1898</v>
      </c>
      <c r="D902" s="1" t="s">
        <v>1021</v>
      </c>
      <c r="G902" t="s">
        <v>24</v>
      </c>
      <c r="I902">
        <v>352.2</v>
      </c>
      <c r="J902">
        <v>378.5</v>
      </c>
      <c r="K902">
        <v>26.3</v>
      </c>
      <c r="L902">
        <v>7.4700000000000003E-2</v>
      </c>
      <c r="M902" t="s">
        <v>3372</v>
      </c>
      <c r="N902">
        <v>902</v>
      </c>
    </row>
    <row r="903" spans="1:14" x14ac:dyDescent="0.25">
      <c r="A903" t="s">
        <v>2671</v>
      </c>
      <c r="B903">
        <v>899</v>
      </c>
      <c r="C903">
        <v>1899</v>
      </c>
      <c r="D903" s="1" t="s">
        <v>1022</v>
      </c>
      <c r="G903" t="s">
        <v>24</v>
      </c>
      <c r="I903">
        <v>215</v>
      </c>
      <c r="J903">
        <v>255</v>
      </c>
      <c r="K903">
        <v>40</v>
      </c>
      <c r="L903">
        <v>0.186</v>
      </c>
      <c r="M903" t="s">
        <v>3372</v>
      </c>
      <c r="N903">
        <v>903</v>
      </c>
    </row>
    <row r="904" spans="1:14" x14ac:dyDescent="0.25">
      <c r="A904" t="s">
        <v>2672</v>
      </c>
      <c r="B904">
        <v>900</v>
      </c>
      <c r="C904">
        <v>1900</v>
      </c>
      <c r="D904" s="1" t="s">
        <v>1023</v>
      </c>
      <c r="G904" t="s">
        <v>1008</v>
      </c>
      <c r="I904">
        <v>250</v>
      </c>
      <c r="J904">
        <v>330</v>
      </c>
      <c r="K904">
        <v>80</v>
      </c>
      <c r="L904">
        <v>0.32</v>
      </c>
      <c r="M904" t="s">
        <v>3372</v>
      </c>
      <c r="N904">
        <v>904</v>
      </c>
    </row>
    <row r="905" spans="1:14" x14ac:dyDescent="0.25">
      <c r="A905" t="s">
        <v>2673</v>
      </c>
      <c r="B905">
        <v>901</v>
      </c>
      <c r="C905">
        <v>1901</v>
      </c>
      <c r="D905" s="1" t="s">
        <v>1024</v>
      </c>
      <c r="G905" t="s">
        <v>1008</v>
      </c>
      <c r="I905">
        <v>250</v>
      </c>
      <c r="J905">
        <v>350</v>
      </c>
      <c r="K905">
        <v>100</v>
      </c>
      <c r="L905">
        <v>0.4</v>
      </c>
      <c r="M905" t="s">
        <v>3372</v>
      </c>
      <c r="N905">
        <v>905</v>
      </c>
    </row>
    <row r="906" spans="1:14" x14ac:dyDescent="0.25">
      <c r="A906" t="s">
        <v>2674</v>
      </c>
      <c r="B906">
        <v>902</v>
      </c>
      <c r="C906">
        <v>1902</v>
      </c>
      <c r="D906" s="1" t="s">
        <v>1025</v>
      </c>
      <c r="G906" t="s">
        <v>93</v>
      </c>
      <c r="I906">
        <v>45</v>
      </c>
      <c r="J906">
        <v>65</v>
      </c>
      <c r="K906">
        <v>20</v>
      </c>
      <c r="L906">
        <v>0.44440000000000002</v>
      </c>
      <c r="M906" t="s">
        <v>3372</v>
      </c>
      <c r="N906">
        <v>906</v>
      </c>
    </row>
    <row r="907" spans="1:14" x14ac:dyDescent="0.25">
      <c r="A907" t="s">
        <v>2675</v>
      </c>
      <c r="B907">
        <v>903</v>
      </c>
      <c r="C907">
        <v>1903</v>
      </c>
      <c r="D907" s="1" t="s">
        <v>1026</v>
      </c>
      <c r="G907" t="s">
        <v>93</v>
      </c>
      <c r="I907">
        <v>55</v>
      </c>
      <c r="J907">
        <v>75</v>
      </c>
      <c r="K907">
        <v>20</v>
      </c>
      <c r="L907">
        <v>0.36359999999999998</v>
      </c>
      <c r="M907" t="s">
        <v>3372</v>
      </c>
      <c r="N907">
        <v>907</v>
      </c>
    </row>
    <row r="908" spans="1:14" x14ac:dyDescent="0.25">
      <c r="A908" t="s">
        <v>2676</v>
      </c>
      <c r="B908">
        <v>904</v>
      </c>
      <c r="C908">
        <v>1904</v>
      </c>
      <c r="D908" s="1" t="s">
        <v>1027</v>
      </c>
      <c r="G908" t="s">
        <v>24</v>
      </c>
      <c r="I908">
        <v>89</v>
      </c>
      <c r="J908">
        <v>130</v>
      </c>
      <c r="K908">
        <v>41</v>
      </c>
      <c r="L908">
        <v>0.4607</v>
      </c>
      <c r="M908" t="s">
        <v>3372</v>
      </c>
      <c r="N908">
        <v>908</v>
      </c>
    </row>
    <row r="909" spans="1:14" x14ac:dyDescent="0.25">
      <c r="A909" t="s">
        <v>2677</v>
      </c>
      <c r="B909">
        <v>905</v>
      </c>
      <c r="C909">
        <v>1905</v>
      </c>
      <c r="D909" s="1" t="s">
        <v>1028</v>
      </c>
      <c r="G909" t="s">
        <v>24</v>
      </c>
      <c r="I909">
        <v>45</v>
      </c>
      <c r="J909">
        <v>145</v>
      </c>
      <c r="K909">
        <v>100</v>
      </c>
      <c r="L909">
        <v>2.2222</v>
      </c>
      <c r="M909" t="s">
        <v>3372</v>
      </c>
      <c r="N909">
        <v>909</v>
      </c>
    </row>
    <row r="910" spans="1:14" x14ac:dyDescent="0.25">
      <c r="A910" t="s">
        <v>2678</v>
      </c>
      <c r="B910">
        <v>906</v>
      </c>
      <c r="C910">
        <v>1906</v>
      </c>
      <c r="D910" s="1" t="s">
        <v>1029</v>
      </c>
      <c r="G910" t="s">
        <v>24</v>
      </c>
      <c r="I910">
        <v>55</v>
      </c>
      <c r="J910">
        <v>80</v>
      </c>
      <c r="K910">
        <v>25</v>
      </c>
      <c r="L910">
        <v>0.45450000000000002</v>
      </c>
      <c r="M910" t="s">
        <v>3372</v>
      </c>
      <c r="N910">
        <v>910</v>
      </c>
    </row>
    <row r="911" spans="1:14" x14ac:dyDescent="0.25">
      <c r="A911" t="s">
        <v>2679</v>
      </c>
      <c r="B911">
        <v>907</v>
      </c>
      <c r="C911">
        <v>1907</v>
      </c>
      <c r="D911" s="1" t="s">
        <v>1030</v>
      </c>
      <c r="G911" t="s">
        <v>24</v>
      </c>
      <c r="I911">
        <v>29.75</v>
      </c>
      <c r="J911">
        <v>45</v>
      </c>
      <c r="K911">
        <v>15.25</v>
      </c>
      <c r="L911">
        <v>0.51259999999999994</v>
      </c>
      <c r="M911" t="s">
        <v>3372</v>
      </c>
      <c r="N911">
        <v>911</v>
      </c>
    </row>
    <row r="912" spans="1:14" x14ac:dyDescent="0.25">
      <c r="A912" t="s">
        <v>2680</v>
      </c>
      <c r="B912">
        <v>908</v>
      </c>
      <c r="C912">
        <v>1908</v>
      </c>
      <c r="D912" s="1" t="s">
        <v>1031</v>
      </c>
      <c r="G912" t="s">
        <v>24</v>
      </c>
      <c r="I912">
        <v>25</v>
      </c>
      <c r="J912">
        <v>45</v>
      </c>
      <c r="K912">
        <v>20</v>
      </c>
      <c r="L912">
        <v>0.8</v>
      </c>
      <c r="M912" t="s">
        <v>3372</v>
      </c>
      <c r="N912">
        <v>912</v>
      </c>
    </row>
    <row r="913" spans="1:14" x14ac:dyDescent="0.25">
      <c r="A913" t="s">
        <v>2681</v>
      </c>
      <c r="B913">
        <v>909</v>
      </c>
      <c r="C913">
        <v>1909</v>
      </c>
      <c r="D913" s="1" t="s">
        <v>1032</v>
      </c>
      <c r="G913" t="s">
        <v>24</v>
      </c>
      <c r="I913">
        <v>22</v>
      </c>
      <c r="J913">
        <v>32</v>
      </c>
      <c r="K913">
        <v>10</v>
      </c>
      <c r="L913">
        <v>0.45450000000000002</v>
      </c>
      <c r="M913" t="s">
        <v>3372</v>
      </c>
      <c r="N913">
        <v>913</v>
      </c>
    </row>
    <row r="914" spans="1:14" x14ac:dyDescent="0.25">
      <c r="A914" t="s">
        <v>2682</v>
      </c>
      <c r="B914">
        <v>910</v>
      </c>
      <c r="C914">
        <v>1910</v>
      </c>
      <c r="D914" s="1" t="s">
        <v>1033</v>
      </c>
      <c r="G914" t="s">
        <v>24</v>
      </c>
      <c r="I914">
        <v>25</v>
      </c>
      <c r="K914">
        <v>25</v>
      </c>
      <c r="L914">
        <v>-1</v>
      </c>
      <c r="M914" t="s">
        <v>3372</v>
      </c>
      <c r="N914">
        <v>914</v>
      </c>
    </row>
    <row r="915" spans="1:14" x14ac:dyDescent="0.25">
      <c r="A915" t="s">
        <v>2683</v>
      </c>
      <c r="B915">
        <v>911</v>
      </c>
      <c r="C915">
        <v>1911</v>
      </c>
      <c r="D915" s="1" t="s">
        <v>1034</v>
      </c>
      <c r="G915" t="s">
        <v>24</v>
      </c>
      <c r="I915">
        <v>18</v>
      </c>
      <c r="J915">
        <v>30</v>
      </c>
      <c r="K915">
        <v>12</v>
      </c>
      <c r="L915">
        <v>0.66669999999999996</v>
      </c>
      <c r="M915" t="s">
        <v>3372</v>
      </c>
      <c r="N915">
        <v>915</v>
      </c>
    </row>
    <row r="916" spans="1:14" x14ac:dyDescent="0.25">
      <c r="A916" t="s">
        <v>2684</v>
      </c>
      <c r="B916">
        <v>912</v>
      </c>
      <c r="C916">
        <v>1912</v>
      </c>
      <c r="D916" s="1" t="s">
        <v>1035</v>
      </c>
      <c r="G916" t="s">
        <v>24</v>
      </c>
      <c r="I916">
        <v>22</v>
      </c>
      <c r="J916">
        <v>35</v>
      </c>
      <c r="K916">
        <v>13</v>
      </c>
      <c r="L916">
        <v>0.59089999999999998</v>
      </c>
      <c r="M916" t="s">
        <v>3372</v>
      </c>
      <c r="N916">
        <v>916</v>
      </c>
    </row>
    <row r="917" spans="1:14" x14ac:dyDescent="0.25">
      <c r="A917" t="s">
        <v>2685</v>
      </c>
      <c r="B917">
        <v>913</v>
      </c>
      <c r="C917">
        <v>1913</v>
      </c>
      <c r="D917" s="1" t="s">
        <v>1036</v>
      </c>
      <c r="G917" t="s">
        <v>24</v>
      </c>
      <c r="I917">
        <v>22</v>
      </c>
      <c r="J917">
        <v>32</v>
      </c>
      <c r="K917">
        <v>10</v>
      </c>
      <c r="L917">
        <v>0.45450000000000002</v>
      </c>
      <c r="M917" t="s">
        <v>3372</v>
      </c>
      <c r="N917">
        <v>917</v>
      </c>
    </row>
    <row r="918" spans="1:14" x14ac:dyDescent="0.25">
      <c r="A918" t="s">
        <v>2686</v>
      </c>
      <c r="B918">
        <v>914</v>
      </c>
      <c r="C918">
        <v>1914</v>
      </c>
      <c r="D918" s="1" t="s">
        <v>1037</v>
      </c>
      <c r="G918" t="s">
        <v>24</v>
      </c>
      <c r="I918">
        <v>12</v>
      </c>
      <c r="J918">
        <v>65</v>
      </c>
      <c r="K918">
        <v>53</v>
      </c>
      <c r="L918">
        <v>4.4166999999999996</v>
      </c>
      <c r="M918" t="s">
        <v>3372</v>
      </c>
      <c r="N918">
        <v>918</v>
      </c>
    </row>
    <row r="919" spans="1:14" x14ac:dyDescent="0.25">
      <c r="A919" t="s">
        <v>2687</v>
      </c>
      <c r="B919">
        <v>915</v>
      </c>
      <c r="C919">
        <v>1915</v>
      </c>
      <c r="D919" s="1" t="s">
        <v>1038</v>
      </c>
      <c r="G919" t="s">
        <v>24</v>
      </c>
      <c r="I919">
        <v>25</v>
      </c>
      <c r="J919">
        <v>50</v>
      </c>
      <c r="K919">
        <v>25</v>
      </c>
      <c r="L919">
        <v>1</v>
      </c>
      <c r="M919" t="s">
        <v>3372</v>
      </c>
      <c r="N919">
        <v>919</v>
      </c>
    </row>
    <row r="920" spans="1:14" x14ac:dyDescent="0.25">
      <c r="A920" t="s">
        <v>2688</v>
      </c>
      <c r="B920">
        <v>916</v>
      </c>
      <c r="C920">
        <v>1916</v>
      </c>
      <c r="D920" s="1" t="s">
        <v>1039</v>
      </c>
      <c r="G920" t="s">
        <v>24</v>
      </c>
      <c r="I920">
        <v>18</v>
      </c>
      <c r="J920">
        <v>35</v>
      </c>
      <c r="K920">
        <v>17</v>
      </c>
      <c r="L920">
        <v>0.94440000000000002</v>
      </c>
      <c r="M920" t="s">
        <v>3372</v>
      </c>
      <c r="N920">
        <v>920</v>
      </c>
    </row>
    <row r="921" spans="1:14" x14ac:dyDescent="0.25">
      <c r="A921" t="s">
        <v>2689</v>
      </c>
      <c r="B921">
        <v>917</v>
      </c>
      <c r="C921">
        <v>1917</v>
      </c>
      <c r="D921" s="1" t="s">
        <v>1040</v>
      </c>
      <c r="G921" t="s">
        <v>24</v>
      </c>
      <c r="I921">
        <v>16</v>
      </c>
      <c r="J921">
        <v>30</v>
      </c>
      <c r="K921">
        <v>14</v>
      </c>
      <c r="L921">
        <v>0.875</v>
      </c>
      <c r="M921" t="s">
        <v>3372</v>
      </c>
      <c r="N921">
        <v>921</v>
      </c>
    </row>
    <row r="922" spans="1:14" x14ac:dyDescent="0.25">
      <c r="A922" t="s">
        <v>2690</v>
      </c>
      <c r="B922">
        <v>918</v>
      </c>
      <c r="C922">
        <v>1918</v>
      </c>
      <c r="D922" s="1" t="s">
        <v>1041</v>
      </c>
      <c r="G922" t="s">
        <v>24</v>
      </c>
      <c r="I922">
        <v>14</v>
      </c>
      <c r="J922">
        <v>30</v>
      </c>
      <c r="K922">
        <v>16</v>
      </c>
      <c r="L922">
        <v>1.1429</v>
      </c>
      <c r="M922" t="s">
        <v>3372</v>
      </c>
      <c r="N922">
        <v>922</v>
      </c>
    </row>
    <row r="923" spans="1:14" x14ac:dyDescent="0.25">
      <c r="A923" t="s">
        <v>2691</v>
      </c>
      <c r="B923">
        <v>919</v>
      </c>
      <c r="C923">
        <v>1919</v>
      </c>
      <c r="D923" s="1" t="s">
        <v>1042</v>
      </c>
      <c r="G923" t="s">
        <v>24</v>
      </c>
      <c r="I923">
        <v>12</v>
      </c>
      <c r="J923">
        <v>20</v>
      </c>
      <c r="K923">
        <v>8</v>
      </c>
      <c r="L923">
        <v>0.66669999999999996</v>
      </c>
      <c r="M923" t="s">
        <v>3372</v>
      </c>
      <c r="N923">
        <v>923</v>
      </c>
    </row>
    <row r="924" spans="1:14" x14ac:dyDescent="0.25">
      <c r="A924" t="s">
        <v>2692</v>
      </c>
      <c r="B924">
        <v>920</v>
      </c>
      <c r="C924">
        <v>1920</v>
      </c>
      <c r="D924" s="1" t="s">
        <v>1043</v>
      </c>
      <c r="G924" t="s">
        <v>24</v>
      </c>
      <c r="I924">
        <v>40</v>
      </c>
      <c r="J924">
        <v>80</v>
      </c>
      <c r="K924">
        <v>40</v>
      </c>
      <c r="L924">
        <v>1</v>
      </c>
      <c r="M924" t="s">
        <v>3372</v>
      </c>
      <c r="N924">
        <v>924</v>
      </c>
    </row>
    <row r="925" spans="1:14" x14ac:dyDescent="0.25">
      <c r="A925" t="s">
        <v>2693</v>
      </c>
      <c r="B925">
        <v>921</v>
      </c>
      <c r="C925">
        <v>1921</v>
      </c>
      <c r="D925" s="1" t="s">
        <v>1044</v>
      </c>
      <c r="F925" t="s">
        <v>981</v>
      </c>
      <c r="G925" t="s">
        <v>24</v>
      </c>
      <c r="I925">
        <v>480</v>
      </c>
      <c r="J925">
        <v>630</v>
      </c>
      <c r="K925">
        <v>150</v>
      </c>
      <c r="L925">
        <v>0.3125</v>
      </c>
      <c r="M925" t="s">
        <v>3372</v>
      </c>
      <c r="N925">
        <v>925</v>
      </c>
    </row>
    <row r="926" spans="1:14" x14ac:dyDescent="0.25">
      <c r="A926" t="s">
        <v>2694</v>
      </c>
      <c r="B926">
        <v>922</v>
      </c>
      <c r="C926">
        <v>1922</v>
      </c>
      <c r="D926" s="1" t="s">
        <v>1045</v>
      </c>
      <c r="F926" t="s">
        <v>981</v>
      </c>
      <c r="G926" t="s">
        <v>24</v>
      </c>
      <c r="I926">
        <v>650</v>
      </c>
      <c r="J926">
        <v>795</v>
      </c>
      <c r="K926">
        <v>145</v>
      </c>
      <c r="L926">
        <v>0.22309999999999999</v>
      </c>
      <c r="M926" t="s">
        <v>3372</v>
      </c>
      <c r="N926">
        <v>926</v>
      </c>
    </row>
    <row r="927" spans="1:14" x14ac:dyDescent="0.25">
      <c r="A927" t="s">
        <v>2695</v>
      </c>
      <c r="B927">
        <v>923</v>
      </c>
      <c r="C927">
        <v>1923</v>
      </c>
      <c r="D927" s="1" t="s">
        <v>1046</v>
      </c>
      <c r="G927" t="s">
        <v>24</v>
      </c>
      <c r="I927">
        <v>35</v>
      </c>
      <c r="J927">
        <v>85</v>
      </c>
      <c r="K927">
        <v>50</v>
      </c>
      <c r="L927">
        <v>1.4286000000000001</v>
      </c>
      <c r="M927" t="s">
        <v>3372</v>
      </c>
      <c r="N927">
        <v>927</v>
      </c>
    </row>
    <row r="928" spans="1:14" x14ac:dyDescent="0.25">
      <c r="A928" t="s">
        <v>2696</v>
      </c>
      <c r="B928">
        <v>924</v>
      </c>
      <c r="C928">
        <v>1924</v>
      </c>
      <c r="D928" s="1" t="s">
        <v>1047</v>
      </c>
      <c r="G928" t="s">
        <v>24</v>
      </c>
      <c r="I928">
        <v>38</v>
      </c>
      <c r="J928">
        <v>65</v>
      </c>
      <c r="K928">
        <v>27</v>
      </c>
      <c r="L928">
        <v>0.71050000000000002</v>
      </c>
      <c r="M928" t="s">
        <v>3372</v>
      </c>
      <c r="N928">
        <v>928</v>
      </c>
    </row>
    <row r="929" spans="1:14" x14ac:dyDescent="0.25">
      <c r="A929" t="s">
        <v>2697</v>
      </c>
      <c r="B929">
        <v>925</v>
      </c>
      <c r="C929">
        <v>1925</v>
      </c>
      <c r="D929" s="1" t="s">
        <v>1048</v>
      </c>
      <c r="E929" t="s">
        <v>1049</v>
      </c>
      <c r="G929" t="s">
        <v>24</v>
      </c>
      <c r="I929">
        <v>122</v>
      </c>
      <c r="J929">
        <v>155</v>
      </c>
      <c r="K929">
        <v>33</v>
      </c>
      <c r="L929">
        <v>0.27050000000000002</v>
      </c>
      <c r="M929" t="s">
        <v>3372</v>
      </c>
      <c r="N929">
        <v>929</v>
      </c>
    </row>
    <row r="930" spans="1:14" x14ac:dyDescent="0.25">
      <c r="A930" t="s">
        <v>2698</v>
      </c>
      <c r="B930">
        <v>926</v>
      </c>
      <c r="C930">
        <v>1926</v>
      </c>
      <c r="D930" s="1" t="s">
        <v>1050</v>
      </c>
      <c r="E930" t="s">
        <v>1049</v>
      </c>
      <c r="G930" t="s">
        <v>24</v>
      </c>
      <c r="I930">
        <v>90</v>
      </c>
      <c r="J930">
        <v>120</v>
      </c>
      <c r="K930">
        <v>30</v>
      </c>
      <c r="L930">
        <v>0.33329999999999999</v>
      </c>
      <c r="M930" t="s">
        <v>3372</v>
      </c>
      <c r="N930">
        <v>930</v>
      </c>
    </row>
    <row r="931" spans="1:14" x14ac:dyDescent="0.25">
      <c r="A931" t="s">
        <v>2699</v>
      </c>
      <c r="B931">
        <v>927</v>
      </c>
      <c r="C931">
        <v>1927</v>
      </c>
      <c r="D931" s="1" t="s">
        <v>1051</v>
      </c>
      <c r="E931" t="s">
        <v>1049</v>
      </c>
      <c r="G931" t="s">
        <v>24</v>
      </c>
      <c r="I931">
        <v>55</v>
      </c>
      <c r="J931">
        <v>85</v>
      </c>
      <c r="K931">
        <v>30</v>
      </c>
      <c r="L931">
        <v>0.54549999999999998</v>
      </c>
      <c r="M931" t="s">
        <v>3372</v>
      </c>
      <c r="N931">
        <v>931</v>
      </c>
    </row>
    <row r="932" spans="1:14" x14ac:dyDescent="0.25">
      <c r="A932" t="s">
        <v>2700</v>
      </c>
      <c r="B932">
        <v>928</v>
      </c>
      <c r="C932">
        <v>1928</v>
      </c>
      <c r="D932" s="1" t="s">
        <v>1052</v>
      </c>
      <c r="E932" t="s">
        <v>1053</v>
      </c>
      <c r="G932" t="s">
        <v>24</v>
      </c>
      <c r="I932">
        <v>80</v>
      </c>
      <c r="J932">
        <v>110</v>
      </c>
      <c r="K932">
        <v>30</v>
      </c>
      <c r="L932">
        <v>0.375</v>
      </c>
      <c r="M932" t="s">
        <v>3372</v>
      </c>
      <c r="N932">
        <v>932</v>
      </c>
    </row>
    <row r="933" spans="1:14" x14ac:dyDescent="0.25">
      <c r="A933" t="s">
        <v>2701</v>
      </c>
      <c r="B933">
        <v>929</v>
      </c>
      <c r="C933">
        <v>1929</v>
      </c>
      <c r="D933" s="1" t="s">
        <v>1054</v>
      </c>
      <c r="E933" t="s">
        <v>1053</v>
      </c>
      <c r="G933" t="s">
        <v>24</v>
      </c>
      <c r="I933">
        <v>130</v>
      </c>
      <c r="J933">
        <v>150</v>
      </c>
      <c r="K933">
        <v>20</v>
      </c>
      <c r="L933">
        <v>0.15379999999999999</v>
      </c>
      <c r="M933" t="s">
        <v>3372</v>
      </c>
      <c r="N933">
        <v>933</v>
      </c>
    </row>
    <row r="934" spans="1:14" x14ac:dyDescent="0.25">
      <c r="A934" t="s">
        <v>2702</v>
      </c>
      <c r="B934">
        <v>930</v>
      </c>
      <c r="C934">
        <v>1930</v>
      </c>
      <c r="D934" s="1" t="s">
        <v>1055</v>
      </c>
      <c r="G934" t="s">
        <v>24</v>
      </c>
      <c r="I934">
        <v>151</v>
      </c>
      <c r="J934">
        <v>170</v>
      </c>
      <c r="K934">
        <v>19</v>
      </c>
      <c r="L934">
        <v>0.1258</v>
      </c>
      <c r="M934" t="s">
        <v>3372</v>
      </c>
      <c r="N934">
        <v>934</v>
      </c>
    </row>
    <row r="935" spans="1:14" x14ac:dyDescent="0.25">
      <c r="A935" t="s">
        <v>2703</v>
      </c>
      <c r="B935">
        <v>931</v>
      </c>
      <c r="C935">
        <v>1931</v>
      </c>
      <c r="D935" s="1" t="s">
        <v>1056</v>
      </c>
      <c r="G935" t="s">
        <v>24</v>
      </c>
      <c r="I935">
        <v>85</v>
      </c>
      <c r="J935">
        <v>145</v>
      </c>
      <c r="K935">
        <v>60</v>
      </c>
      <c r="L935">
        <v>0.70589999999999997</v>
      </c>
      <c r="M935" t="s">
        <v>3372</v>
      </c>
      <c r="N935">
        <v>935</v>
      </c>
    </row>
    <row r="936" spans="1:14" x14ac:dyDescent="0.25">
      <c r="A936" t="s">
        <v>2704</v>
      </c>
      <c r="B936">
        <v>932</v>
      </c>
      <c r="C936">
        <v>1932</v>
      </c>
      <c r="D936" s="1" t="s">
        <v>1057</v>
      </c>
      <c r="G936" t="s">
        <v>24</v>
      </c>
      <c r="I936">
        <v>1.28</v>
      </c>
      <c r="J936">
        <v>3</v>
      </c>
      <c r="K936">
        <v>1.72</v>
      </c>
      <c r="L936">
        <v>1.3438000000000001</v>
      </c>
      <c r="M936" t="s">
        <v>3372</v>
      </c>
      <c r="N936">
        <v>936</v>
      </c>
    </row>
    <row r="937" spans="1:14" x14ac:dyDescent="0.25">
      <c r="A937" t="s">
        <v>2705</v>
      </c>
      <c r="B937">
        <v>933</v>
      </c>
      <c r="C937">
        <v>1933</v>
      </c>
      <c r="D937" s="1" t="s">
        <v>1058</v>
      </c>
      <c r="G937" t="s">
        <v>24</v>
      </c>
      <c r="I937">
        <v>1</v>
      </c>
      <c r="J937">
        <v>3.5</v>
      </c>
      <c r="K937">
        <v>2.5</v>
      </c>
      <c r="L937">
        <v>2.5</v>
      </c>
      <c r="M937" t="s">
        <v>3372</v>
      </c>
      <c r="N937">
        <v>937</v>
      </c>
    </row>
    <row r="938" spans="1:14" x14ac:dyDescent="0.25">
      <c r="A938" t="s">
        <v>2706</v>
      </c>
      <c r="B938">
        <v>934</v>
      </c>
      <c r="C938">
        <v>1934</v>
      </c>
      <c r="D938" s="1" t="s">
        <v>1059</v>
      </c>
      <c r="G938" t="s">
        <v>24</v>
      </c>
      <c r="I938">
        <v>145</v>
      </c>
      <c r="J938">
        <v>195</v>
      </c>
      <c r="K938">
        <v>50</v>
      </c>
      <c r="L938">
        <v>0.3448</v>
      </c>
      <c r="M938" t="s">
        <v>3372</v>
      </c>
      <c r="N938">
        <v>938</v>
      </c>
    </row>
    <row r="939" spans="1:14" x14ac:dyDescent="0.25">
      <c r="A939" t="s">
        <v>2707</v>
      </c>
      <c r="B939">
        <v>935</v>
      </c>
      <c r="C939">
        <v>1935</v>
      </c>
      <c r="D939" s="1" t="s">
        <v>1060</v>
      </c>
      <c r="G939" t="s">
        <v>24</v>
      </c>
      <c r="I939">
        <v>65</v>
      </c>
      <c r="J939">
        <v>85</v>
      </c>
      <c r="K939">
        <v>20</v>
      </c>
      <c r="L939">
        <v>0.30769999999999997</v>
      </c>
      <c r="M939" t="s">
        <v>3372</v>
      </c>
      <c r="N939">
        <v>939</v>
      </c>
    </row>
    <row r="940" spans="1:14" x14ac:dyDescent="0.25">
      <c r="A940" t="s">
        <v>2708</v>
      </c>
      <c r="B940">
        <v>936</v>
      </c>
      <c r="C940">
        <v>1936</v>
      </c>
      <c r="D940" s="1" t="s">
        <v>1061</v>
      </c>
      <c r="G940" t="s">
        <v>24</v>
      </c>
      <c r="I940">
        <v>30</v>
      </c>
      <c r="J940">
        <v>65</v>
      </c>
      <c r="K940">
        <v>35</v>
      </c>
      <c r="L940">
        <v>1.1667000000000001</v>
      </c>
      <c r="M940" t="s">
        <v>3372</v>
      </c>
      <c r="N940">
        <v>940</v>
      </c>
    </row>
    <row r="941" spans="1:14" x14ac:dyDescent="0.25">
      <c r="A941" t="s">
        <v>2709</v>
      </c>
      <c r="B941">
        <v>937</v>
      </c>
      <c r="C941">
        <v>1937</v>
      </c>
      <c r="D941" s="1" t="s">
        <v>1062</v>
      </c>
      <c r="G941" t="s">
        <v>24</v>
      </c>
      <c r="I941">
        <v>30</v>
      </c>
      <c r="J941">
        <v>65</v>
      </c>
      <c r="K941">
        <v>35</v>
      </c>
      <c r="L941">
        <v>1.1667000000000001</v>
      </c>
      <c r="M941" t="s">
        <v>3372</v>
      </c>
      <c r="N941">
        <v>941</v>
      </c>
    </row>
    <row r="942" spans="1:14" x14ac:dyDescent="0.25">
      <c r="A942" t="s">
        <v>2710</v>
      </c>
      <c r="B942">
        <v>938</v>
      </c>
      <c r="C942">
        <v>1938</v>
      </c>
      <c r="D942" s="1" t="s">
        <v>1063</v>
      </c>
      <c r="G942" t="s">
        <v>24</v>
      </c>
      <c r="I942">
        <v>45</v>
      </c>
      <c r="J942">
        <v>80</v>
      </c>
      <c r="K942">
        <v>35</v>
      </c>
      <c r="L942">
        <v>0.77780000000000005</v>
      </c>
      <c r="M942" t="s">
        <v>3372</v>
      </c>
      <c r="N942">
        <v>942</v>
      </c>
    </row>
    <row r="943" spans="1:14" x14ac:dyDescent="0.25">
      <c r="A943" t="s">
        <v>2711</v>
      </c>
      <c r="B943">
        <v>939</v>
      </c>
      <c r="C943">
        <v>1939</v>
      </c>
      <c r="D943" s="1" t="s">
        <v>1064</v>
      </c>
      <c r="G943" t="s">
        <v>24</v>
      </c>
      <c r="I943">
        <v>45</v>
      </c>
      <c r="J943">
        <v>80</v>
      </c>
      <c r="K943">
        <v>35</v>
      </c>
      <c r="L943">
        <v>0.77780000000000005</v>
      </c>
      <c r="M943" t="s">
        <v>3372</v>
      </c>
      <c r="N943">
        <v>943</v>
      </c>
    </row>
    <row r="944" spans="1:14" x14ac:dyDescent="0.25">
      <c r="A944" t="s">
        <v>2712</v>
      </c>
      <c r="B944">
        <v>940</v>
      </c>
      <c r="C944">
        <v>1940</v>
      </c>
      <c r="D944" s="1" t="s">
        <v>1065</v>
      </c>
      <c r="E944" t="s">
        <v>1049</v>
      </c>
      <c r="G944" t="s">
        <v>24</v>
      </c>
      <c r="I944">
        <v>23.75</v>
      </c>
      <c r="J944">
        <v>45</v>
      </c>
      <c r="K944">
        <v>21.25</v>
      </c>
      <c r="L944">
        <v>0.89470000000000005</v>
      </c>
      <c r="M944" t="s">
        <v>3372</v>
      </c>
      <c r="N944">
        <v>944</v>
      </c>
    </row>
    <row r="945" spans="1:14" x14ac:dyDescent="0.25">
      <c r="A945" t="s">
        <v>2713</v>
      </c>
      <c r="B945">
        <v>941</v>
      </c>
      <c r="C945">
        <v>1941</v>
      </c>
      <c r="D945" s="1" t="s">
        <v>1066</v>
      </c>
      <c r="E945" t="s">
        <v>1049</v>
      </c>
      <c r="G945" t="s">
        <v>24</v>
      </c>
      <c r="I945">
        <v>36</v>
      </c>
      <c r="J945">
        <v>60</v>
      </c>
      <c r="K945">
        <v>24</v>
      </c>
      <c r="L945">
        <v>0.66669999999999996</v>
      </c>
      <c r="M945" t="s">
        <v>3372</v>
      </c>
      <c r="N945">
        <v>945</v>
      </c>
    </row>
    <row r="946" spans="1:14" x14ac:dyDescent="0.25">
      <c r="A946" t="s">
        <v>2714</v>
      </c>
      <c r="B946">
        <v>942</v>
      </c>
      <c r="C946">
        <v>1942</v>
      </c>
      <c r="D946" s="1" t="s">
        <v>1067</v>
      </c>
      <c r="G946" t="s">
        <v>24</v>
      </c>
      <c r="I946">
        <v>25</v>
      </c>
      <c r="J946">
        <v>45</v>
      </c>
      <c r="K946">
        <v>20</v>
      </c>
      <c r="L946">
        <v>0.8</v>
      </c>
      <c r="M946" t="s">
        <v>3372</v>
      </c>
      <c r="N946">
        <v>946</v>
      </c>
    </row>
    <row r="947" spans="1:14" x14ac:dyDescent="0.25">
      <c r="A947" t="s">
        <v>2715</v>
      </c>
      <c r="B947">
        <v>943</v>
      </c>
      <c r="C947">
        <v>1943</v>
      </c>
      <c r="D947" s="1" t="s">
        <v>1068</v>
      </c>
      <c r="E947" t="s">
        <v>1069</v>
      </c>
      <c r="G947" t="s">
        <v>24</v>
      </c>
      <c r="I947">
        <v>125</v>
      </c>
      <c r="J947">
        <v>175</v>
      </c>
      <c r="K947">
        <v>50</v>
      </c>
      <c r="L947">
        <v>0.4</v>
      </c>
      <c r="M947" t="s">
        <v>3372</v>
      </c>
      <c r="N947">
        <v>947</v>
      </c>
    </row>
    <row r="948" spans="1:14" x14ac:dyDescent="0.25">
      <c r="A948" t="s">
        <v>2716</v>
      </c>
      <c r="B948">
        <v>944</v>
      </c>
      <c r="C948">
        <v>1944</v>
      </c>
      <c r="D948" s="1" t="s">
        <v>1070</v>
      </c>
      <c r="E948" t="s">
        <v>342</v>
      </c>
      <c r="G948" t="s">
        <v>24</v>
      </c>
      <c r="I948">
        <v>149</v>
      </c>
      <c r="J948">
        <v>195</v>
      </c>
      <c r="K948">
        <v>46</v>
      </c>
      <c r="L948">
        <v>0.30869999999999997</v>
      </c>
      <c r="M948" t="s">
        <v>3372</v>
      </c>
      <c r="N948">
        <v>948</v>
      </c>
    </row>
    <row r="949" spans="1:14" x14ac:dyDescent="0.25">
      <c r="A949" t="s">
        <v>2717</v>
      </c>
      <c r="B949">
        <v>945</v>
      </c>
      <c r="C949">
        <v>1945</v>
      </c>
      <c r="D949" s="1" t="s">
        <v>1071</v>
      </c>
      <c r="G949" t="s">
        <v>24</v>
      </c>
      <c r="I949">
        <v>35</v>
      </c>
      <c r="J949">
        <v>75</v>
      </c>
      <c r="K949">
        <v>40</v>
      </c>
      <c r="L949">
        <v>1.1429</v>
      </c>
      <c r="M949" t="s">
        <v>3372</v>
      </c>
      <c r="N949">
        <v>949</v>
      </c>
    </row>
    <row r="950" spans="1:14" x14ac:dyDescent="0.25">
      <c r="A950" t="s">
        <v>2718</v>
      </c>
      <c r="B950">
        <v>946</v>
      </c>
      <c r="C950">
        <v>1946</v>
      </c>
      <c r="D950" s="1" t="s">
        <v>1072</v>
      </c>
      <c r="E950" t="s">
        <v>421</v>
      </c>
      <c r="G950" t="s">
        <v>24</v>
      </c>
      <c r="I950">
        <v>35</v>
      </c>
      <c r="J950">
        <v>75</v>
      </c>
      <c r="K950">
        <v>40</v>
      </c>
      <c r="L950">
        <v>1.1429</v>
      </c>
      <c r="M950" t="s">
        <v>3372</v>
      </c>
      <c r="N950">
        <v>950</v>
      </c>
    </row>
    <row r="951" spans="1:14" x14ac:dyDescent="0.25">
      <c r="A951" t="s">
        <v>2719</v>
      </c>
      <c r="B951">
        <v>947</v>
      </c>
      <c r="C951">
        <v>1947</v>
      </c>
      <c r="D951" s="1" t="s">
        <v>1073</v>
      </c>
      <c r="G951" t="s">
        <v>24</v>
      </c>
      <c r="I951">
        <v>15</v>
      </c>
      <c r="J951">
        <v>35</v>
      </c>
      <c r="K951">
        <v>20</v>
      </c>
      <c r="L951">
        <v>1.3332999999999999</v>
      </c>
      <c r="M951" t="s">
        <v>3372</v>
      </c>
      <c r="N951">
        <v>951</v>
      </c>
    </row>
    <row r="952" spans="1:14" x14ac:dyDescent="0.25">
      <c r="A952" t="s">
        <v>2720</v>
      </c>
      <c r="B952">
        <v>948</v>
      </c>
      <c r="C952">
        <v>1948</v>
      </c>
      <c r="D952" s="1" t="s">
        <v>1074</v>
      </c>
      <c r="F952" t="s">
        <v>937</v>
      </c>
      <c r="G952" t="s">
        <v>24</v>
      </c>
      <c r="I952">
        <v>204</v>
      </c>
      <c r="J952">
        <v>305</v>
      </c>
      <c r="K952">
        <v>101</v>
      </c>
      <c r="L952">
        <v>0.49509999999999998</v>
      </c>
      <c r="M952" t="s">
        <v>3372</v>
      </c>
      <c r="N952">
        <v>952</v>
      </c>
    </row>
    <row r="953" spans="1:14" x14ac:dyDescent="0.25">
      <c r="A953" t="s">
        <v>2721</v>
      </c>
      <c r="B953">
        <v>949</v>
      </c>
      <c r="C953">
        <v>1949</v>
      </c>
      <c r="D953" s="1" t="s">
        <v>1075</v>
      </c>
      <c r="G953" t="s">
        <v>24</v>
      </c>
      <c r="I953">
        <v>25</v>
      </c>
      <c r="J953">
        <v>60</v>
      </c>
      <c r="K953">
        <v>35</v>
      </c>
      <c r="L953">
        <v>1.4</v>
      </c>
      <c r="M953" t="s">
        <v>3372</v>
      </c>
      <c r="N953">
        <v>953</v>
      </c>
    </row>
    <row r="954" spans="1:14" x14ac:dyDescent="0.25">
      <c r="A954" t="s">
        <v>2722</v>
      </c>
      <c r="B954">
        <v>950</v>
      </c>
      <c r="C954">
        <v>1950</v>
      </c>
      <c r="D954" s="1" t="s">
        <v>1076</v>
      </c>
      <c r="G954" t="s">
        <v>24</v>
      </c>
      <c r="I954">
        <v>20</v>
      </c>
      <c r="J954">
        <v>45</v>
      </c>
      <c r="K954">
        <v>25</v>
      </c>
      <c r="L954">
        <v>1.25</v>
      </c>
      <c r="M954" t="s">
        <v>3372</v>
      </c>
      <c r="N954">
        <v>954</v>
      </c>
    </row>
    <row r="955" spans="1:14" x14ac:dyDescent="0.25">
      <c r="A955" t="s">
        <v>2723</v>
      </c>
      <c r="B955">
        <v>951</v>
      </c>
      <c r="C955">
        <v>1951</v>
      </c>
      <c r="D955" s="1" t="s">
        <v>1077</v>
      </c>
      <c r="G955" t="s">
        <v>24</v>
      </c>
      <c r="I955">
        <v>19.66</v>
      </c>
      <c r="J955">
        <v>30</v>
      </c>
      <c r="K955">
        <v>10.34</v>
      </c>
      <c r="L955">
        <v>0.52590000000000003</v>
      </c>
      <c r="M955" t="s">
        <v>3372</v>
      </c>
      <c r="N955">
        <v>955</v>
      </c>
    </row>
    <row r="956" spans="1:14" x14ac:dyDescent="0.25">
      <c r="A956" t="s">
        <v>2724</v>
      </c>
      <c r="B956">
        <v>952</v>
      </c>
      <c r="C956">
        <v>1952</v>
      </c>
      <c r="D956" s="1" t="s">
        <v>1078</v>
      </c>
      <c r="G956" t="s">
        <v>24</v>
      </c>
      <c r="I956">
        <v>27</v>
      </c>
      <c r="J956">
        <v>50</v>
      </c>
      <c r="K956">
        <v>23</v>
      </c>
      <c r="L956">
        <v>0.85189999999999999</v>
      </c>
      <c r="M956" t="s">
        <v>3372</v>
      </c>
      <c r="N956">
        <v>956</v>
      </c>
    </row>
    <row r="957" spans="1:14" x14ac:dyDescent="0.25">
      <c r="A957" t="s">
        <v>2725</v>
      </c>
      <c r="B957">
        <v>953</v>
      </c>
      <c r="C957">
        <v>1953</v>
      </c>
      <c r="D957" s="1" t="s">
        <v>1079</v>
      </c>
      <c r="G957" t="s">
        <v>24</v>
      </c>
      <c r="I957">
        <v>30</v>
      </c>
      <c r="J957">
        <v>60</v>
      </c>
      <c r="K957">
        <v>30</v>
      </c>
      <c r="L957">
        <v>1</v>
      </c>
      <c r="M957" t="s">
        <v>3372</v>
      </c>
      <c r="N957">
        <v>957</v>
      </c>
    </row>
    <row r="958" spans="1:14" x14ac:dyDescent="0.25">
      <c r="A958" t="s">
        <v>2726</v>
      </c>
      <c r="B958">
        <v>954</v>
      </c>
      <c r="C958">
        <v>1954</v>
      </c>
      <c r="D958" s="1" t="s">
        <v>1080</v>
      </c>
      <c r="G958" t="s">
        <v>24</v>
      </c>
      <c r="I958">
        <v>7</v>
      </c>
      <c r="J958">
        <v>15</v>
      </c>
      <c r="K958">
        <v>8</v>
      </c>
      <c r="L958">
        <v>1.1429</v>
      </c>
      <c r="M958" t="s">
        <v>3372</v>
      </c>
      <c r="N958">
        <v>958</v>
      </c>
    </row>
    <row r="959" spans="1:14" x14ac:dyDescent="0.25">
      <c r="A959" t="s">
        <v>2727</v>
      </c>
      <c r="B959">
        <v>955</v>
      </c>
      <c r="C959">
        <v>1955</v>
      </c>
      <c r="D959" s="1" t="s">
        <v>1081</v>
      </c>
      <c r="G959" t="s">
        <v>24</v>
      </c>
      <c r="I959">
        <v>5</v>
      </c>
      <c r="J959">
        <v>10</v>
      </c>
      <c r="K959">
        <v>5</v>
      </c>
      <c r="L959">
        <v>1</v>
      </c>
      <c r="M959" t="s">
        <v>3372</v>
      </c>
      <c r="N959">
        <v>959</v>
      </c>
    </row>
    <row r="960" spans="1:14" x14ac:dyDescent="0.25">
      <c r="A960" t="s">
        <v>2728</v>
      </c>
      <c r="B960">
        <v>956</v>
      </c>
      <c r="C960">
        <v>1956</v>
      </c>
      <c r="D960" s="1" t="s">
        <v>1082</v>
      </c>
      <c r="G960" t="s">
        <v>24</v>
      </c>
      <c r="I960">
        <v>35</v>
      </c>
      <c r="J960">
        <v>50</v>
      </c>
      <c r="K960">
        <v>15</v>
      </c>
      <c r="L960">
        <v>0.42859999999999998</v>
      </c>
      <c r="M960" t="s">
        <v>3372</v>
      </c>
      <c r="N960">
        <v>960</v>
      </c>
    </row>
    <row r="961" spans="1:14" x14ac:dyDescent="0.25">
      <c r="A961" t="s">
        <v>2729</v>
      </c>
      <c r="B961">
        <v>957</v>
      </c>
      <c r="C961">
        <v>1957</v>
      </c>
      <c r="D961" s="1" t="s">
        <v>1083</v>
      </c>
      <c r="G961" t="s">
        <v>24</v>
      </c>
      <c r="I961">
        <v>8.5</v>
      </c>
      <c r="J961">
        <v>15</v>
      </c>
      <c r="K961">
        <v>6.5</v>
      </c>
      <c r="L961">
        <v>0.76470000000000005</v>
      </c>
      <c r="M961" t="s">
        <v>3372</v>
      </c>
      <c r="N961">
        <v>961</v>
      </c>
    </row>
    <row r="962" spans="1:14" x14ac:dyDescent="0.25">
      <c r="A962" t="s">
        <v>2730</v>
      </c>
      <c r="B962">
        <v>958</v>
      </c>
      <c r="C962">
        <v>1958</v>
      </c>
      <c r="D962" s="1" t="s">
        <v>1084</v>
      </c>
      <c r="G962" t="s">
        <v>24</v>
      </c>
      <c r="I962">
        <v>343.5</v>
      </c>
      <c r="J962">
        <v>445</v>
      </c>
      <c r="K962">
        <v>101.5</v>
      </c>
      <c r="L962">
        <v>0.29549999999999998</v>
      </c>
      <c r="M962" t="s">
        <v>3372</v>
      </c>
      <c r="N962">
        <v>962</v>
      </c>
    </row>
    <row r="963" spans="1:14" x14ac:dyDescent="0.25">
      <c r="A963" t="s">
        <v>2731</v>
      </c>
      <c r="B963">
        <v>959</v>
      </c>
      <c r="C963">
        <v>1959</v>
      </c>
      <c r="D963" s="1" t="s">
        <v>1085</v>
      </c>
      <c r="E963" t="s">
        <v>585</v>
      </c>
      <c r="G963" t="s">
        <v>24</v>
      </c>
      <c r="I963">
        <v>128</v>
      </c>
      <c r="J963">
        <v>165</v>
      </c>
      <c r="K963">
        <v>37</v>
      </c>
      <c r="L963">
        <v>0.28910000000000002</v>
      </c>
      <c r="M963" t="s">
        <v>3372</v>
      </c>
      <c r="N963">
        <v>963</v>
      </c>
    </row>
    <row r="964" spans="1:14" x14ac:dyDescent="0.25">
      <c r="A964" t="s">
        <v>2732</v>
      </c>
      <c r="B964">
        <v>960</v>
      </c>
      <c r="C964">
        <v>1960</v>
      </c>
      <c r="D964" s="1" t="s">
        <v>1086</v>
      </c>
      <c r="E964" t="s">
        <v>969</v>
      </c>
      <c r="G964" t="s">
        <v>24</v>
      </c>
      <c r="I964">
        <v>64.3</v>
      </c>
      <c r="J964">
        <v>109.83</v>
      </c>
      <c r="K964">
        <v>45.53</v>
      </c>
      <c r="L964">
        <v>0.70799999999999996</v>
      </c>
      <c r="M964" t="s">
        <v>3372</v>
      </c>
      <c r="N964">
        <v>964</v>
      </c>
    </row>
    <row r="965" spans="1:14" x14ac:dyDescent="0.25">
      <c r="A965" t="s">
        <v>2733</v>
      </c>
      <c r="B965">
        <v>961</v>
      </c>
      <c r="C965">
        <v>1961</v>
      </c>
      <c r="D965" s="1" t="s">
        <v>1087</v>
      </c>
      <c r="E965" t="s">
        <v>526</v>
      </c>
      <c r="G965" t="s">
        <v>24</v>
      </c>
      <c r="I965">
        <v>210</v>
      </c>
      <c r="J965">
        <v>275</v>
      </c>
      <c r="K965">
        <v>65</v>
      </c>
      <c r="L965">
        <v>0.3095</v>
      </c>
      <c r="M965" t="s">
        <v>3372</v>
      </c>
      <c r="N965">
        <v>965</v>
      </c>
    </row>
    <row r="966" spans="1:14" x14ac:dyDescent="0.25">
      <c r="A966" t="s">
        <v>2734</v>
      </c>
      <c r="B966">
        <v>962</v>
      </c>
      <c r="C966">
        <v>1962</v>
      </c>
      <c r="D966" s="1" t="s">
        <v>1088</v>
      </c>
      <c r="E966" t="s">
        <v>1089</v>
      </c>
      <c r="G966" t="s">
        <v>24</v>
      </c>
      <c r="I966">
        <v>158</v>
      </c>
      <c r="J966">
        <v>210</v>
      </c>
      <c r="K966">
        <v>52</v>
      </c>
      <c r="L966">
        <v>0.3291</v>
      </c>
      <c r="M966" t="s">
        <v>3372</v>
      </c>
      <c r="N966">
        <v>966</v>
      </c>
    </row>
    <row r="967" spans="1:14" x14ac:dyDescent="0.25">
      <c r="A967" t="s">
        <v>2735</v>
      </c>
      <c r="B967">
        <v>963</v>
      </c>
      <c r="C967">
        <v>1963</v>
      </c>
      <c r="D967" s="1" t="s">
        <v>1090</v>
      </c>
      <c r="E967" t="s">
        <v>526</v>
      </c>
      <c r="G967" t="s">
        <v>24</v>
      </c>
      <c r="I967">
        <v>381</v>
      </c>
      <c r="J967">
        <v>485</v>
      </c>
      <c r="K967">
        <v>104</v>
      </c>
      <c r="L967">
        <v>0.27300000000000002</v>
      </c>
      <c r="M967" t="s">
        <v>3372</v>
      </c>
      <c r="N967">
        <v>967</v>
      </c>
    </row>
    <row r="968" spans="1:14" x14ac:dyDescent="0.25">
      <c r="A968" t="s">
        <v>2736</v>
      </c>
      <c r="B968">
        <v>964</v>
      </c>
      <c r="C968">
        <v>1964</v>
      </c>
      <c r="D968" s="1" t="s">
        <v>1091</v>
      </c>
      <c r="G968" t="s">
        <v>24</v>
      </c>
      <c r="I968">
        <v>35</v>
      </c>
      <c r="J968">
        <v>95</v>
      </c>
      <c r="K968">
        <v>60</v>
      </c>
      <c r="L968">
        <v>1.7142999999999999</v>
      </c>
      <c r="M968" t="s">
        <v>3372</v>
      </c>
      <c r="N968">
        <v>968</v>
      </c>
    </row>
    <row r="969" spans="1:14" x14ac:dyDescent="0.25">
      <c r="A969" t="s">
        <v>2737</v>
      </c>
      <c r="B969">
        <v>965</v>
      </c>
      <c r="C969">
        <v>1965</v>
      </c>
      <c r="D969" s="1" t="s">
        <v>1092</v>
      </c>
      <c r="G969" t="s">
        <v>24</v>
      </c>
      <c r="I969">
        <v>135</v>
      </c>
      <c r="J969">
        <v>235</v>
      </c>
      <c r="K969">
        <v>100</v>
      </c>
      <c r="L969">
        <v>0.74070000000000003</v>
      </c>
      <c r="M969" t="s">
        <v>3372</v>
      </c>
      <c r="N969">
        <v>969</v>
      </c>
    </row>
    <row r="970" spans="1:14" x14ac:dyDescent="0.25">
      <c r="A970" t="s">
        <v>2738</v>
      </c>
      <c r="B970">
        <v>966</v>
      </c>
      <c r="C970">
        <v>1966</v>
      </c>
      <c r="D970" s="1" t="s">
        <v>1093</v>
      </c>
      <c r="G970" t="s">
        <v>24</v>
      </c>
      <c r="I970">
        <v>79.75</v>
      </c>
      <c r="J970">
        <v>120</v>
      </c>
      <c r="K970">
        <v>40.25</v>
      </c>
      <c r="L970">
        <v>0.50470000000000004</v>
      </c>
      <c r="M970" t="s">
        <v>3372</v>
      </c>
      <c r="N970">
        <v>970</v>
      </c>
    </row>
    <row r="971" spans="1:14" x14ac:dyDescent="0.25">
      <c r="A971" t="s">
        <v>2739</v>
      </c>
      <c r="B971">
        <v>967</v>
      </c>
      <c r="C971">
        <v>1967</v>
      </c>
      <c r="D971" s="1" t="s">
        <v>1094</v>
      </c>
      <c r="G971" t="s">
        <v>24</v>
      </c>
      <c r="I971">
        <v>7</v>
      </c>
      <c r="J971">
        <v>20</v>
      </c>
      <c r="K971">
        <v>13</v>
      </c>
      <c r="L971">
        <v>1.8571</v>
      </c>
      <c r="M971" t="s">
        <v>3372</v>
      </c>
      <c r="N971">
        <v>971</v>
      </c>
    </row>
    <row r="972" spans="1:14" x14ac:dyDescent="0.25">
      <c r="A972" t="s">
        <v>2740</v>
      </c>
      <c r="B972">
        <v>968</v>
      </c>
      <c r="C972">
        <v>1968</v>
      </c>
      <c r="D972" s="1" t="s">
        <v>1095</v>
      </c>
      <c r="E972" t="s">
        <v>496</v>
      </c>
      <c r="G972" t="s">
        <v>24</v>
      </c>
      <c r="I972">
        <v>15.5</v>
      </c>
      <c r="J972">
        <v>25</v>
      </c>
      <c r="K972">
        <v>9.5</v>
      </c>
      <c r="L972">
        <v>0.6129</v>
      </c>
      <c r="M972" t="s">
        <v>3372</v>
      </c>
      <c r="N972">
        <v>972</v>
      </c>
    </row>
    <row r="973" spans="1:14" x14ac:dyDescent="0.25">
      <c r="A973" t="s">
        <v>2741</v>
      </c>
      <c r="B973">
        <v>969</v>
      </c>
      <c r="C973">
        <v>1969</v>
      </c>
      <c r="D973" s="1" t="s">
        <v>1096</v>
      </c>
      <c r="G973" t="s">
        <v>24</v>
      </c>
      <c r="I973">
        <v>500</v>
      </c>
      <c r="J973">
        <v>850</v>
      </c>
      <c r="K973">
        <v>350</v>
      </c>
      <c r="L973">
        <v>0.7</v>
      </c>
      <c r="M973" t="s">
        <v>3372</v>
      </c>
      <c r="N973">
        <v>973</v>
      </c>
    </row>
    <row r="974" spans="1:14" x14ac:dyDescent="0.25">
      <c r="A974" t="s">
        <v>2742</v>
      </c>
      <c r="B974">
        <v>970</v>
      </c>
      <c r="C974">
        <v>1970</v>
      </c>
      <c r="D974" s="1" t="s">
        <v>1097</v>
      </c>
      <c r="G974" t="s">
        <v>24</v>
      </c>
      <c r="I974">
        <v>150</v>
      </c>
      <c r="J974">
        <v>220</v>
      </c>
      <c r="K974">
        <v>70</v>
      </c>
      <c r="L974">
        <v>0.4667</v>
      </c>
      <c r="M974" t="s">
        <v>3372</v>
      </c>
      <c r="N974">
        <v>974</v>
      </c>
    </row>
    <row r="975" spans="1:14" x14ac:dyDescent="0.25">
      <c r="A975" t="s">
        <v>2743</v>
      </c>
      <c r="B975">
        <v>971</v>
      </c>
      <c r="C975">
        <v>1971</v>
      </c>
      <c r="D975" s="1" t="s">
        <v>1098</v>
      </c>
      <c r="G975" t="s">
        <v>24</v>
      </c>
      <c r="I975">
        <v>150</v>
      </c>
      <c r="J975">
        <v>220</v>
      </c>
      <c r="K975">
        <v>70</v>
      </c>
      <c r="L975">
        <v>0.4667</v>
      </c>
      <c r="M975" t="s">
        <v>3372</v>
      </c>
      <c r="N975">
        <v>975</v>
      </c>
    </row>
    <row r="976" spans="1:14" x14ac:dyDescent="0.25">
      <c r="A976" t="s">
        <v>2744</v>
      </c>
      <c r="B976">
        <v>972</v>
      </c>
      <c r="C976">
        <v>1972</v>
      </c>
      <c r="D976" s="1" t="s">
        <v>1099</v>
      </c>
      <c r="F976" t="s">
        <v>1100</v>
      </c>
      <c r="G976" t="s">
        <v>24</v>
      </c>
      <c r="I976">
        <v>43</v>
      </c>
      <c r="J976">
        <v>85</v>
      </c>
      <c r="K976">
        <v>42</v>
      </c>
      <c r="L976">
        <v>0.97670000000000001</v>
      </c>
      <c r="M976" t="s">
        <v>3372</v>
      </c>
      <c r="N976">
        <v>976</v>
      </c>
    </row>
    <row r="977" spans="1:14" x14ac:dyDescent="0.25">
      <c r="A977" t="s">
        <v>2745</v>
      </c>
      <c r="B977">
        <v>973</v>
      </c>
      <c r="C977">
        <v>1973</v>
      </c>
      <c r="D977" s="1" t="s">
        <v>1101</v>
      </c>
      <c r="F977" t="s">
        <v>837</v>
      </c>
      <c r="G977" t="s">
        <v>24</v>
      </c>
      <c r="I977">
        <v>50</v>
      </c>
      <c r="J977">
        <v>80</v>
      </c>
      <c r="K977">
        <v>30</v>
      </c>
      <c r="L977">
        <v>0.6</v>
      </c>
      <c r="M977" t="s">
        <v>3372</v>
      </c>
      <c r="N977">
        <v>977</v>
      </c>
    </row>
    <row r="978" spans="1:14" x14ac:dyDescent="0.25">
      <c r="A978" t="s">
        <v>2746</v>
      </c>
      <c r="B978">
        <v>974</v>
      </c>
      <c r="C978">
        <v>1974</v>
      </c>
      <c r="D978" s="1" t="s">
        <v>1102</v>
      </c>
      <c r="G978" t="s">
        <v>24</v>
      </c>
      <c r="I978">
        <v>89</v>
      </c>
      <c r="J978">
        <v>110</v>
      </c>
      <c r="K978">
        <v>21</v>
      </c>
      <c r="L978">
        <v>0.23599999999999999</v>
      </c>
      <c r="M978" t="s">
        <v>3372</v>
      </c>
      <c r="N978">
        <v>978</v>
      </c>
    </row>
    <row r="979" spans="1:14" x14ac:dyDescent="0.25">
      <c r="A979" t="s">
        <v>2747</v>
      </c>
      <c r="B979">
        <v>975</v>
      </c>
      <c r="C979">
        <v>1975</v>
      </c>
      <c r="D979" s="1" t="s">
        <v>1103</v>
      </c>
      <c r="G979" t="s">
        <v>24</v>
      </c>
      <c r="I979">
        <v>99</v>
      </c>
      <c r="J979">
        <v>120</v>
      </c>
      <c r="K979">
        <v>21</v>
      </c>
      <c r="L979">
        <v>0.21210000000000001</v>
      </c>
      <c r="M979" t="s">
        <v>3372</v>
      </c>
      <c r="N979">
        <v>979</v>
      </c>
    </row>
    <row r="980" spans="1:14" x14ac:dyDescent="0.25">
      <c r="A980" t="s">
        <v>2748</v>
      </c>
      <c r="B980">
        <v>976</v>
      </c>
      <c r="C980">
        <v>1976</v>
      </c>
      <c r="D980" s="1" t="s">
        <v>1104</v>
      </c>
      <c r="G980" t="s">
        <v>24</v>
      </c>
      <c r="I980">
        <v>95</v>
      </c>
      <c r="J980">
        <v>115</v>
      </c>
      <c r="K980">
        <v>20</v>
      </c>
      <c r="L980">
        <v>0.21049999999999999</v>
      </c>
      <c r="M980" t="s">
        <v>3372</v>
      </c>
      <c r="N980">
        <v>980</v>
      </c>
    </row>
    <row r="981" spans="1:14" x14ac:dyDescent="0.25">
      <c r="A981" t="s">
        <v>2749</v>
      </c>
      <c r="B981">
        <v>977</v>
      </c>
      <c r="C981">
        <v>1977</v>
      </c>
      <c r="D981" s="1" t="s">
        <v>1105</v>
      </c>
      <c r="F981" t="s">
        <v>937</v>
      </c>
      <c r="G981" t="s">
        <v>24</v>
      </c>
      <c r="I981">
        <v>515</v>
      </c>
      <c r="J981">
        <v>600</v>
      </c>
      <c r="K981">
        <v>85</v>
      </c>
      <c r="L981">
        <v>0.16500000000000001</v>
      </c>
      <c r="M981" t="s">
        <v>3372</v>
      </c>
      <c r="N981">
        <v>981</v>
      </c>
    </row>
    <row r="982" spans="1:14" x14ac:dyDescent="0.25">
      <c r="A982" t="s">
        <v>2750</v>
      </c>
      <c r="B982">
        <v>978</v>
      </c>
      <c r="C982">
        <v>1978</v>
      </c>
      <c r="D982" s="1" t="s">
        <v>1106</v>
      </c>
      <c r="G982" t="s">
        <v>55</v>
      </c>
      <c r="I982">
        <v>39.380000000000003</v>
      </c>
      <c r="J982">
        <v>60</v>
      </c>
      <c r="K982">
        <v>20.62</v>
      </c>
      <c r="L982">
        <v>0.52359999999999995</v>
      </c>
      <c r="M982" t="s">
        <v>3372</v>
      </c>
      <c r="N982">
        <v>982</v>
      </c>
    </row>
    <row r="983" spans="1:14" x14ac:dyDescent="0.25">
      <c r="A983" t="s">
        <v>2751</v>
      </c>
      <c r="B983">
        <v>979</v>
      </c>
      <c r="C983">
        <v>1979</v>
      </c>
      <c r="D983" s="1" t="s">
        <v>1107</v>
      </c>
      <c r="G983" t="s">
        <v>24</v>
      </c>
      <c r="I983">
        <v>2.9</v>
      </c>
      <c r="J983">
        <v>5</v>
      </c>
      <c r="K983">
        <v>2.1</v>
      </c>
      <c r="L983">
        <v>0.72409999999999997</v>
      </c>
      <c r="M983" t="s">
        <v>3372</v>
      </c>
      <c r="N983">
        <v>983</v>
      </c>
    </row>
    <row r="984" spans="1:14" x14ac:dyDescent="0.25">
      <c r="A984" t="s">
        <v>2752</v>
      </c>
      <c r="B984">
        <v>980</v>
      </c>
      <c r="C984">
        <v>1980</v>
      </c>
      <c r="D984" s="1" t="s">
        <v>1108</v>
      </c>
      <c r="E984" t="s">
        <v>345</v>
      </c>
      <c r="G984" t="s">
        <v>24</v>
      </c>
      <c r="I984">
        <v>61</v>
      </c>
      <c r="J984">
        <v>100</v>
      </c>
      <c r="K984">
        <v>39</v>
      </c>
      <c r="L984">
        <v>0.63929999999999998</v>
      </c>
      <c r="M984" t="s">
        <v>3372</v>
      </c>
      <c r="N984">
        <v>984</v>
      </c>
    </row>
    <row r="985" spans="1:14" x14ac:dyDescent="0.25">
      <c r="A985" t="s">
        <v>2753</v>
      </c>
      <c r="B985">
        <v>981</v>
      </c>
      <c r="C985">
        <v>1981</v>
      </c>
      <c r="D985" s="1" t="s">
        <v>1109</v>
      </c>
      <c r="G985" t="s">
        <v>24</v>
      </c>
      <c r="I985">
        <v>140</v>
      </c>
      <c r="J985">
        <v>180</v>
      </c>
      <c r="K985">
        <v>40</v>
      </c>
      <c r="L985">
        <v>0.28570000000000001</v>
      </c>
      <c r="M985" t="s">
        <v>3372</v>
      </c>
      <c r="N985">
        <v>985</v>
      </c>
    </row>
    <row r="986" spans="1:14" x14ac:dyDescent="0.25">
      <c r="A986" t="s">
        <v>2754</v>
      </c>
      <c r="B986">
        <v>982</v>
      </c>
      <c r="C986">
        <v>1982</v>
      </c>
      <c r="D986" s="1" t="s">
        <v>1110</v>
      </c>
      <c r="G986" t="s">
        <v>24</v>
      </c>
      <c r="I986">
        <v>180</v>
      </c>
      <c r="J986">
        <v>220</v>
      </c>
      <c r="K986">
        <v>40</v>
      </c>
      <c r="L986">
        <v>0.22220000000000001</v>
      </c>
      <c r="M986" t="s">
        <v>3372</v>
      </c>
      <c r="N986">
        <v>986</v>
      </c>
    </row>
    <row r="987" spans="1:14" x14ac:dyDescent="0.25">
      <c r="A987" t="s">
        <v>2755</v>
      </c>
      <c r="B987">
        <v>983</v>
      </c>
      <c r="C987">
        <v>1983</v>
      </c>
      <c r="D987" s="1" t="s">
        <v>1111</v>
      </c>
      <c r="G987" t="s">
        <v>24</v>
      </c>
      <c r="I987">
        <v>60</v>
      </c>
      <c r="J987">
        <v>95</v>
      </c>
      <c r="K987">
        <v>35</v>
      </c>
      <c r="L987">
        <v>0.58330000000000004</v>
      </c>
      <c r="M987" t="s">
        <v>3372</v>
      </c>
      <c r="N987">
        <v>987</v>
      </c>
    </row>
    <row r="988" spans="1:14" x14ac:dyDescent="0.25">
      <c r="A988" t="s">
        <v>2756</v>
      </c>
      <c r="B988">
        <v>984</v>
      </c>
      <c r="C988">
        <v>1984</v>
      </c>
      <c r="D988" s="1" t="s">
        <v>1112</v>
      </c>
      <c r="G988" t="s">
        <v>24</v>
      </c>
      <c r="I988">
        <v>90</v>
      </c>
      <c r="J988">
        <v>120</v>
      </c>
      <c r="K988">
        <v>30</v>
      </c>
      <c r="L988">
        <v>0.33329999999999999</v>
      </c>
      <c r="M988" t="s">
        <v>3372</v>
      </c>
      <c r="N988">
        <v>988</v>
      </c>
    </row>
    <row r="989" spans="1:14" x14ac:dyDescent="0.25">
      <c r="A989" t="s">
        <v>2757</v>
      </c>
      <c r="B989">
        <v>985</v>
      </c>
      <c r="C989">
        <v>1985</v>
      </c>
      <c r="D989" s="1" t="s">
        <v>1113</v>
      </c>
      <c r="G989" t="s">
        <v>24</v>
      </c>
      <c r="I989">
        <v>228</v>
      </c>
      <c r="J989">
        <v>285</v>
      </c>
      <c r="K989">
        <v>57</v>
      </c>
      <c r="L989">
        <v>0.25</v>
      </c>
      <c r="M989" t="s">
        <v>3372</v>
      </c>
      <c r="N989">
        <v>989</v>
      </c>
    </row>
    <row r="990" spans="1:14" x14ac:dyDescent="0.25">
      <c r="A990" t="s">
        <v>2758</v>
      </c>
      <c r="B990">
        <v>986</v>
      </c>
      <c r="C990">
        <v>1986</v>
      </c>
      <c r="D990" s="1" t="s">
        <v>1114</v>
      </c>
      <c r="G990" t="s">
        <v>24</v>
      </c>
      <c r="I990">
        <v>205</v>
      </c>
      <c r="J990">
        <v>260</v>
      </c>
      <c r="K990">
        <v>55</v>
      </c>
      <c r="L990">
        <v>0.26829999999999998</v>
      </c>
      <c r="M990" t="s">
        <v>3372</v>
      </c>
      <c r="N990">
        <v>990</v>
      </c>
    </row>
    <row r="991" spans="1:14" x14ac:dyDescent="0.25">
      <c r="A991" t="s">
        <v>2759</v>
      </c>
      <c r="B991">
        <v>987</v>
      </c>
      <c r="C991">
        <v>1987</v>
      </c>
      <c r="D991" s="1" t="s">
        <v>1115</v>
      </c>
      <c r="G991" t="s">
        <v>24</v>
      </c>
      <c r="I991">
        <v>195</v>
      </c>
      <c r="J991">
        <v>260</v>
      </c>
      <c r="K991">
        <v>65</v>
      </c>
      <c r="L991">
        <v>0.33329999999999999</v>
      </c>
      <c r="M991" t="s">
        <v>3372</v>
      </c>
      <c r="N991">
        <v>991</v>
      </c>
    </row>
    <row r="992" spans="1:14" x14ac:dyDescent="0.25">
      <c r="A992" t="s">
        <v>2760</v>
      </c>
      <c r="B992">
        <v>988</v>
      </c>
      <c r="C992">
        <v>1988</v>
      </c>
      <c r="D992" s="1" t="s">
        <v>1116</v>
      </c>
      <c r="G992" t="s">
        <v>24</v>
      </c>
      <c r="I992">
        <v>195</v>
      </c>
      <c r="J992">
        <v>260</v>
      </c>
      <c r="K992">
        <v>65</v>
      </c>
      <c r="L992">
        <v>0.33329999999999999</v>
      </c>
      <c r="M992" t="s">
        <v>3372</v>
      </c>
      <c r="N992">
        <v>992</v>
      </c>
    </row>
    <row r="993" spans="1:14" x14ac:dyDescent="0.25">
      <c r="A993" t="s">
        <v>2761</v>
      </c>
      <c r="B993">
        <v>989</v>
      </c>
      <c r="C993">
        <v>1989</v>
      </c>
      <c r="D993" s="1" t="s">
        <v>1117</v>
      </c>
      <c r="G993" t="s">
        <v>24</v>
      </c>
      <c r="I993">
        <v>195</v>
      </c>
      <c r="J993">
        <v>260</v>
      </c>
      <c r="K993">
        <v>65</v>
      </c>
      <c r="L993">
        <v>0.33329999999999999</v>
      </c>
      <c r="M993" t="s">
        <v>3372</v>
      </c>
      <c r="N993">
        <v>993</v>
      </c>
    </row>
    <row r="994" spans="1:14" x14ac:dyDescent="0.25">
      <c r="A994" t="s">
        <v>2762</v>
      </c>
      <c r="B994">
        <v>990</v>
      </c>
      <c r="C994">
        <v>1990</v>
      </c>
      <c r="D994" s="1" t="s">
        <v>1118</v>
      </c>
      <c r="G994" t="s">
        <v>24</v>
      </c>
      <c r="I994">
        <v>55</v>
      </c>
      <c r="J994">
        <v>100</v>
      </c>
      <c r="K994">
        <v>45</v>
      </c>
      <c r="L994">
        <v>0.81820000000000004</v>
      </c>
      <c r="M994" t="s">
        <v>3372</v>
      </c>
      <c r="N994">
        <v>994</v>
      </c>
    </row>
    <row r="995" spans="1:14" x14ac:dyDescent="0.25">
      <c r="A995" t="s">
        <v>2763</v>
      </c>
      <c r="B995">
        <v>991</v>
      </c>
      <c r="C995">
        <v>1991</v>
      </c>
      <c r="D995" s="1" t="s">
        <v>1119</v>
      </c>
      <c r="G995" t="s">
        <v>24</v>
      </c>
      <c r="I995">
        <v>45</v>
      </c>
      <c r="J995">
        <v>90</v>
      </c>
      <c r="K995">
        <v>45</v>
      </c>
      <c r="L995">
        <v>1</v>
      </c>
      <c r="M995" t="s">
        <v>3372</v>
      </c>
      <c r="N995">
        <v>995</v>
      </c>
    </row>
    <row r="996" spans="1:14" x14ac:dyDescent="0.25">
      <c r="A996" t="s">
        <v>2764</v>
      </c>
      <c r="B996">
        <v>992</v>
      </c>
      <c r="C996">
        <v>1992</v>
      </c>
      <c r="D996" s="1" t="s">
        <v>1120</v>
      </c>
      <c r="G996" t="s">
        <v>24</v>
      </c>
      <c r="I996">
        <v>40</v>
      </c>
      <c r="J996">
        <v>80</v>
      </c>
      <c r="K996">
        <v>40</v>
      </c>
      <c r="L996">
        <v>1</v>
      </c>
      <c r="M996" t="s">
        <v>3372</v>
      </c>
      <c r="N996">
        <v>996</v>
      </c>
    </row>
    <row r="997" spans="1:14" x14ac:dyDescent="0.25">
      <c r="A997" t="s">
        <v>2765</v>
      </c>
      <c r="B997">
        <v>993</v>
      </c>
      <c r="C997">
        <v>1993</v>
      </c>
      <c r="D997" s="1" t="s">
        <v>1121</v>
      </c>
      <c r="E997" t="s">
        <v>1122</v>
      </c>
      <c r="G997" t="s">
        <v>24</v>
      </c>
      <c r="I997">
        <v>45</v>
      </c>
      <c r="J997">
        <v>90</v>
      </c>
      <c r="K997">
        <v>45</v>
      </c>
      <c r="L997">
        <v>1</v>
      </c>
      <c r="M997" t="s">
        <v>3372</v>
      </c>
      <c r="N997">
        <v>997</v>
      </c>
    </row>
    <row r="998" spans="1:14" x14ac:dyDescent="0.25">
      <c r="A998" t="s">
        <v>2766</v>
      </c>
      <c r="B998">
        <v>994</v>
      </c>
      <c r="C998">
        <v>1994</v>
      </c>
      <c r="D998" s="1" t="s">
        <v>1123</v>
      </c>
      <c r="E998" t="s">
        <v>1122</v>
      </c>
      <c r="G998" t="s">
        <v>24</v>
      </c>
      <c r="I998">
        <v>63</v>
      </c>
      <c r="J998">
        <v>100</v>
      </c>
      <c r="K998">
        <v>37</v>
      </c>
      <c r="L998">
        <v>0.58730000000000004</v>
      </c>
      <c r="M998" t="s">
        <v>3372</v>
      </c>
      <c r="N998">
        <v>998</v>
      </c>
    </row>
    <row r="999" spans="1:14" x14ac:dyDescent="0.25">
      <c r="A999" t="s">
        <v>2767</v>
      </c>
      <c r="B999">
        <v>995</v>
      </c>
      <c r="C999">
        <v>1995</v>
      </c>
      <c r="D999" s="1" t="s">
        <v>1124</v>
      </c>
      <c r="E999" t="s">
        <v>1122</v>
      </c>
      <c r="G999" t="s">
        <v>24</v>
      </c>
      <c r="I999">
        <v>60</v>
      </c>
      <c r="J999">
        <v>100</v>
      </c>
      <c r="K999">
        <v>40</v>
      </c>
      <c r="L999">
        <v>0.66669999999999996</v>
      </c>
      <c r="M999" t="s">
        <v>3372</v>
      </c>
      <c r="N999">
        <v>999</v>
      </c>
    </row>
    <row r="1000" spans="1:14" x14ac:dyDescent="0.25">
      <c r="A1000" t="s">
        <v>2768</v>
      </c>
      <c r="B1000">
        <v>996</v>
      </c>
      <c r="C1000">
        <v>1996</v>
      </c>
      <c r="D1000" s="1" t="s">
        <v>1125</v>
      </c>
      <c r="E1000" t="s">
        <v>1122</v>
      </c>
      <c r="G1000" t="s">
        <v>24</v>
      </c>
      <c r="I1000">
        <v>43</v>
      </c>
      <c r="J1000">
        <v>85</v>
      </c>
      <c r="K1000">
        <v>42</v>
      </c>
      <c r="L1000">
        <v>0.97670000000000001</v>
      </c>
      <c r="M1000" t="s">
        <v>3372</v>
      </c>
      <c r="N1000">
        <v>1000</v>
      </c>
    </row>
    <row r="1001" spans="1:14" x14ac:dyDescent="0.25">
      <c r="A1001" t="s">
        <v>2769</v>
      </c>
      <c r="B1001">
        <v>997</v>
      </c>
      <c r="C1001">
        <v>1997</v>
      </c>
      <c r="D1001" s="1" t="s">
        <v>1126</v>
      </c>
      <c r="E1001" t="s">
        <v>1122</v>
      </c>
      <c r="G1001" t="s">
        <v>24</v>
      </c>
      <c r="I1001">
        <v>47</v>
      </c>
      <c r="J1001">
        <v>90</v>
      </c>
      <c r="K1001">
        <v>43</v>
      </c>
      <c r="L1001">
        <v>0.91490000000000005</v>
      </c>
      <c r="M1001" t="s">
        <v>3372</v>
      </c>
      <c r="N1001">
        <v>1001</v>
      </c>
    </row>
    <row r="1002" spans="1:14" x14ac:dyDescent="0.25">
      <c r="A1002" t="s">
        <v>2770</v>
      </c>
      <c r="B1002">
        <v>998</v>
      </c>
      <c r="C1002">
        <v>1998</v>
      </c>
      <c r="D1002" s="1" t="s">
        <v>1127</v>
      </c>
      <c r="E1002" t="s">
        <v>1122</v>
      </c>
      <c r="G1002" t="s">
        <v>24</v>
      </c>
      <c r="I1002">
        <v>35</v>
      </c>
      <c r="J1002">
        <v>80</v>
      </c>
      <c r="K1002">
        <v>45</v>
      </c>
      <c r="L1002">
        <v>1.2857000000000001</v>
      </c>
      <c r="M1002" t="s">
        <v>3372</v>
      </c>
      <c r="N1002">
        <v>1002</v>
      </c>
    </row>
    <row r="1003" spans="1:14" x14ac:dyDescent="0.25">
      <c r="A1003" t="s">
        <v>2771</v>
      </c>
      <c r="B1003">
        <v>999</v>
      </c>
      <c r="C1003">
        <v>1999</v>
      </c>
      <c r="D1003" s="1" t="s">
        <v>1128</v>
      </c>
      <c r="E1003" t="s">
        <v>1122</v>
      </c>
      <c r="G1003" t="s">
        <v>24</v>
      </c>
      <c r="I1003">
        <v>26</v>
      </c>
      <c r="J1003">
        <v>70</v>
      </c>
      <c r="K1003">
        <v>44</v>
      </c>
      <c r="L1003">
        <v>1.6922999999999999</v>
      </c>
      <c r="M1003" t="s">
        <v>3372</v>
      </c>
      <c r="N1003">
        <v>1003</v>
      </c>
    </row>
    <row r="1004" spans="1:14" x14ac:dyDescent="0.25">
      <c r="A1004" t="s">
        <v>2772</v>
      </c>
      <c r="B1004">
        <v>1000</v>
      </c>
      <c r="C1004">
        <v>2000</v>
      </c>
      <c r="D1004" s="1" t="s">
        <v>1129</v>
      </c>
      <c r="E1004" t="s">
        <v>1122</v>
      </c>
      <c r="G1004" t="s">
        <v>24</v>
      </c>
      <c r="I1004">
        <v>29</v>
      </c>
      <c r="J1004">
        <v>80</v>
      </c>
      <c r="K1004">
        <v>51</v>
      </c>
      <c r="L1004">
        <v>1.7585999999999999</v>
      </c>
      <c r="M1004" t="s">
        <v>3372</v>
      </c>
      <c r="N1004">
        <v>1004</v>
      </c>
    </row>
    <row r="1005" spans="1:14" x14ac:dyDescent="0.25">
      <c r="A1005" t="s">
        <v>2773</v>
      </c>
      <c r="B1005">
        <v>1001</v>
      </c>
      <c r="C1005">
        <v>2001</v>
      </c>
      <c r="D1005" s="1" t="s">
        <v>1130</v>
      </c>
      <c r="G1005" t="s">
        <v>24</v>
      </c>
      <c r="I1005">
        <v>288</v>
      </c>
      <c r="J1005">
        <v>385</v>
      </c>
      <c r="K1005">
        <v>97</v>
      </c>
      <c r="L1005">
        <v>0.33679999999999999</v>
      </c>
      <c r="M1005" t="s">
        <v>3372</v>
      </c>
      <c r="N1005">
        <v>1005</v>
      </c>
    </row>
    <row r="1006" spans="1:14" x14ac:dyDescent="0.25">
      <c r="A1006" t="s">
        <v>2774</v>
      </c>
      <c r="B1006">
        <v>1002</v>
      </c>
      <c r="C1006">
        <v>2002</v>
      </c>
      <c r="D1006" s="1" t="s">
        <v>1131</v>
      </c>
      <c r="G1006" t="s">
        <v>24</v>
      </c>
      <c r="I1006">
        <v>288</v>
      </c>
      <c r="J1006">
        <v>385</v>
      </c>
      <c r="K1006">
        <v>97</v>
      </c>
      <c r="L1006">
        <v>0.33679999999999999</v>
      </c>
      <c r="M1006" t="s">
        <v>3372</v>
      </c>
      <c r="N1006">
        <v>1006</v>
      </c>
    </row>
    <row r="1007" spans="1:14" x14ac:dyDescent="0.25">
      <c r="A1007" t="s">
        <v>2775</v>
      </c>
      <c r="B1007">
        <v>1003</v>
      </c>
      <c r="C1007">
        <v>2003</v>
      </c>
      <c r="D1007" s="1" t="s">
        <v>1132</v>
      </c>
      <c r="G1007" t="s">
        <v>24</v>
      </c>
      <c r="I1007">
        <v>50</v>
      </c>
      <c r="J1007">
        <v>90</v>
      </c>
      <c r="K1007">
        <v>40</v>
      </c>
      <c r="L1007">
        <v>0.8</v>
      </c>
      <c r="M1007" t="s">
        <v>3372</v>
      </c>
      <c r="N1007">
        <v>1007</v>
      </c>
    </row>
    <row r="1008" spans="1:14" x14ac:dyDescent="0.25">
      <c r="A1008" t="s">
        <v>2776</v>
      </c>
      <c r="B1008">
        <v>1004</v>
      </c>
      <c r="C1008">
        <v>2004</v>
      </c>
      <c r="D1008" s="1" t="s">
        <v>1133</v>
      </c>
      <c r="E1008" t="s">
        <v>1134</v>
      </c>
      <c r="G1008" t="s">
        <v>24</v>
      </c>
      <c r="I1008">
        <v>820</v>
      </c>
      <c r="J1008">
        <v>990</v>
      </c>
      <c r="K1008">
        <v>170</v>
      </c>
      <c r="L1008">
        <v>0.20730000000000001</v>
      </c>
      <c r="M1008" t="s">
        <v>3372</v>
      </c>
      <c r="N1008">
        <v>1008</v>
      </c>
    </row>
    <row r="1009" spans="1:14" x14ac:dyDescent="0.25">
      <c r="A1009" t="s">
        <v>2777</v>
      </c>
      <c r="B1009">
        <v>1005</v>
      </c>
      <c r="C1009">
        <v>2005</v>
      </c>
      <c r="D1009" s="1" t="s">
        <v>1135</v>
      </c>
      <c r="G1009" t="s">
        <v>55</v>
      </c>
      <c r="I1009">
        <v>14</v>
      </c>
      <c r="J1009">
        <v>20</v>
      </c>
      <c r="K1009">
        <v>6</v>
      </c>
      <c r="L1009">
        <v>0.42859999999999998</v>
      </c>
      <c r="M1009" t="s">
        <v>3372</v>
      </c>
      <c r="N1009">
        <v>1009</v>
      </c>
    </row>
    <row r="1010" spans="1:14" x14ac:dyDescent="0.25">
      <c r="A1010" t="s">
        <v>2778</v>
      </c>
      <c r="B1010">
        <v>1006</v>
      </c>
      <c r="C1010">
        <v>2006</v>
      </c>
      <c r="D1010" s="1" t="s">
        <v>1136</v>
      </c>
      <c r="G1010" t="s">
        <v>176</v>
      </c>
      <c r="I1010">
        <v>35</v>
      </c>
      <c r="J1010">
        <v>55</v>
      </c>
      <c r="K1010">
        <v>20</v>
      </c>
      <c r="L1010">
        <v>0.57140000000000002</v>
      </c>
      <c r="M1010" t="s">
        <v>3372</v>
      </c>
      <c r="N1010">
        <v>1010</v>
      </c>
    </row>
    <row r="1011" spans="1:14" x14ac:dyDescent="0.25">
      <c r="A1011" t="s">
        <v>2779</v>
      </c>
      <c r="B1011">
        <v>1007</v>
      </c>
      <c r="C1011">
        <v>2007</v>
      </c>
      <c r="D1011" s="1" t="s">
        <v>1137</v>
      </c>
      <c r="G1011" t="s">
        <v>93</v>
      </c>
      <c r="I1011">
        <v>286</v>
      </c>
      <c r="J1011">
        <v>360</v>
      </c>
      <c r="K1011">
        <v>74</v>
      </c>
      <c r="L1011">
        <v>0.25869999999999999</v>
      </c>
      <c r="M1011" t="s">
        <v>3372</v>
      </c>
      <c r="N1011">
        <v>1011</v>
      </c>
    </row>
    <row r="1012" spans="1:14" x14ac:dyDescent="0.25">
      <c r="A1012" t="s">
        <v>2780</v>
      </c>
      <c r="B1012">
        <v>1008</v>
      </c>
      <c r="C1012">
        <v>2008</v>
      </c>
      <c r="D1012" s="1" t="s">
        <v>1138</v>
      </c>
      <c r="G1012" t="s">
        <v>93</v>
      </c>
      <c r="I1012">
        <v>214</v>
      </c>
      <c r="J1012">
        <v>330</v>
      </c>
      <c r="K1012">
        <v>116</v>
      </c>
      <c r="L1012">
        <v>0.54210000000000003</v>
      </c>
      <c r="M1012" t="s">
        <v>3372</v>
      </c>
      <c r="N1012">
        <v>1012</v>
      </c>
    </row>
    <row r="1013" spans="1:14" x14ac:dyDescent="0.25">
      <c r="A1013" t="s">
        <v>2781</v>
      </c>
      <c r="B1013">
        <v>1009</v>
      </c>
      <c r="C1013">
        <v>2009</v>
      </c>
      <c r="D1013" s="1" t="s">
        <v>1139</v>
      </c>
      <c r="G1013" t="s">
        <v>93</v>
      </c>
      <c r="I1013">
        <v>310</v>
      </c>
      <c r="J1013">
        <v>420</v>
      </c>
      <c r="K1013">
        <v>110</v>
      </c>
      <c r="L1013">
        <v>0.3548</v>
      </c>
      <c r="M1013" t="s">
        <v>3372</v>
      </c>
      <c r="N1013">
        <v>1013</v>
      </c>
    </row>
    <row r="1014" spans="1:14" x14ac:dyDescent="0.25">
      <c r="A1014" t="s">
        <v>2782</v>
      </c>
      <c r="B1014">
        <v>1010</v>
      </c>
      <c r="C1014">
        <v>2010</v>
      </c>
      <c r="D1014" s="1" t="s">
        <v>1140</v>
      </c>
      <c r="F1014" t="s">
        <v>1141</v>
      </c>
      <c r="G1014" t="s">
        <v>24</v>
      </c>
      <c r="I1014">
        <v>310</v>
      </c>
      <c r="J1014">
        <v>420</v>
      </c>
      <c r="K1014">
        <v>110</v>
      </c>
      <c r="L1014">
        <v>0.3548</v>
      </c>
      <c r="M1014" t="s">
        <v>3372</v>
      </c>
      <c r="N1014">
        <v>1014</v>
      </c>
    </row>
    <row r="1015" spans="1:14" x14ac:dyDescent="0.25">
      <c r="A1015" t="s">
        <v>2783</v>
      </c>
      <c r="B1015">
        <v>1011</v>
      </c>
      <c r="C1015">
        <v>2011</v>
      </c>
      <c r="D1015" s="1" t="s">
        <v>1142</v>
      </c>
      <c r="G1015" t="s">
        <v>24</v>
      </c>
      <c r="I1015">
        <v>148.5</v>
      </c>
      <c r="J1015">
        <v>170</v>
      </c>
      <c r="K1015">
        <v>21.5</v>
      </c>
      <c r="L1015">
        <v>0.14480000000000001</v>
      </c>
      <c r="M1015" t="s">
        <v>3372</v>
      </c>
      <c r="N1015">
        <v>1015</v>
      </c>
    </row>
    <row r="1016" spans="1:14" x14ac:dyDescent="0.25">
      <c r="A1016" t="s">
        <v>2784</v>
      </c>
      <c r="B1016">
        <v>1012</v>
      </c>
      <c r="C1016">
        <v>2012</v>
      </c>
      <c r="D1016" s="1" t="s">
        <v>1143</v>
      </c>
      <c r="G1016" t="s">
        <v>24</v>
      </c>
      <c r="I1016">
        <v>40.799999999999997</v>
      </c>
      <c r="J1016">
        <v>75</v>
      </c>
      <c r="K1016">
        <v>34.200000000000003</v>
      </c>
      <c r="L1016">
        <v>0.83819999999999995</v>
      </c>
      <c r="M1016" t="s">
        <v>3372</v>
      </c>
      <c r="N1016">
        <v>1016</v>
      </c>
    </row>
    <row r="1017" spans="1:14" x14ac:dyDescent="0.25">
      <c r="A1017" t="s">
        <v>2785</v>
      </c>
      <c r="B1017">
        <v>1013</v>
      </c>
      <c r="C1017">
        <v>2013</v>
      </c>
      <c r="D1017" s="1" t="s">
        <v>1144</v>
      </c>
      <c r="G1017" t="s">
        <v>24</v>
      </c>
      <c r="I1017">
        <v>105</v>
      </c>
      <c r="J1017">
        <v>185</v>
      </c>
      <c r="K1017">
        <v>80</v>
      </c>
      <c r="L1017">
        <v>0.76190000000000002</v>
      </c>
      <c r="M1017" t="s">
        <v>3372</v>
      </c>
      <c r="N1017">
        <v>1017</v>
      </c>
    </row>
    <row r="1018" spans="1:14" x14ac:dyDescent="0.25">
      <c r="A1018" t="s">
        <v>2786</v>
      </c>
      <c r="B1018">
        <v>1014</v>
      </c>
      <c r="C1018">
        <v>2014</v>
      </c>
      <c r="D1018" s="1" t="s">
        <v>1145</v>
      </c>
      <c r="G1018" t="s">
        <v>24</v>
      </c>
      <c r="I1018">
        <v>950</v>
      </c>
      <c r="J1018">
        <v>1300</v>
      </c>
      <c r="K1018">
        <v>350</v>
      </c>
      <c r="L1018">
        <v>0.36840000000000001</v>
      </c>
      <c r="M1018" t="s">
        <v>3372</v>
      </c>
      <c r="N1018">
        <v>1018</v>
      </c>
    </row>
    <row r="1019" spans="1:14" x14ac:dyDescent="0.25">
      <c r="A1019" t="s">
        <v>2787</v>
      </c>
      <c r="B1019">
        <v>1015</v>
      </c>
      <c r="C1019">
        <v>2015</v>
      </c>
      <c r="D1019" s="1" t="s">
        <v>1146</v>
      </c>
      <c r="G1019" t="s">
        <v>55</v>
      </c>
      <c r="I1019">
        <v>72</v>
      </c>
      <c r="J1019">
        <v>105</v>
      </c>
      <c r="K1019">
        <v>33</v>
      </c>
      <c r="L1019">
        <v>0.45829999999999999</v>
      </c>
      <c r="M1019" t="s">
        <v>3372</v>
      </c>
      <c r="N1019">
        <v>1019</v>
      </c>
    </row>
    <row r="1020" spans="1:14" x14ac:dyDescent="0.25">
      <c r="A1020" t="s">
        <v>2788</v>
      </c>
      <c r="B1020">
        <v>1016</v>
      </c>
      <c r="C1020">
        <v>2016</v>
      </c>
      <c r="D1020" s="1" t="s">
        <v>1147</v>
      </c>
      <c r="G1020" t="s">
        <v>55</v>
      </c>
      <c r="I1020">
        <v>36</v>
      </c>
      <c r="J1020">
        <v>53</v>
      </c>
      <c r="K1020">
        <v>17</v>
      </c>
      <c r="L1020">
        <v>0.47220000000000001</v>
      </c>
      <c r="M1020" t="s">
        <v>3372</v>
      </c>
      <c r="N1020">
        <v>1020</v>
      </c>
    </row>
    <row r="1021" spans="1:14" x14ac:dyDescent="0.25">
      <c r="A1021" t="s">
        <v>2789</v>
      </c>
      <c r="B1021">
        <v>1017</v>
      </c>
      <c r="C1021">
        <v>2017</v>
      </c>
      <c r="D1021" s="1" t="s">
        <v>1148</v>
      </c>
      <c r="G1021" t="s">
        <v>55</v>
      </c>
      <c r="I1021">
        <v>18</v>
      </c>
      <c r="J1021">
        <v>27</v>
      </c>
      <c r="K1021">
        <v>9</v>
      </c>
      <c r="L1021">
        <v>0.5</v>
      </c>
      <c r="M1021" t="s">
        <v>3372</v>
      </c>
      <c r="N1021">
        <v>1021</v>
      </c>
    </row>
    <row r="1022" spans="1:14" x14ac:dyDescent="0.25">
      <c r="A1022" t="s">
        <v>2790</v>
      </c>
      <c r="B1022">
        <v>1018</v>
      </c>
      <c r="C1022">
        <v>2018</v>
      </c>
      <c r="D1022" s="1" t="s">
        <v>1149</v>
      </c>
      <c r="E1022" t="s">
        <v>1150</v>
      </c>
      <c r="G1022" t="s">
        <v>24</v>
      </c>
      <c r="I1022">
        <v>484</v>
      </c>
      <c r="J1022">
        <v>615</v>
      </c>
      <c r="K1022">
        <v>131</v>
      </c>
      <c r="L1022">
        <v>0.2707</v>
      </c>
      <c r="M1022" t="s">
        <v>3372</v>
      </c>
      <c r="N1022">
        <v>1022</v>
      </c>
    </row>
    <row r="1023" spans="1:14" x14ac:dyDescent="0.25">
      <c r="A1023" t="s">
        <v>2791</v>
      </c>
      <c r="B1023">
        <v>1019</v>
      </c>
      <c r="C1023">
        <v>2019</v>
      </c>
      <c r="D1023" s="1" t="s">
        <v>1151</v>
      </c>
      <c r="E1023" t="s">
        <v>1152</v>
      </c>
      <c r="G1023" t="s">
        <v>24</v>
      </c>
      <c r="I1023">
        <v>760</v>
      </c>
      <c r="J1023">
        <v>885</v>
      </c>
      <c r="K1023">
        <v>125</v>
      </c>
      <c r="L1023">
        <v>0.16450000000000001</v>
      </c>
      <c r="M1023" t="s">
        <v>3372</v>
      </c>
      <c r="N1023">
        <v>1023</v>
      </c>
    </row>
    <row r="1024" spans="1:14" x14ac:dyDescent="0.25">
      <c r="A1024" t="s">
        <v>2792</v>
      </c>
      <c r="B1024">
        <v>1020</v>
      </c>
      <c r="C1024">
        <v>2020</v>
      </c>
      <c r="D1024" s="1" t="s">
        <v>1153</v>
      </c>
      <c r="G1024" t="s">
        <v>93</v>
      </c>
      <c r="I1024">
        <v>4.5</v>
      </c>
      <c r="J1024">
        <v>10</v>
      </c>
      <c r="K1024">
        <v>5.5</v>
      </c>
      <c r="L1024">
        <v>1.2222</v>
      </c>
      <c r="M1024" t="s">
        <v>3372</v>
      </c>
      <c r="N1024">
        <v>1024</v>
      </c>
    </row>
    <row r="1025" spans="1:14" x14ac:dyDescent="0.25">
      <c r="A1025" t="s">
        <v>2793</v>
      </c>
      <c r="B1025">
        <v>1021</v>
      </c>
      <c r="C1025">
        <v>2021</v>
      </c>
      <c r="D1025" s="1" t="s">
        <v>1154</v>
      </c>
      <c r="G1025" t="s">
        <v>176</v>
      </c>
      <c r="I1025">
        <v>540</v>
      </c>
      <c r="J1025">
        <v>685</v>
      </c>
      <c r="K1025">
        <v>145</v>
      </c>
      <c r="L1025">
        <v>0.26850000000000002</v>
      </c>
      <c r="M1025" t="s">
        <v>3372</v>
      </c>
      <c r="N1025">
        <v>1025</v>
      </c>
    </row>
    <row r="1026" spans="1:14" x14ac:dyDescent="0.25">
      <c r="A1026" t="s">
        <v>2794</v>
      </c>
      <c r="B1026">
        <v>1022</v>
      </c>
      <c r="C1026">
        <v>2022</v>
      </c>
      <c r="D1026" s="1" t="s">
        <v>1155</v>
      </c>
      <c r="G1026" t="s">
        <v>24</v>
      </c>
      <c r="I1026">
        <v>7</v>
      </c>
      <c r="J1026">
        <v>15</v>
      </c>
      <c r="K1026">
        <v>8</v>
      </c>
      <c r="L1026">
        <v>1.1429</v>
      </c>
      <c r="M1026" t="s">
        <v>3372</v>
      </c>
      <c r="N1026">
        <v>1026</v>
      </c>
    </row>
    <row r="1027" spans="1:14" x14ac:dyDescent="0.25">
      <c r="A1027" t="s">
        <v>2795</v>
      </c>
      <c r="B1027">
        <v>1023</v>
      </c>
      <c r="C1027">
        <v>2023</v>
      </c>
      <c r="D1027" s="1" t="s">
        <v>1156</v>
      </c>
      <c r="G1027" t="s">
        <v>24</v>
      </c>
      <c r="I1027">
        <v>0.5</v>
      </c>
      <c r="J1027">
        <v>1.5</v>
      </c>
      <c r="K1027">
        <v>1</v>
      </c>
      <c r="L1027">
        <v>2</v>
      </c>
      <c r="M1027" t="s">
        <v>3372</v>
      </c>
      <c r="N1027">
        <v>1027</v>
      </c>
    </row>
    <row r="1028" spans="1:14" x14ac:dyDescent="0.25">
      <c r="A1028" t="s">
        <v>2796</v>
      </c>
      <c r="B1028">
        <v>1024</v>
      </c>
      <c r="C1028">
        <v>2024</v>
      </c>
      <c r="D1028" s="1" t="s">
        <v>1157</v>
      </c>
      <c r="G1028" t="s">
        <v>24</v>
      </c>
      <c r="I1028">
        <v>0.5</v>
      </c>
      <c r="J1028">
        <v>1.5</v>
      </c>
      <c r="K1028">
        <v>1</v>
      </c>
      <c r="L1028">
        <v>2</v>
      </c>
      <c r="M1028" t="s">
        <v>3372</v>
      </c>
      <c r="N1028">
        <v>1028</v>
      </c>
    </row>
    <row r="1029" spans="1:14" x14ac:dyDescent="0.25">
      <c r="A1029" t="s">
        <v>2797</v>
      </c>
      <c r="B1029">
        <v>1025</v>
      </c>
      <c r="C1029">
        <v>2025</v>
      </c>
      <c r="D1029" s="1" t="s">
        <v>1158</v>
      </c>
      <c r="G1029" t="s">
        <v>24</v>
      </c>
      <c r="I1029">
        <v>0.5</v>
      </c>
      <c r="J1029">
        <v>1.5</v>
      </c>
      <c r="K1029">
        <v>1</v>
      </c>
      <c r="L1029">
        <v>2</v>
      </c>
      <c r="M1029" t="s">
        <v>3372</v>
      </c>
      <c r="N1029">
        <v>1029</v>
      </c>
    </row>
    <row r="1030" spans="1:14" x14ac:dyDescent="0.25">
      <c r="A1030" t="s">
        <v>2798</v>
      </c>
      <c r="B1030">
        <v>1026</v>
      </c>
      <c r="C1030">
        <v>2026</v>
      </c>
      <c r="D1030" s="1" t="s">
        <v>1159</v>
      </c>
      <c r="G1030" t="s">
        <v>24</v>
      </c>
      <c r="I1030">
        <v>0.5</v>
      </c>
      <c r="J1030">
        <v>1.5</v>
      </c>
      <c r="K1030">
        <v>1</v>
      </c>
      <c r="L1030">
        <v>2</v>
      </c>
      <c r="M1030" t="s">
        <v>3372</v>
      </c>
      <c r="N1030">
        <v>1030</v>
      </c>
    </row>
    <row r="1031" spans="1:14" x14ac:dyDescent="0.25">
      <c r="A1031" t="s">
        <v>2799</v>
      </c>
      <c r="B1031">
        <v>1027</v>
      </c>
      <c r="C1031">
        <v>2027</v>
      </c>
      <c r="D1031" s="1" t="s">
        <v>1160</v>
      </c>
      <c r="G1031" t="s">
        <v>24</v>
      </c>
      <c r="I1031">
        <v>0.6</v>
      </c>
      <c r="J1031">
        <v>2</v>
      </c>
      <c r="K1031">
        <v>1.4</v>
      </c>
      <c r="L1031">
        <v>2.3332999999999999</v>
      </c>
      <c r="M1031" t="s">
        <v>3372</v>
      </c>
      <c r="N1031">
        <v>1031</v>
      </c>
    </row>
    <row r="1032" spans="1:14" x14ac:dyDescent="0.25">
      <c r="A1032" t="s">
        <v>2800</v>
      </c>
      <c r="B1032">
        <v>1028</v>
      </c>
      <c r="C1032">
        <v>2028</v>
      </c>
      <c r="D1032" s="1" t="s">
        <v>1161</v>
      </c>
      <c r="G1032" t="s">
        <v>24</v>
      </c>
      <c r="I1032">
        <v>0.9</v>
      </c>
      <c r="J1032">
        <v>3</v>
      </c>
      <c r="K1032">
        <v>2.1</v>
      </c>
      <c r="L1032">
        <v>2.3332999999999999</v>
      </c>
      <c r="M1032" t="s">
        <v>3372</v>
      </c>
      <c r="N1032">
        <v>1032</v>
      </c>
    </row>
    <row r="1033" spans="1:14" x14ac:dyDescent="0.25">
      <c r="A1033" t="s">
        <v>2801</v>
      </c>
      <c r="B1033">
        <v>1029</v>
      </c>
      <c r="C1033">
        <v>2029</v>
      </c>
      <c r="D1033" s="1" t="s">
        <v>1162</v>
      </c>
      <c r="G1033" t="s">
        <v>24</v>
      </c>
      <c r="I1033">
        <v>1.75</v>
      </c>
      <c r="J1033">
        <v>12</v>
      </c>
      <c r="K1033">
        <v>10.25</v>
      </c>
      <c r="L1033">
        <v>5.8571</v>
      </c>
      <c r="M1033" t="s">
        <v>3372</v>
      </c>
      <c r="N1033">
        <v>1033</v>
      </c>
    </row>
    <row r="1034" spans="1:14" x14ac:dyDescent="0.25">
      <c r="A1034" t="s">
        <v>2802</v>
      </c>
      <c r="B1034">
        <v>1030</v>
      </c>
      <c r="C1034">
        <v>2030</v>
      </c>
      <c r="D1034" s="1" t="s">
        <v>1163</v>
      </c>
      <c r="G1034" t="s">
        <v>24</v>
      </c>
      <c r="I1034">
        <v>8</v>
      </c>
      <c r="J1034">
        <v>20</v>
      </c>
      <c r="K1034">
        <v>12</v>
      </c>
      <c r="L1034">
        <v>1.5</v>
      </c>
      <c r="M1034" t="s">
        <v>3372</v>
      </c>
      <c r="N1034">
        <v>1034</v>
      </c>
    </row>
    <row r="1035" spans="1:14" x14ac:dyDescent="0.25">
      <c r="A1035" t="s">
        <v>2803</v>
      </c>
      <c r="B1035">
        <v>1031</v>
      </c>
      <c r="C1035">
        <v>2031</v>
      </c>
      <c r="D1035" s="1" t="s">
        <v>1164</v>
      </c>
      <c r="G1035" t="s">
        <v>24</v>
      </c>
      <c r="I1035">
        <v>10.5</v>
      </c>
      <c r="J1035">
        <v>32</v>
      </c>
      <c r="K1035">
        <v>21.5</v>
      </c>
      <c r="L1035">
        <v>2.0476000000000001</v>
      </c>
      <c r="M1035" t="s">
        <v>3372</v>
      </c>
      <c r="N1035">
        <v>1035</v>
      </c>
    </row>
    <row r="1036" spans="1:14" x14ac:dyDescent="0.25">
      <c r="A1036" t="s">
        <v>2804</v>
      </c>
      <c r="B1036">
        <v>1032</v>
      </c>
      <c r="C1036">
        <v>2032</v>
      </c>
      <c r="D1036" s="1" t="s">
        <v>1165</v>
      </c>
      <c r="G1036" t="s">
        <v>24</v>
      </c>
      <c r="I1036">
        <v>11</v>
      </c>
      <c r="J1036">
        <v>40</v>
      </c>
      <c r="K1036">
        <v>29</v>
      </c>
      <c r="L1036">
        <v>2.6364000000000001</v>
      </c>
      <c r="M1036" t="s">
        <v>3372</v>
      </c>
      <c r="N1036">
        <v>1036</v>
      </c>
    </row>
    <row r="1037" spans="1:14" x14ac:dyDescent="0.25">
      <c r="A1037" t="s">
        <v>2805</v>
      </c>
      <c r="B1037">
        <v>1033</v>
      </c>
      <c r="C1037">
        <v>2033</v>
      </c>
      <c r="D1037" s="1" t="s">
        <v>1166</v>
      </c>
      <c r="G1037" t="s">
        <v>24</v>
      </c>
      <c r="I1037">
        <v>288</v>
      </c>
      <c r="J1037">
        <v>390</v>
      </c>
      <c r="K1037">
        <v>102</v>
      </c>
      <c r="L1037">
        <v>0.35420000000000001</v>
      </c>
      <c r="M1037" t="s">
        <v>3372</v>
      </c>
      <c r="N1037">
        <v>1037</v>
      </c>
    </row>
    <row r="1038" spans="1:14" x14ac:dyDescent="0.25">
      <c r="A1038" t="s">
        <v>2806</v>
      </c>
      <c r="B1038">
        <v>1034</v>
      </c>
      <c r="C1038">
        <v>2034</v>
      </c>
      <c r="D1038" s="1" t="s">
        <v>1167</v>
      </c>
      <c r="G1038" t="s">
        <v>24</v>
      </c>
      <c r="I1038">
        <v>200</v>
      </c>
      <c r="J1038">
        <v>350</v>
      </c>
      <c r="K1038">
        <v>150</v>
      </c>
      <c r="L1038">
        <v>0.75</v>
      </c>
      <c r="M1038" t="s">
        <v>3372</v>
      </c>
      <c r="N1038">
        <v>1038</v>
      </c>
    </row>
    <row r="1039" spans="1:14" x14ac:dyDescent="0.25">
      <c r="A1039" t="s">
        <v>2807</v>
      </c>
      <c r="B1039">
        <v>1035</v>
      </c>
      <c r="C1039">
        <v>2035</v>
      </c>
      <c r="D1039" s="1" t="s">
        <v>1168</v>
      </c>
      <c r="G1039" t="s">
        <v>24</v>
      </c>
      <c r="I1039">
        <v>121</v>
      </c>
      <c r="J1039">
        <v>165</v>
      </c>
      <c r="K1039">
        <v>44</v>
      </c>
      <c r="L1039">
        <v>0.36359999999999998</v>
      </c>
      <c r="M1039" t="s">
        <v>3372</v>
      </c>
      <c r="N1039">
        <v>1039</v>
      </c>
    </row>
    <row r="1040" spans="1:14" x14ac:dyDescent="0.25">
      <c r="A1040" t="s">
        <v>2808</v>
      </c>
      <c r="B1040">
        <v>1036</v>
      </c>
      <c r="C1040">
        <v>2036</v>
      </c>
      <c r="D1040" s="1" t="s">
        <v>1169</v>
      </c>
      <c r="G1040" t="s">
        <v>176</v>
      </c>
      <c r="I1040">
        <v>2088</v>
      </c>
      <c r="J1040">
        <v>2485</v>
      </c>
      <c r="K1040">
        <v>397</v>
      </c>
      <c r="L1040">
        <v>0.19009999999999999</v>
      </c>
      <c r="M1040" t="s">
        <v>3372</v>
      </c>
      <c r="N1040">
        <v>1040</v>
      </c>
    </row>
    <row r="1041" spans="1:14" x14ac:dyDescent="0.25">
      <c r="A1041" t="s">
        <v>2809</v>
      </c>
      <c r="B1041">
        <v>1037</v>
      </c>
      <c r="C1041">
        <v>2037</v>
      </c>
      <c r="D1041" s="1" t="s">
        <v>1170</v>
      </c>
      <c r="G1041" t="s">
        <v>176</v>
      </c>
      <c r="I1041">
        <v>3068</v>
      </c>
      <c r="J1041">
        <v>3625</v>
      </c>
      <c r="K1041">
        <v>557</v>
      </c>
      <c r="L1041">
        <v>0.18160000000000001</v>
      </c>
      <c r="M1041" t="s">
        <v>3372</v>
      </c>
      <c r="N1041">
        <v>1041</v>
      </c>
    </row>
    <row r="1042" spans="1:14" x14ac:dyDescent="0.25">
      <c r="A1042" t="s">
        <v>2810</v>
      </c>
      <c r="B1042">
        <v>1038</v>
      </c>
      <c r="C1042">
        <v>2038</v>
      </c>
      <c r="D1042" s="1" t="s">
        <v>1171</v>
      </c>
      <c r="F1042" t="s">
        <v>1141</v>
      </c>
      <c r="G1042" t="s">
        <v>24</v>
      </c>
      <c r="I1042">
        <v>290</v>
      </c>
      <c r="J1042">
        <v>375</v>
      </c>
      <c r="K1042">
        <v>85</v>
      </c>
      <c r="L1042">
        <v>0.29310000000000003</v>
      </c>
      <c r="M1042" t="s">
        <v>3372</v>
      </c>
      <c r="N1042">
        <v>1042</v>
      </c>
    </row>
    <row r="1043" spans="1:14" x14ac:dyDescent="0.25">
      <c r="A1043" t="s">
        <v>2811</v>
      </c>
      <c r="B1043">
        <v>1039</v>
      </c>
      <c r="C1043">
        <v>2039</v>
      </c>
      <c r="D1043" s="1" t="s">
        <v>1172</v>
      </c>
      <c r="G1043" t="s">
        <v>55</v>
      </c>
      <c r="I1043">
        <v>20.25</v>
      </c>
      <c r="J1043">
        <v>25</v>
      </c>
      <c r="K1043">
        <v>4.75</v>
      </c>
      <c r="L1043">
        <v>0.2346</v>
      </c>
      <c r="M1043" t="s">
        <v>3372</v>
      </c>
      <c r="N1043">
        <v>1043</v>
      </c>
    </row>
    <row r="1044" spans="1:14" x14ac:dyDescent="0.25">
      <c r="A1044" t="s">
        <v>2812</v>
      </c>
      <c r="B1044">
        <v>1040</v>
      </c>
      <c r="C1044">
        <v>2040</v>
      </c>
      <c r="D1044" s="1" t="s">
        <v>1173</v>
      </c>
      <c r="F1044" t="s">
        <v>937</v>
      </c>
      <c r="G1044" t="s">
        <v>24</v>
      </c>
      <c r="I1044">
        <v>390</v>
      </c>
      <c r="J1044">
        <v>490</v>
      </c>
      <c r="K1044">
        <v>100</v>
      </c>
      <c r="L1044">
        <v>0.25640000000000002</v>
      </c>
      <c r="M1044" t="s">
        <v>3372</v>
      </c>
      <c r="N1044">
        <v>1044</v>
      </c>
    </row>
    <row r="1045" spans="1:14" x14ac:dyDescent="0.25">
      <c r="A1045" t="s">
        <v>2813</v>
      </c>
      <c r="B1045">
        <v>1041</v>
      </c>
      <c r="C1045">
        <v>2041</v>
      </c>
      <c r="D1045" s="1" t="s">
        <v>1174</v>
      </c>
      <c r="F1045" t="s">
        <v>937</v>
      </c>
      <c r="G1045" t="s">
        <v>24</v>
      </c>
      <c r="I1045">
        <v>268</v>
      </c>
      <c r="J1045">
        <v>345</v>
      </c>
      <c r="K1045">
        <v>77</v>
      </c>
      <c r="L1045">
        <v>0.2873</v>
      </c>
      <c r="M1045" t="s">
        <v>3372</v>
      </c>
      <c r="N1045">
        <v>1045</v>
      </c>
    </row>
    <row r="1046" spans="1:14" x14ac:dyDescent="0.25">
      <c r="A1046" t="s">
        <v>2814</v>
      </c>
      <c r="B1046">
        <v>1042</v>
      </c>
      <c r="C1046">
        <v>2042</v>
      </c>
      <c r="D1046" s="1" t="s">
        <v>1175</v>
      </c>
      <c r="G1046" t="s">
        <v>24</v>
      </c>
      <c r="I1046">
        <v>0.35</v>
      </c>
      <c r="J1046">
        <v>1</v>
      </c>
      <c r="K1046">
        <v>0.65</v>
      </c>
      <c r="L1046">
        <v>1.8571</v>
      </c>
      <c r="M1046" t="s">
        <v>3372</v>
      </c>
      <c r="N1046">
        <v>1046</v>
      </c>
    </row>
    <row r="1047" spans="1:14" x14ac:dyDescent="0.25">
      <c r="A1047" t="s">
        <v>2815</v>
      </c>
      <c r="B1047">
        <v>1043</v>
      </c>
      <c r="C1047">
        <v>2043</v>
      </c>
      <c r="D1047" s="1" t="s">
        <v>1176</v>
      </c>
      <c r="G1047" t="s">
        <v>24</v>
      </c>
      <c r="I1047">
        <v>17</v>
      </c>
      <c r="J1047">
        <v>45</v>
      </c>
      <c r="K1047">
        <v>28</v>
      </c>
      <c r="L1047">
        <v>1.6471</v>
      </c>
      <c r="M1047" t="s">
        <v>3372</v>
      </c>
      <c r="N1047">
        <v>1047</v>
      </c>
    </row>
    <row r="1048" spans="1:14" x14ac:dyDescent="0.25">
      <c r="A1048" t="s">
        <v>2816</v>
      </c>
      <c r="B1048">
        <v>1044</v>
      </c>
      <c r="C1048">
        <v>2044</v>
      </c>
      <c r="D1048" s="1" t="s">
        <v>1177</v>
      </c>
      <c r="G1048" t="s">
        <v>24</v>
      </c>
      <c r="I1048">
        <v>943</v>
      </c>
      <c r="J1048">
        <v>1100</v>
      </c>
      <c r="K1048">
        <v>157</v>
      </c>
      <c r="L1048">
        <v>0.16650000000000001</v>
      </c>
      <c r="M1048" t="s">
        <v>3372</v>
      </c>
      <c r="N1048">
        <v>1048</v>
      </c>
    </row>
    <row r="1049" spans="1:14" x14ac:dyDescent="0.25">
      <c r="A1049" t="s">
        <v>2817</v>
      </c>
      <c r="B1049">
        <v>1045</v>
      </c>
      <c r="C1049">
        <v>2045</v>
      </c>
      <c r="D1049" s="1" t="s">
        <v>1178</v>
      </c>
      <c r="F1049" t="s">
        <v>1141</v>
      </c>
      <c r="G1049" t="s">
        <v>24</v>
      </c>
      <c r="I1049">
        <v>171.6</v>
      </c>
      <c r="J1049">
        <v>195</v>
      </c>
      <c r="K1049">
        <v>23.4</v>
      </c>
      <c r="L1049">
        <v>0.13639999999999999</v>
      </c>
      <c r="M1049" t="s">
        <v>3372</v>
      </c>
      <c r="N1049">
        <v>1049</v>
      </c>
    </row>
    <row r="1050" spans="1:14" x14ac:dyDescent="0.25">
      <c r="A1050" t="s">
        <v>2818</v>
      </c>
      <c r="B1050">
        <v>1046</v>
      </c>
      <c r="C1050">
        <v>2046</v>
      </c>
      <c r="D1050" s="1" t="s">
        <v>1179</v>
      </c>
      <c r="G1050" t="s">
        <v>24</v>
      </c>
      <c r="I1050">
        <v>258</v>
      </c>
      <c r="J1050">
        <v>360</v>
      </c>
      <c r="K1050">
        <v>102</v>
      </c>
      <c r="L1050">
        <v>0.39529999999999998</v>
      </c>
      <c r="M1050" t="s">
        <v>3372</v>
      </c>
      <c r="N1050">
        <v>1050</v>
      </c>
    </row>
    <row r="1051" spans="1:14" x14ac:dyDescent="0.25">
      <c r="A1051" t="s">
        <v>2819</v>
      </c>
      <c r="B1051">
        <v>1047</v>
      </c>
      <c r="C1051">
        <v>2047</v>
      </c>
      <c r="D1051" s="1" t="s">
        <v>1180</v>
      </c>
      <c r="G1051" t="s">
        <v>24</v>
      </c>
      <c r="I1051">
        <v>645</v>
      </c>
      <c r="J1051">
        <v>785</v>
      </c>
      <c r="K1051">
        <v>140</v>
      </c>
      <c r="L1051">
        <v>0.21709999999999999</v>
      </c>
      <c r="M1051" t="s">
        <v>3372</v>
      </c>
      <c r="N1051">
        <v>1051</v>
      </c>
    </row>
    <row r="1052" spans="1:14" x14ac:dyDescent="0.25">
      <c r="A1052" t="s">
        <v>2820</v>
      </c>
      <c r="B1052">
        <v>1048</v>
      </c>
      <c r="C1052">
        <v>2048</v>
      </c>
      <c r="D1052" s="1" t="s">
        <v>1181</v>
      </c>
      <c r="G1052" t="s">
        <v>24</v>
      </c>
      <c r="I1052">
        <v>780</v>
      </c>
      <c r="J1052">
        <v>920</v>
      </c>
      <c r="K1052">
        <v>140</v>
      </c>
      <c r="L1052">
        <v>0.17949999999999999</v>
      </c>
      <c r="M1052" t="s">
        <v>3372</v>
      </c>
      <c r="N1052">
        <v>1052</v>
      </c>
    </row>
    <row r="1053" spans="1:14" x14ac:dyDescent="0.25">
      <c r="A1053" t="s">
        <v>2821</v>
      </c>
      <c r="B1053">
        <v>1049</v>
      </c>
      <c r="C1053">
        <v>2049</v>
      </c>
      <c r="D1053" s="1" t="s">
        <v>1182</v>
      </c>
      <c r="G1053" t="s">
        <v>24</v>
      </c>
      <c r="I1053">
        <v>933</v>
      </c>
      <c r="J1053">
        <v>1050</v>
      </c>
      <c r="K1053">
        <v>117</v>
      </c>
      <c r="L1053">
        <v>0.12540000000000001</v>
      </c>
      <c r="M1053" t="s">
        <v>3372</v>
      </c>
      <c r="N1053">
        <v>1053</v>
      </c>
    </row>
    <row r="1054" spans="1:14" x14ac:dyDescent="0.25">
      <c r="A1054" t="s">
        <v>2822</v>
      </c>
      <c r="B1054">
        <v>1050</v>
      </c>
      <c r="C1054">
        <v>2050</v>
      </c>
      <c r="D1054" s="1" t="s">
        <v>1183</v>
      </c>
      <c r="E1054" t="s">
        <v>273</v>
      </c>
      <c r="G1054" t="s">
        <v>24</v>
      </c>
      <c r="I1054">
        <v>145</v>
      </c>
      <c r="J1054">
        <v>245</v>
      </c>
      <c r="K1054">
        <v>100</v>
      </c>
      <c r="L1054">
        <v>0.68969999999999998</v>
      </c>
      <c r="M1054" t="s">
        <v>3372</v>
      </c>
      <c r="N1054">
        <v>1054</v>
      </c>
    </row>
    <row r="1055" spans="1:14" x14ac:dyDescent="0.25">
      <c r="A1055" t="s">
        <v>2823</v>
      </c>
      <c r="B1055">
        <v>1051</v>
      </c>
      <c r="C1055">
        <v>2051</v>
      </c>
      <c r="D1055" s="1" t="s">
        <v>1184</v>
      </c>
      <c r="E1055" t="s">
        <v>273</v>
      </c>
      <c r="G1055" t="s">
        <v>24</v>
      </c>
      <c r="I1055">
        <v>175</v>
      </c>
      <c r="J1055">
        <v>280</v>
      </c>
      <c r="K1055">
        <v>105</v>
      </c>
      <c r="L1055">
        <v>0.6</v>
      </c>
      <c r="M1055" t="s">
        <v>3372</v>
      </c>
      <c r="N1055">
        <v>1055</v>
      </c>
    </row>
    <row r="1056" spans="1:14" x14ac:dyDescent="0.25">
      <c r="A1056" t="s">
        <v>2824</v>
      </c>
      <c r="B1056">
        <v>1052</v>
      </c>
      <c r="C1056">
        <v>2052</v>
      </c>
      <c r="D1056" s="1" t="s">
        <v>1185</v>
      </c>
      <c r="E1056" t="s">
        <v>1186</v>
      </c>
      <c r="G1056" t="s">
        <v>24</v>
      </c>
      <c r="I1056">
        <v>165</v>
      </c>
      <c r="J1056">
        <v>270</v>
      </c>
      <c r="K1056">
        <v>105</v>
      </c>
      <c r="L1056">
        <v>0.63639999999999997</v>
      </c>
      <c r="M1056" t="s">
        <v>3372</v>
      </c>
      <c r="N1056">
        <v>1056</v>
      </c>
    </row>
    <row r="1057" spans="1:14" x14ac:dyDescent="0.25">
      <c r="A1057" t="s">
        <v>2825</v>
      </c>
      <c r="B1057">
        <v>1053</v>
      </c>
      <c r="C1057">
        <v>2053</v>
      </c>
      <c r="D1057" s="1" t="s">
        <v>1187</v>
      </c>
      <c r="E1057" t="s">
        <v>1188</v>
      </c>
      <c r="G1057" t="s">
        <v>24</v>
      </c>
      <c r="I1057">
        <v>131</v>
      </c>
      <c r="J1057">
        <v>235</v>
      </c>
      <c r="K1057">
        <v>104</v>
      </c>
      <c r="L1057">
        <v>0.79390000000000005</v>
      </c>
      <c r="M1057" t="s">
        <v>3372</v>
      </c>
      <c r="N1057">
        <v>1057</v>
      </c>
    </row>
    <row r="1058" spans="1:14" x14ac:dyDescent="0.25">
      <c r="A1058" t="s">
        <v>2826</v>
      </c>
      <c r="B1058">
        <v>1054</v>
      </c>
      <c r="C1058">
        <v>2054</v>
      </c>
      <c r="D1058" s="1" t="s">
        <v>1189</v>
      </c>
      <c r="E1058" t="s">
        <v>1190</v>
      </c>
      <c r="G1058" t="s">
        <v>24</v>
      </c>
      <c r="I1058">
        <v>107</v>
      </c>
      <c r="J1058">
        <v>190</v>
      </c>
      <c r="K1058">
        <v>83</v>
      </c>
      <c r="L1058">
        <v>0.77569999999999995</v>
      </c>
      <c r="M1058" t="s">
        <v>3372</v>
      </c>
      <c r="N1058">
        <v>1058</v>
      </c>
    </row>
    <row r="1059" spans="1:14" x14ac:dyDescent="0.25">
      <c r="A1059" t="s">
        <v>2827</v>
      </c>
      <c r="B1059">
        <v>1055</v>
      </c>
      <c r="C1059">
        <v>2055</v>
      </c>
      <c r="D1059" s="1" t="s">
        <v>1191</v>
      </c>
      <c r="E1059" t="s">
        <v>84</v>
      </c>
      <c r="G1059" t="s">
        <v>24</v>
      </c>
      <c r="I1059">
        <v>483</v>
      </c>
      <c r="J1059">
        <v>610</v>
      </c>
      <c r="K1059">
        <v>127</v>
      </c>
      <c r="L1059">
        <v>0.26290000000000002</v>
      </c>
      <c r="M1059" t="s">
        <v>3372</v>
      </c>
      <c r="N1059">
        <v>1059</v>
      </c>
    </row>
    <row r="1060" spans="1:14" x14ac:dyDescent="0.25">
      <c r="A1060" t="s">
        <v>2828</v>
      </c>
      <c r="B1060">
        <v>1056</v>
      </c>
      <c r="C1060">
        <v>2056</v>
      </c>
      <c r="D1060" s="1" t="s">
        <v>1192</v>
      </c>
      <c r="G1060" t="s">
        <v>55</v>
      </c>
      <c r="I1060">
        <v>18</v>
      </c>
      <c r="J1060">
        <v>25</v>
      </c>
      <c r="K1060">
        <v>7</v>
      </c>
      <c r="L1060">
        <v>0.38890000000000002</v>
      </c>
      <c r="M1060" t="s">
        <v>3372</v>
      </c>
      <c r="N1060">
        <v>1060</v>
      </c>
    </row>
    <row r="1061" spans="1:14" x14ac:dyDescent="0.25">
      <c r="A1061" t="s">
        <v>2829</v>
      </c>
      <c r="B1061">
        <v>1057</v>
      </c>
      <c r="C1061">
        <v>2057</v>
      </c>
      <c r="D1061" s="1" t="s">
        <v>1193</v>
      </c>
      <c r="E1061" t="s">
        <v>427</v>
      </c>
      <c r="G1061" t="s">
        <v>24</v>
      </c>
      <c r="I1061">
        <v>95</v>
      </c>
      <c r="J1061">
        <v>125</v>
      </c>
      <c r="K1061">
        <v>30</v>
      </c>
      <c r="L1061">
        <v>0.31580000000000003</v>
      </c>
      <c r="M1061" t="s">
        <v>3372</v>
      </c>
      <c r="N1061">
        <v>1061</v>
      </c>
    </row>
    <row r="1062" spans="1:14" x14ac:dyDescent="0.25">
      <c r="A1062" t="s">
        <v>2830</v>
      </c>
      <c r="B1062">
        <v>1058</v>
      </c>
      <c r="C1062">
        <v>2058</v>
      </c>
      <c r="D1062" s="1" t="s">
        <v>1194</v>
      </c>
      <c r="E1062" t="s">
        <v>1195</v>
      </c>
      <c r="G1062" t="s">
        <v>24</v>
      </c>
      <c r="I1062">
        <v>31</v>
      </c>
      <c r="J1062">
        <v>45</v>
      </c>
      <c r="K1062">
        <v>14</v>
      </c>
      <c r="L1062">
        <v>0.4516</v>
      </c>
      <c r="M1062" t="s">
        <v>3372</v>
      </c>
      <c r="N1062">
        <v>1062</v>
      </c>
    </row>
    <row r="1063" spans="1:14" x14ac:dyDescent="0.25">
      <c r="A1063" t="s">
        <v>2831</v>
      </c>
      <c r="B1063">
        <v>1059</v>
      </c>
      <c r="C1063">
        <v>2059</v>
      </c>
      <c r="D1063" s="1" t="s">
        <v>1196</v>
      </c>
      <c r="E1063" t="s">
        <v>1197</v>
      </c>
      <c r="G1063" t="s">
        <v>24</v>
      </c>
      <c r="I1063">
        <v>121</v>
      </c>
      <c r="J1063">
        <v>165</v>
      </c>
      <c r="K1063">
        <v>44</v>
      </c>
      <c r="L1063">
        <v>0.36359999999999998</v>
      </c>
      <c r="M1063" t="s">
        <v>3372</v>
      </c>
      <c r="N1063">
        <v>1063</v>
      </c>
    </row>
    <row r="1064" spans="1:14" x14ac:dyDescent="0.25">
      <c r="A1064" t="s">
        <v>2832</v>
      </c>
      <c r="B1064">
        <v>1060</v>
      </c>
      <c r="C1064">
        <v>2060</v>
      </c>
      <c r="D1064" s="1" t="s">
        <v>1198</v>
      </c>
      <c r="E1064" t="s">
        <v>273</v>
      </c>
      <c r="G1064" t="s">
        <v>24</v>
      </c>
      <c r="I1064">
        <v>45</v>
      </c>
      <c r="J1064">
        <v>90</v>
      </c>
      <c r="K1064">
        <v>45</v>
      </c>
      <c r="L1064">
        <v>1</v>
      </c>
      <c r="M1064" t="s">
        <v>3372</v>
      </c>
      <c r="N1064">
        <v>1064</v>
      </c>
    </row>
    <row r="1065" spans="1:14" x14ac:dyDescent="0.25">
      <c r="A1065" t="s">
        <v>2833</v>
      </c>
      <c r="B1065">
        <v>1061</v>
      </c>
      <c r="C1065">
        <v>2061</v>
      </c>
      <c r="D1065" s="1" t="s">
        <v>1199</v>
      </c>
      <c r="E1065" t="s">
        <v>273</v>
      </c>
      <c r="G1065" t="s">
        <v>24</v>
      </c>
      <c r="I1065">
        <v>60</v>
      </c>
      <c r="J1065">
        <v>110</v>
      </c>
      <c r="K1065">
        <v>50</v>
      </c>
      <c r="L1065">
        <v>0.83330000000000004</v>
      </c>
      <c r="M1065" t="s">
        <v>3372</v>
      </c>
      <c r="N1065">
        <v>1065</v>
      </c>
    </row>
    <row r="1066" spans="1:14" x14ac:dyDescent="0.25">
      <c r="A1066" t="s">
        <v>2834</v>
      </c>
      <c r="B1066">
        <v>1062</v>
      </c>
      <c r="C1066">
        <v>2062</v>
      </c>
      <c r="D1066" s="1" t="s">
        <v>1200</v>
      </c>
      <c r="E1066" t="s">
        <v>273</v>
      </c>
      <c r="G1066" t="s">
        <v>24</v>
      </c>
      <c r="I1066">
        <v>75</v>
      </c>
      <c r="J1066">
        <v>130</v>
      </c>
      <c r="K1066">
        <v>55</v>
      </c>
      <c r="L1066">
        <v>0.73329999999999995</v>
      </c>
      <c r="M1066" t="s">
        <v>3372</v>
      </c>
      <c r="N1066">
        <v>1066</v>
      </c>
    </row>
    <row r="1067" spans="1:14" x14ac:dyDescent="0.25">
      <c r="A1067" t="s">
        <v>2835</v>
      </c>
      <c r="B1067">
        <v>1063</v>
      </c>
      <c r="C1067">
        <v>2063</v>
      </c>
      <c r="D1067" s="1" t="s">
        <v>1201</v>
      </c>
      <c r="F1067" t="s">
        <v>1202</v>
      </c>
      <c r="G1067" t="s">
        <v>24</v>
      </c>
      <c r="I1067">
        <v>285</v>
      </c>
      <c r="J1067">
        <v>365</v>
      </c>
      <c r="K1067">
        <v>80</v>
      </c>
      <c r="L1067">
        <v>0.28070000000000001</v>
      </c>
      <c r="M1067" t="s">
        <v>3372</v>
      </c>
      <c r="N1067">
        <v>1067</v>
      </c>
    </row>
    <row r="1068" spans="1:14" x14ac:dyDescent="0.25">
      <c r="A1068" t="s">
        <v>2836</v>
      </c>
      <c r="B1068">
        <v>1064</v>
      </c>
      <c r="C1068">
        <v>2064</v>
      </c>
      <c r="D1068" s="1" t="s">
        <v>1203</v>
      </c>
      <c r="E1068" t="s">
        <v>421</v>
      </c>
      <c r="G1068" t="s">
        <v>24</v>
      </c>
      <c r="I1068">
        <v>29</v>
      </c>
      <c r="J1068">
        <v>65</v>
      </c>
      <c r="K1068">
        <v>36</v>
      </c>
      <c r="L1068">
        <v>1.2414000000000001</v>
      </c>
      <c r="M1068" t="s">
        <v>3372</v>
      </c>
      <c r="N1068">
        <v>1068</v>
      </c>
    </row>
    <row r="1069" spans="1:14" x14ac:dyDescent="0.25">
      <c r="A1069" t="s">
        <v>2837</v>
      </c>
      <c r="B1069">
        <v>1065</v>
      </c>
      <c r="C1069">
        <v>2065</v>
      </c>
      <c r="D1069" s="1" t="s">
        <v>1204</v>
      </c>
      <c r="E1069" t="s">
        <v>421</v>
      </c>
      <c r="G1069" t="s">
        <v>24</v>
      </c>
      <c r="I1069">
        <v>36</v>
      </c>
      <c r="J1069">
        <v>75</v>
      </c>
      <c r="K1069">
        <v>39</v>
      </c>
      <c r="L1069">
        <v>1.0832999999999999</v>
      </c>
      <c r="M1069" t="s">
        <v>3372</v>
      </c>
      <c r="N1069">
        <v>1069</v>
      </c>
    </row>
    <row r="1070" spans="1:14" x14ac:dyDescent="0.25">
      <c r="A1070" t="s">
        <v>2838</v>
      </c>
      <c r="B1070">
        <v>1066</v>
      </c>
      <c r="C1070">
        <v>2066</v>
      </c>
      <c r="D1070" s="1" t="s">
        <v>1205</v>
      </c>
      <c r="E1070" t="s">
        <v>421</v>
      </c>
      <c r="G1070" t="s">
        <v>24</v>
      </c>
      <c r="I1070">
        <v>36</v>
      </c>
      <c r="J1070">
        <v>80</v>
      </c>
      <c r="K1070">
        <v>44</v>
      </c>
      <c r="L1070">
        <v>1.2222</v>
      </c>
      <c r="M1070" t="s">
        <v>3372</v>
      </c>
      <c r="N1070">
        <v>1070</v>
      </c>
    </row>
    <row r="1071" spans="1:14" x14ac:dyDescent="0.25">
      <c r="A1071" t="s">
        <v>2839</v>
      </c>
      <c r="B1071">
        <v>1067</v>
      </c>
      <c r="C1071">
        <v>2067</v>
      </c>
      <c r="D1071" s="1" t="s">
        <v>1206</v>
      </c>
      <c r="E1071" t="s">
        <v>421</v>
      </c>
      <c r="G1071" t="s">
        <v>24</v>
      </c>
      <c r="I1071">
        <v>18</v>
      </c>
      <c r="J1071">
        <v>40</v>
      </c>
      <c r="K1071">
        <v>22</v>
      </c>
      <c r="L1071">
        <v>1.2222</v>
      </c>
      <c r="M1071" t="s">
        <v>3372</v>
      </c>
      <c r="N1071">
        <v>1071</v>
      </c>
    </row>
    <row r="1072" spans="1:14" x14ac:dyDescent="0.25">
      <c r="A1072" t="s">
        <v>2840</v>
      </c>
      <c r="B1072">
        <v>1068</v>
      </c>
      <c r="C1072">
        <v>2068</v>
      </c>
      <c r="D1072" s="1" t="s">
        <v>1207</v>
      </c>
      <c r="E1072" t="s">
        <v>421</v>
      </c>
      <c r="G1072" t="s">
        <v>24</v>
      </c>
      <c r="I1072">
        <v>29</v>
      </c>
      <c r="J1072">
        <v>65</v>
      </c>
      <c r="K1072">
        <v>36</v>
      </c>
      <c r="L1072">
        <v>1.2414000000000001</v>
      </c>
      <c r="M1072" t="s">
        <v>3372</v>
      </c>
      <c r="N1072">
        <v>1072</v>
      </c>
    </row>
    <row r="1073" spans="1:14" x14ac:dyDescent="0.25">
      <c r="A1073" t="s">
        <v>2841</v>
      </c>
      <c r="B1073">
        <v>1069</v>
      </c>
      <c r="C1073">
        <v>2069</v>
      </c>
      <c r="D1073" s="1" t="s">
        <v>1208</v>
      </c>
      <c r="G1073" t="s">
        <v>24</v>
      </c>
      <c r="I1073">
        <v>5</v>
      </c>
      <c r="J1073">
        <v>10</v>
      </c>
      <c r="K1073">
        <v>5</v>
      </c>
      <c r="L1073">
        <v>1</v>
      </c>
      <c r="M1073" t="s">
        <v>3373</v>
      </c>
      <c r="N1073">
        <v>1073</v>
      </c>
    </row>
    <row r="1074" spans="1:14" x14ac:dyDescent="0.25">
      <c r="A1074" t="s">
        <v>2842</v>
      </c>
      <c r="B1074">
        <v>1070</v>
      </c>
      <c r="C1074">
        <v>2070</v>
      </c>
      <c r="D1074" s="1" t="s">
        <v>1209</v>
      </c>
      <c r="G1074" t="s">
        <v>24</v>
      </c>
      <c r="I1074">
        <v>3</v>
      </c>
      <c r="J1074">
        <v>8</v>
      </c>
      <c r="K1074">
        <v>5</v>
      </c>
      <c r="L1074">
        <v>1.6667000000000001</v>
      </c>
      <c r="M1074" t="s">
        <v>3373</v>
      </c>
      <c r="N1074">
        <v>1074</v>
      </c>
    </row>
    <row r="1075" spans="1:14" x14ac:dyDescent="0.25">
      <c r="A1075" t="s">
        <v>2843</v>
      </c>
      <c r="B1075">
        <v>1071</v>
      </c>
      <c r="C1075">
        <v>2071</v>
      </c>
      <c r="D1075" s="1" t="s">
        <v>1210</v>
      </c>
      <c r="G1075" t="s">
        <v>24</v>
      </c>
      <c r="I1075">
        <v>2</v>
      </c>
      <c r="J1075">
        <v>6</v>
      </c>
      <c r="K1075">
        <v>4</v>
      </c>
      <c r="L1075">
        <v>2</v>
      </c>
      <c r="M1075" t="s">
        <v>3373</v>
      </c>
      <c r="N1075">
        <v>1075</v>
      </c>
    </row>
    <row r="1076" spans="1:14" x14ac:dyDescent="0.25">
      <c r="A1076" t="s">
        <v>2844</v>
      </c>
      <c r="B1076">
        <v>1072</v>
      </c>
      <c r="C1076">
        <v>2072</v>
      </c>
      <c r="D1076" s="1" t="s">
        <v>1211</v>
      </c>
      <c r="G1076" t="s">
        <v>24</v>
      </c>
      <c r="I1076">
        <v>4</v>
      </c>
      <c r="J1076">
        <v>10</v>
      </c>
      <c r="K1076">
        <v>6</v>
      </c>
      <c r="L1076">
        <v>1.5</v>
      </c>
      <c r="M1076" t="s">
        <v>3373</v>
      </c>
      <c r="N1076">
        <v>1076</v>
      </c>
    </row>
    <row r="1077" spans="1:14" x14ac:dyDescent="0.25">
      <c r="A1077" t="s">
        <v>2845</v>
      </c>
      <c r="B1077">
        <v>1073</v>
      </c>
      <c r="C1077">
        <v>2073</v>
      </c>
      <c r="D1077" s="1" t="s">
        <v>1212</v>
      </c>
      <c r="G1077" t="s">
        <v>24</v>
      </c>
      <c r="I1077">
        <v>3</v>
      </c>
      <c r="J1077">
        <v>8</v>
      </c>
      <c r="K1077">
        <v>5</v>
      </c>
      <c r="L1077">
        <v>1.6667000000000001</v>
      </c>
      <c r="M1077" t="s">
        <v>3373</v>
      </c>
      <c r="N1077">
        <v>1077</v>
      </c>
    </row>
    <row r="1078" spans="1:14" x14ac:dyDescent="0.25">
      <c r="A1078" t="s">
        <v>2846</v>
      </c>
      <c r="B1078">
        <v>1074</v>
      </c>
      <c r="C1078">
        <v>2074</v>
      </c>
      <c r="D1078" s="1" t="s">
        <v>1213</v>
      </c>
      <c r="G1078" t="s">
        <v>24</v>
      </c>
      <c r="I1078">
        <v>2</v>
      </c>
      <c r="J1078">
        <v>6</v>
      </c>
      <c r="K1078">
        <v>4</v>
      </c>
      <c r="L1078">
        <v>2</v>
      </c>
      <c r="M1078" t="s">
        <v>3373</v>
      </c>
      <c r="N1078">
        <v>1078</v>
      </c>
    </row>
    <row r="1079" spans="1:14" x14ac:dyDescent="0.25">
      <c r="A1079" t="s">
        <v>2847</v>
      </c>
      <c r="B1079">
        <v>1075</v>
      </c>
      <c r="C1079">
        <v>2075</v>
      </c>
      <c r="D1079" s="1" t="s">
        <v>1214</v>
      </c>
      <c r="G1079" t="s">
        <v>24</v>
      </c>
      <c r="I1079">
        <v>3</v>
      </c>
      <c r="J1079">
        <v>10</v>
      </c>
      <c r="K1079">
        <v>7</v>
      </c>
      <c r="L1079">
        <v>2.3332999999999999</v>
      </c>
      <c r="M1079" t="s">
        <v>3373</v>
      </c>
      <c r="N1079">
        <v>1079</v>
      </c>
    </row>
    <row r="1080" spans="1:14" x14ac:dyDescent="0.25">
      <c r="A1080" t="s">
        <v>2848</v>
      </c>
      <c r="B1080">
        <v>1076</v>
      </c>
      <c r="C1080">
        <v>2076</v>
      </c>
      <c r="D1080" s="1" t="s">
        <v>1215</v>
      </c>
      <c r="G1080" t="s">
        <v>24</v>
      </c>
      <c r="I1080">
        <v>2</v>
      </c>
      <c r="J1080">
        <v>8</v>
      </c>
      <c r="K1080">
        <v>6</v>
      </c>
      <c r="L1080">
        <v>3</v>
      </c>
      <c r="M1080" t="s">
        <v>3373</v>
      </c>
      <c r="N1080">
        <v>1080</v>
      </c>
    </row>
    <row r="1081" spans="1:14" x14ac:dyDescent="0.25">
      <c r="A1081" t="s">
        <v>2849</v>
      </c>
      <c r="B1081">
        <v>1077</v>
      </c>
      <c r="C1081">
        <v>2077</v>
      </c>
      <c r="D1081" s="1" t="s">
        <v>1216</v>
      </c>
      <c r="F1081" t="s">
        <v>1217</v>
      </c>
      <c r="G1081" t="s">
        <v>24</v>
      </c>
      <c r="I1081">
        <v>466</v>
      </c>
      <c r="J1081">
        <v>570</v>
      </c>
      <c r="K1081">
        <v>104</v>
      </c>
      <c r="L1081">
        <v>0.22320000000000001</v>
      </c>
      <c r="M1081" t="s">
        <v>3373</v>
      </c>
      <c r="N1081">
        <v>1081</v>
      </c>
    </row>
    <row r="1082" spans="1:14" x14ac:dyDescent="0.25">
      <c r="A1082" t="s">
        <v>2850</v>
      </c>
      <c r="B1082">
        <v>1078</v>
      </c>
      <c r="C1082">
        <v>2078</v>
      </c>
      <c r="D1082" s="1" t="s">
        <v>1218</v>
      </c>
      <c r="G1082" t="s">
        <v>24</v>
      </c>
      <c r="I1082">
        <v>19</v>
      </c>
      <c r="J1082">
        <v>70</v>
      </c>
      <c r="K1082">
        <v>51</v>
      </c>
      <c r="L1082">
        <v>2.6842000000000001</v>
      </c>
      <c r="M1082" t="s">
        <v>3373</v>
      </c>
      <c r="N1082">
        <v>1082</v>
      </c>
    </row>
    <row r="1083" spans="1:14" x14ac:dyDescent="0.25">
      <c r="A1083" t="s">
        <v>2851</v>
      </c>
      <c r="B1083">
        <v>1079</v>
      </c>
      <c r="C1083">
        <v>2079</v>
      </c>
      <c r="D1083" s="1" t="s">
        <v>1219</v>
      </c>
      <c r="F1083" t="s">
        <v>1220</v>
      </c>
      <c r="G1083" t="s">
        <v>24</v>
      </c>
      <c r="I1083">
        <v>440</v>
      </c>
      <c r="J1083">
        <v>570</v>
      </c>
      <c r="K1083">
        <v>130</v>
      </c>
      <c r="L1083">
        <v>0.29549999999999998</v>
      </c>
      <c r="M1083" t="s">
        <v>3373</v>
      </c>
      <c r="N1083">
        <v>1083</v>
      </c>
    </row>
    <row r="1084" spans="1:14" x14ac:dyDescent="0.25">
      <c r="A1084" t="s">
        <v>2852</v>
      </c>
      <c r="B1084">
        <v>1080</v>
      </c>
      <c r="C1084">
        <v>2080</v>
      </c>
      <c r="D1084" s="1" t="s">
        <v>1221</v>
      </c>
      <c r="G1084" t="s">
        <v>24</v>
      </c>
      <c r="I1084">
        <v>22</v>
      </c>
      <c r="J1084">
        <v>75</v>
      </c>
      <c r="K1084">
        <v>53</v>
      </c>
      <c r="L1084">
        <v>2.4091</v>
      </c>
      <c r="M1084" t="s">
        <v>3373</v>
      </c>
      <c r="N1084">
        <v>1084</v>
      </c>
    </row>
    <row r="1085" spans="1:14" x14ac:dyDescent="0.25">
      <c r="A1085" t="s">
        <v>2853</v>
      </c>
      <c r="B1085">
        <v>1081</v>
      </c>
      <c r="C1085">
        <v>2081</v>
      </c>
      <c r="D1085" s="1" t="s">
        <v>1222</v>
      </c>
      <c r="G1085" t="s">
        <v>24</v>
      </c>
      <c r="I1085">
        <v>19</v>
      </c>
      <c r="J1085">
        <v>65</v>
      </c>
      <c r="K1085">
        <v>46</v>
      </c>
      <c r="L1085">
        <v>2.4211</v>
      </c>
      <c r="M1085" t="s">
        <v>3373</v>
      </c>
      <c r="N1085">
        <v>1085</v>
      </c>
    </row>
    <row r="1086" spans="1:14" x14ac:dyDescent="0.25">
      <c r="A1086" t="s">
        <v>2854</v>
      </c>
      <c r="B1086">
        <v>1082</v>
      </c>
      <c r="C1086">
        <v>2082</v>
      </c>
      <c r="D1086" s="1" t="s">
        <v>1223</v>
      </c>
      <c r="G1086" t="s">
        <v>24</v>
      </c>
      <c r="I1086">
        <v>230</v>
      </c>
      <c r="J1086">
        <v>270</v>
      </c>
      <c r="K1086">
        <v>40</v>
      </c>
      <c r="L1086">
        <v>0.1739</v>
      </c>
      <c r="M1086" t="s">
        <v>3373</v>
      </c>
      <c r="N1086">
        <v>1086</v>
      </c>
    </row>
    <row r="1087" spans="1:14" x14ac:dyDescent="0.25">
      <c r="A1087" t="s">
        <v>2855</v>
      </c>
      <c r="B1087">
        <v>1083</v>
      </c>
      <c r="C1087">
        <v>2083</v>
      </c>
      <c r="D1087" s="1" t="s">
        <v>1224</v>
      </c>
      <c r="G1087" t="s">
        <v>24</v>
      </c>
      <c r="I1087">
        <v>188</v>
      </c>
      <c r="J1087">
        <v>290</v>
      </c>
      <c r="K1087">
        <v>102</v>
      </c>
      <c r="L1087">
        <v>0.54259999999999997</v>
      </c>
      <c r="M1087" t="s">
        <v>3373</v>
      </c>
      <c r="N1087">
        <v>1087</v>
      </c>
    </row>
    <row r="1088" spans="1:14" x14ac:dyDescent="0.25">
      <c r="A1088" t="s">
        <v>2856</v>
      </c>
      <c r="B1088">
        <v>1084</v>
      </c>
      <c r="C1088">
        <v>2084</v>
      </c>
      <c r="D1088" s="1" t="s">
        <v>1225</v>
      </c>
      <c r="G1088" t="s">
        <v>24</v>
      </c>
      <c r="I1088">
        <v>282</v>
      </c>
      <c r="J1088">
        <v>390</v>
      </c>
      <c r="K1088">
        <v>108</v>
      </c>
      <c r="L1088">
        <v>0.38300000000000001</v>
      </c>
      <c r="M1088" t="s">
        <v>3373</v>
      </c>
      <c r="N1088">
        <v>1088</v>
      </c>
    </row>
    <row r="1089" spans="1:14" x14ac:dyDescent="0.25">
      <c r="A1089" t="s">
        <v>2857</v>
      </c>
      <c r="B1089">
        <v>1085</v>
      </c>
      <c r="C1089">
        <v>2085</v>
      </c>
      <c r="D1089" s="1" t="s">
        <v>1226</v>
      </c>
      <c r="G1089" t="s">
        <v>24</v>
      </c>
      <c r="I1089">
        <v>32</v>
      </c>
      <c r="J1089">
        <v>65</v>
      </c>
      <c r="K1089">
        <v>33</v>
      </c>
      <c r="L1089">
        <v>1.0313000000000001</v>
      </c>
      <c r="M1089" t="s">
        <v>3373</v>
      </c>
      <c r="N1089">
        <v>1089</v>
      </c>
    </row>
    <row r="1090" spans="1:14" x14ac:dyDescent="0.25">
      <c r="A1090" t="s">
        <v>2858</v>
      </c>
      <c r="B1090">
        <v>1086</v>
      </c>
      <c r="C1090">
        <v>2086</v>
      </c>
      <c r="D1090" s="1" t="s">
        <v>1227</v>
      </c>
      <c r="G1090" t="s">
        <v>24</v>
      </c>
      <c r="I1090">
        <v>8</v>
      </c>
      <c r="J1090">
        <v>15</v>
      </c>
      <c r="K1090">
        <v>7</v>
      </c>
      <c r="L1090">
        <v>0.875</v>
      </c>
      <c r="M1090" t="s">
        <v>3373</v>
      </c>
      <c r="N1090">
        <v>1090</v>
      </c>
    </row>
    <row r="1091" spans="1:14" x14ac:dyDescent="0.25">
      <c r="A1091" t="s">
        <v>2859</v>
      </c>
      <c r="B1091">
        <v>1087</v>
      </c>
      <c r="C1091">
        <v>2087</v>
      </c>
      <c r="D1091" s="1" t="s">
        <v>1228</v>
      </c>
      <c r="G1091" t="s">
        <v>24</v>
      </c>
      <c r="I1091">
        <v>10.66</v>
      </c>
      <c r="J1091">
        <v>20</v>
      </c>
      <c r="K1091">
        <v>9.34</v>
      </c>
      <c r="L1091">
        <v>0.87619999999999998</v>
      </c>
      <c r="M1091" t="s">
        <v>3373</v>
      </c>
      <c r="N1091">
        <v>1091</v>
      </c>
    </row>
    <row r="1092" spans="1:14" x14ac:dyDescent="0.25">
      <c r="A1092" t="s">
        <v>2860</v>
      </c>
      <c r="B1092">
        <v>1088</v>
      </c>
      <c r="C1092">
        <v>2088</v>
      </c>
      <c r="D1092" s="1" t="s">
        <v>1229</v>
      </c>
      <c r="G1092" t="s">
        <v>24</v>
      </c>
      <c r="I1092">
        <v>13.33</v>
      </c>
      <c r="J1092">
        <v>25</v>
      </c>
      <c r="K1092">
        <v>11.67</v>
      </c>
      <c r="L1092">
        <v>0.87549999999999994</v>
      </c>
      <c r="M1092" t="s">
        <v>3373</v>
      </c>
      <c r="N1092">
        <v>1092</v>
      </c>
    </row>
    <row r="1093" spans="1:14" x14ac:dyDescent="0.25">
      <c r="A1093" t="s">
        <v>2861</v>
      </c>
      <c r="B1093">
        <v>1089</v>
      </c>
      <c r="C1093">
        <v>2089</v>
      </c>
      <c r="D1093" s="1" t="s">
        <v>1230</v>
      </c>
      <c r="G1093" t="s">
        <v>24</v>
      </c>
      <c r="I1093">
        <v>28.66</v>
      </c>
      <c r="J1093">
        <v>45</v>
      </c>
      <c r="K1093">
        <v>16.34</v>
      </c>
      <c r="L1093">
        <v>0.57010000000000005</v>
      </c>
      <c r="M1093" t="s">
        <v>3373</v>
      </c>
      <c r="N1093">
        <v>1093</v>
      </c>
    </row>
    <row r="1094" spans="1:14" x14ac:dyDescent="0.25">
      <c r="A1094" t="s">
        <v>2862</v>
      </c>
      <c r="B1094">
        <v>1090</v>
      </c>
      <c r="C1094">
        <v>2090</v>
      </c>
      <c r="D1094" s="1" t="s">
        <v>1231</v>
      </c>
      <c r="G1094" t="s">
        <v>24</v>
      </c>
      <c r="I1094">
        <v>10</v>
      </c>
      <c r="J1094">
        <v>20</v>
      </c>
      <c r="K1094">
        <v>10</v>
      </c>
      <c r="L1094">
        <v>1</v>
      </c>
      <c r="M1094" t="s">
        <v>3373</v>
      </c>
      <c r="N1094">
        <v>1094</v>
      </c>
    </row>
    <row r="1095" spans="1:14" x14ac:dyDescent="0.25">
      <c r="A1095" t="s">
        <v>2863</v>
      </c>
      <c r="B1095">
        <v>1091</v>
      </c>
      <c r="C1095">
        <v>2091</v>
      </c>
      <c r="D1095" s="1" t="s">
        <v>1232</v>
      </c>
      <c r="E1095" t="s">
        <v>288</v>
      </c>
      <c r="G1095" t="s">
        <v>24</v>
      </c>
      <c r="I1095">
        <v>340.9</v>
      </c>
      <c r="J1095">
        <v>495</v>
      </c>
      <c r="K1095">
        <v>154.1</v>
      </c>
      <c r="L1095">
        <v>0.45200000000000001</v>
      </c>
      <c r="M1095" t="s">
        <v>3373</v>
      </c>
      <c r="N1095">
        <v>1095</v>
      </c>
    </row>
    <row r="1096" spans="1:14" x14ac:dyDescent="0.25">
      <c r="A1096" t="s">
        <v>2864</v>
      </c>
      <c r="B1096">
        <v>1092</v>
      </c>
      <c r="C1096">
        <v>2092</v>
      </c>
      <c r="D1096" s="1" t="s">
        <v>1233</v>
      </c>
      <c r="E1096" t="s">
        <v>288</v>
      </c>
      <c r="G1096" t="s">
        <v>24</v>
      </c>
      <c r="I1096">
        <v>452.5</v>
      </c>
      <c r="J1096">
        <v>655</v>
      </c>
      <c r="K1096">
        <v>202.5</v>
      </c>
      <c r="L1096">
        <v>0.44750000000000001</v>
      </c>
      <c r="M1096" t="s">
        <v>3373</v>
      </c>
      <c r="N1096">
        <v>1096</v>
      </c>
    </row>
    <row r="1097" spans="1:14" x14ac:dyDescent="0.25">
      <c r="A1097" t="s">
        <v>2865</v>
      </c>
      <c r="B1097">
        <v>1093</v>
      </c>
      <c r="C1097">
        <v>2093</v>
      </c>
      <c r="D1097" s="1" t="s">
        <v>1234</v>
      </c>
      <c r="E1097" t="s">
        <v>288</v>
      </c>
      <c r="G1097" t="s">
        <v>24</v>
      </c>
      <c r="I1097">
        <v>652.4</v>
      </c>
      <c r="J1097">
        <v>935</v>
      </c>
      <c r="K1097">
        <v>282.60000000000002</v>
      </c>
      <c r="L1097">
        <v>0.43319999999999997</v>
      </c>
      <c r="M1097" t="s">
        <v>3373</v>
      </c>
      <c r="N1097">
        <v>1097</v>
      </c>
    </row>
    <row r="1098" spans="1:14" x14ac:dyDescent="0.25">
      <c r="A1098" t="s">
        <v>2866</v>
      </c>
      <c r="B1098">
        <v>1094</v>
      </c>
      <c r="C1098">
        <v>2094</v>
      </c>
      <c r="D1098" s="1" t="s">
        <v>1235</v>
      </c>
      <c r="E1098" t="s">
        <v>288</v>
      </c>
      <c r="G1098" t="s">
        <v>24</v>
      </c>
      <c r="I1098">
        <v>362.6</v>
      </c>
      <c r="J1098">
        <v>545</v>
      </c>
      <c r="K1098">
        <v>182.4</v>
      </c>
      <c r="L1098">
        <v>0.503</v>
      </c>
      <c r="M1098" t="s">
        <v>3373</v>
      </c>
      <c r="N1098">
        <v>1098</v>
      </c>
    </row>
    <row r="1099" spans="1:14" x14ac:dyDescent="0.25">
      <c r="A1099" t="s">
        <v>2867</v>
      </c>
      <c r="B1099">
        <v>1095</v>
      </c>
      <c r="C1099">
        <v>2095</v>
      </c>
      <c r="D1099" s="1" t="s">
        <v>1236</v>
      </c>
      <c r="E1099" t="s">
        <v>288</v>
      </c>
      <c r="G1099" t="s">
        <v>24</v>
      </c>
      <c r="I1099">
        <v>508.9</v>
      </c>
      <c r="J1099">
        <v>727</v>
      </c>
      <c r="K1099">
        <v>218.1</v>
      </c>
      <c r="L1099">
        <v>0.42859999999999998</v>
      </c>
      <c r="M1099" t="s">
        <v>3373</v>
      </c>
      <c r="N1099">
        <v>1099</v>
      </c>
    </row>
    <row r="1100" spans="1:14" x14ac:dyDescent="0.25">
      <c r="A1100" t="s">
        <v>2868</v>
      </c>
      <c r="B1100">
        <v>1096</v>
      </c>
      <c r="C1100">
        <v>2096</v>
      </c>
      <c r="D1100" s="1" t="s">
        <v>1237</v>
      </c>
      <c r="E1100" t="s">
        <v>288</v>
      </c>
      <c r="G1100" t="s">
        <v>24</v>
      </c>
      <c r="I1100">
        <v>106.5</v>
      </c>
      <c r="J1100">
        <v>215</v>
      </c>
      <c r="K1100">
        <v>108.5</v>
      </c>
      <c r="L1100">
        <v>1.0187999999999999</v>
      </c>
      <c r="M1100" t="s">
        <v>3373</v>
      </c>
      <c r="N1100">
        <v>1100</v>
      </c>
    </row>
    <row r="1101" spans="1:14" x14ac:dyDescent="0.25">
      <c r="A1101" t="s">
        <v>2869</v>
      </c>
      <c r="B1101">
        <v>1097</v>
      </c>
      <c r="C1101">
        <v>2097</v>
      </c>
      <c r="D1101" s="1" t="s">
        <v>1238</v>
      </c>
      <c r="E1101" t="s">
        <v>288</v>
      </c>
      <c r="G1101" t="s">
        <v>24</v>
      </c>
      <c r="I1101">
        <v>271.60000000000002</v>
      </c>
      <c r="J1101">
        <v>390</v>
      </c>
      <c r="K1101">
        <v>118.4</v>
      </c>
      <c r="L1101">
        <v>0.43590000000000001</v>
      </c>
      <c r="M1101" t="s">
        <v>3373</v>
      </c>
      <c r="N1101">
        <v>1101</v>
      </c>
    </row>
    <row r="1102" spans="1:14" x14ac:dyDescent="0.25">
      <c r="A1102" t="s">
        <v>2870</v>
      </c>
      <c r="B1102">
        <v>1098</v>
      </c>
      <c r="C1102">
        <v>2098</v>
      </c>
      <c r="D1102" s="1" t="s">
        <v>1239</v>
      </c>
      <c r="E1102" t="s">
        <v>1240</v>
      </c>
      <c r="G1102" t="s">
        <v>24</v>
      </c>
      <c r="I1102">
        <v>135</v>
      </c>
      <c r="J1102">
        <v>265</v>
      </c>
      <c r="K1102">
        <v>130</v>
      </c>
      <c r="L1102">
        <v>0.96299999999999997</v>
      </c>
      <c r="M1102" t="s">
        <v>3373</v>
      </c>
      <c r="N1102">
        <v>1102</v>
      </c>
    </row>
    <row r="1103" spans="1:14" x14ac:dyDescent="0.25">
      <c r="A1103" t="s">
        <v>2871</v>
      </c>
      <c r="B1103">
        <v>1099</v>
      </c>
      <c r="C1103">
        <v>2099</v>
      </c>
      <c r="D1103" s="1" t="s">
        <v>1241</v>
      </c>
      <c r="E1103" t="s">
        <v>1240</v>
      </c>
      <c r="G1103" t="s">
        <v>24</v>
      </c>
      <c r="I1103">
        <v>80</v>
      </c>
      <c r="J1103">
        <v>235</v>
      </c>
      <c r="K1103">
        <v>155</v>
      </c>
      <c r="L1103">
        <v>1.9375</v>
      </c>
      <c r="M1103" t="s">
        <v>3373</v>
      </c>
      <c r="N1103">
        <v>1103</v>
      </c>
    </row>
    <row r="1104" spans="1:14" x14ac:dyDescent="0.25">
      <c r="A1104" t="s">
        <v>2872</v>
      </c>
      <c r="B1104">
        <v>1100</v>
      </c>
      <c r="C1104">
        <v>2100</v>
      </c>
      <c r="D1104" s="1" t="s">
        <v>1242</v>
      </c>
      <c r="E1104" t="s">
        <v>1240</v>
      </c>
      <c r="G1104" t="s">
        <v>24</v>
      </c>
      <c r="I1104">
        <v>37.380000000000003</v>
      </c>
      <c r="J1104">
        <v>175</v>
      </c>
      <c r="K1104">
        <v>137.62</v>
      </c>
      <c r="L1104">
        <v>3.6816</v>
      </c>
      <c r="M1104" t="s">
        <v>3373</v>
      </c>
      <c r="N1104">
        <v>1104</v>
      </c>
    </row>
    <row r="1105" spans="1:14" x14ac:dyDescent="0.25">
      <c r="A1105" t="s">
        <v>2873</v>
      </c>
      <c r="B1105">
        <v>1101</v>
      </c>
      <c r="C1105">
        <v>2101</v>
      </c>
      <c r="D1105" s="1" t="s">
        <v>1243</v>
      </c>
      <c r="E1105" t="s">
        <v>1240</v>
      </c>
      <c r="G1105" t="s">
        <v>24</v>
      </c>
      <c r="I1105">
        <v>80</v>
      </c>
      <c r="J1105">
        <v>190</v>
      </c>
      <c r="K1105">
        <v>110</v>
      </c>
      <c r="L1105">
        <v>1.375</v>
      </c>
      <c r="M1105" t="s">
        <v>3373</v>
      </c>
      <c r="N1105">
        <v>1105</v>
      </c>
    </row>
    <row r="1106" spans="1:14" x14ac:dyDescent="0.25">
      <c r="A1106" t="s">
        <v>2874</v>
      </c>
      <c r="B1106">
        <v>1102</v>
      </c>
      <c r="C1106">
        <v>2102</v>
      </c>
      <c r="D1106" s="1" t="s">
        <v>1244</v>
      </c>
      <c r="E1106" t="s">
        <v>1240</v>
      </c>
      <c r="G1106" t="s">
        <v>24</v>
      </c>
      <c r="I1106">
        <v>107.5</v>
      </c>
      <c r="J1106">
        <v>220</v>
      </c>
      <c r="K1106">
        <v>112.5</v>
      </c>
      <c r="L1106">
        <v>1.0465</v>
      </c>
      <c r="M1106" t="s">
        <v>3373</v>
      </c>
      <c r="N1106">
        <v>1106</v>
      </c>
    </row>
    <row r="1107" spans="1:14" x14ac:dyDescent="0.25">
      <c r="A1107" t="s">
        <v>2875</v>
      </c>
      <c r="B1107">
        <v>1103</v>
      </c>
      <c r="C1107">
        <v>2103</v>
      </c>
      <c r="D1107" s="1" t="s">
        <v>1245</v>
      </c>
      <c r="E1107" t="s">
        <v>1240</v>
      </c>
      <c r="G1107" t="s">
        <v>24</v>
      </c>
      <c r="I1107">
        <v>87.5</v>
      </c>
      <c r="J1107">
        <v>180</v>
      </c>
      <c r="K1107">
        <v>92.5</v>
      </c>
      <c r="L1107">
        <v>1.0570999999999999</v>
      </c>
      <c r="M1107" t="s">
        <v>3373</v>
      </c>
      <c r="N1107">
        <v>1107</v>
      </c>
    </row>
    <row r="1108" spans="1:14" x14ac:dyDescent="0.25">
      <c r="A1108" t="s">
        <v>2876</v>
      </c>
      <c r="B1108">
        <v>1104</v>
      </c>
      <c r="C1108">
        <v>2104</v>
      </c>
      <c r="D1108" s="1" t="s">
        <v>1246</v>
      </c>
      <c r="E1108" t="s">
        <v>1240</v>
      </c>
      <c r="G1108" t="s">
        <v>24</v>
      </c>
      <c r="I1108">
        <v>117.5</v>
      </c>
      <c r="J1108">
        <v>245</v>
      </c>
      <c r="K1108">
        <v>127.5</v>
      </c>
      <c r="L1108">
        <v>1.0851</v>
      </c>
      <c r="M1108" t="s">
        <v>3373</v>
      </c>
      <c r="N1108">
        <v>1108</v>
      </c>
    </row>
    <row r="1109" spans="1:14" x14ac:dyDescent="0.25">
      <c r="A1109" t="s">
        <v>2877</v>
      </c>
      <c r="B1109">
        <v>1105</v>
      </c>
      <c r="C1109">
        <v>2105</v>
      </c>
      <c r="D1109" s="1" t="s">
        <v>1247</v>
      </c>
      <c r="E1109" t="s">
        <v>1240</v>
      </c>
      <c r="G1109" t="s">
        <v>24</v>
      </c>
      <c r="I1109">
        <v>62.5</v>
      </c>
      <c r="J1109">
        <v>133</v>
      </c>
      <c r="K1109">
        <v>70.5</v>
      </c>
      <c r="L1109">
        <v>1.1279999999999999</v>
      </c>
      <c r="M1109" t="s">
        <v>3373</v>
      </c>
      <c r="N1109">
        <v>1109</v>
      </c>
    </row>
    <row r="1110" spans="1:14" x14ac:dyDescent="0.25">
      <c r="A1110" t="s">
        <v>2878</v>
      </c>
      <c r="B1110">
        <v>1106</v>
      </c>
      <c r="C1110">
        <v>2106</v>
      </c>
      <c r="D1110" s="1" t="s">
        <v>1248</v>
      </c>
      <c r="E1110" t="s">
        <v>1240</v>
      </c>
      <c r="G1110" t="s">
        <v>24</v>
      </c>
      <c r="I1110">
        <v>62.5</v>
      </c>
      <c r="J1110">
        <v>133</v>
      </c>
      <c r="K1110">
        <v>70.5</v>
      </c>
      <c r="L1110">
        <v>1.1279999999999999</v>
      </c>
      <c r="M1110" t="s">
        <v>3373</v>
      </c>
      <c r="N1110">
        <v>1110</v>
      </c>
    </row>
    <row r="1111" spans="1:14" x14ac:dyDescent="0.25">
      <c r="A1111" t="s">
        <v>2879</v>
      </c>
      <c r="B1111">
        <v>1107</v>
      </c>
      <c r="C1111">
        <v>2107</v>
      </c>
      <c r="D1111" s="1" t="s">
        <v>1249</v>
      </c>
      <c r="E1111" t="s">
        <v>1240</v>
      </c>
      <c r="G1111" t="s">
        <v>24</v>
      </c>
      <c r="I1111">
        <v>87</v>
      </c>
      <c r="J1111">
        <v>210</v>
      </c>
      <c r="K1111">
        <v>123</v>
      </c>
      <c r="L1111">
        <v>1.4137999999999999</v>
      </c>
      <c r="M1111" t="s">
        <v>3373</v>
      </c>
      <c r="N1111">
        <v>1111</v>
      </c>
    </row>
    <row r="1112" spans="1:14" x14ac:dyDescent="0.25">
      <c r="A1112" t="s">
        <v>2880</v>
      </c>
      <c r="B1112">
        <v>1108</v>
      </c>
      <c r="C1112">
        <v>2108</v>
      </c>
      <c r="D1112" s="1" t="s">
        <v>1250</v>
      </c>
      <c r="E1112" t="s">
        <v>1240</v>
      </c>
      <c r="G1112" t="s">
        <v>24</v>
      </c>
      <c r="I1112">
        <v>187.5</v>
      </c>
      <c r="J1112">
        <v>375</v>
      </c>
      <c r="K1112">
        <v>187.5</v>
      </c>
      <c r="L1112">
        <v>1</v>
      </c>
      <c r="M1112" t="s">
        <v>3373</v>
      </c>
      <c r="N1112">
        <v>1112</v>
      </c>
    </row>
    <row r="1113" spans="1:14" x14ac:dyDescent="0.25">
      <c r="A1113" t="s">
        <v>2881</v>
      </c>
      <c r="B1113">
        <v>1109</v>
      </c>
      <c r="C1113">
        <v>2109</v>
      </c>
      <c r="D1113" s="1" t="s">
        <v>1251</v>
      </c>
      <c r="E1113" t="s">
        <v>1240</v>
      </c>
      <c r="G1113" t="s">
        <v>24</v>
      </c>
      <c r="I1113">
        <v>190</v>
      </c>
      <c r="J1113">
        <v>380</v>
      </c>
      <c r="K1113">
        <v>190</v>
      </c>
      <c r="L1113">
        <v>1</v>
      </c>
      <c r="M1113" t="s">
        <v>3373</v>
      </c>
      <c r="N1113">
        <v>1113</v>
      </c>
    </row>
    <row r="1114" spans="1:14" x14ac:dyDescent="0.25">
      <c r="A1114" t="s">
        <v>2882</v>
      </c>
      <c r="B1114">
        <v>1110</v>
      </c>
      <c r="C1114">
        <v>2110</v>
      </c>
      <c r="D1114" s="1" t="s">
        <v>1252</v>
      </c>
      <c r="E1114" t="s">
        <v>1240</v>
      </c>
      <c r="G1114" t="s">
        <v>24</v>
      </c>
      <c r="I1114">
        <v>95</v>
      </c>
      <c r="J1114">
        <v>205</v>
      </c>
      <c r="K1114">
        <v>110</v>
      </c>
      <c r="L1114">
        <v>1.1578999999999999</v>
      </c>
      <c r="M1114" t="s">
        <v>3373</v>
      </c>
      <c r="N1114">
        <v>1114</v>
      </c>
    </row>
    <row r="1115" spans="1:14" x14ac:dyDescent="0.25">
      <c r="A1115" t="s">
        <v>2883</v>
      </c>
      <c r="B1115">
        <v>1111</v>
      </c>
      <c r="C1115">
        <v>2111</v>
      </c>
      <c r="D1115" s="1" t="s">
        <v>1253</v>
      </c>
      <c r="E1115" t="s">
        <v>1254</v>
      </c>
      <c r="G1115" t="s">
        <v>24</v>
      </c>
      <c r="I1115">
        <v>49</v>
      </c>
      <c r="J1115">
        <v>85</v>
      </c>
      <c r="K1115">
        <v>36</v>
      </c>
      <c r="L1115">
        <v>0.73470000000000002</v>
      </c>
      <c r="M1115" t="s">
        <v>3373</v>
      </c>
      <c r="N1115">
        <v>1115</v>
      </c>
    </row>
    <row r="1116" spans="1:14" x14ac:dyDescent="0.25">
      <c r="A1116" t="s">
        <v>2884</v>
      </c>
      <c r="B1116">
        <v>1112</v>
      </c>
      <c r="C1116">
        <v>2112</v>
      </c>
      <c r="D1116" s="1" t="s">
        <v>1255</v>
      </c>
      <c r="E1116" t="s">
        <v>1256</v>
      </c>
      <c r="G1116" t="s">
        <v>24</v>
      </c>
      <c r="I1116">
        <v>200</v>
      </c>
      <c r="J1116">
        <v>300</v>
      </c>
      <c r="K1116">
        <v>100</v>
      </c>
      <c r="L1116">
        <v>0.5</v>
      </c>
      <c r="M1116" t="s">
        <v>3373</v>
      </c>
      <c r="N1116">
        <v>1116</v>
      </c>
    </row>
    <row r="1117" spans="1:14" x14ac:dyDescent="0.25">
      <c r="A1117" t="s">
        <v>2885</v>
      </c>
      <c r="B1117">
        <v>1113</v>
      </c>
      <c r="C1117">
        <v>2113</v>
      </c>
      <c r="D1117" s="1" t="s">
        <v>1257</v>
      </c>
      <c r="E1117" t="s">
        <v>1258</v>
      </c>
      <c r="G1117" t="s">
        <v>24</v>
      </c>
      <c r="I1117">
        <v>65</v>
      </c>
      <c r="J1117">
        <v>115</v>
      </c>
      <c r="K1117">
        <v>50</v>
      </c>
      <c r="L1117">
        <v>0.76919999999999999</v>
      </c>
      <c r="M1117" t="s">
        <v>3373</v>
      </c>
      <c r="N1117">
        <v>1117</v>
      </c>
    </row>
    <row r="1118" spans="1:14" x14ac:dyDescent="0.25">
      <c r="A1118" t="s">
        <v>2886</v>
      </c>
      <c r="B1118">
        <v>1114</v>
      </c>
      <c r="C1118">
        <v>2114</v>
      </c>
      <c r="D1118" s="1" t="s">
        <v>1259</v>
      </c>
      <c r="E1118" t="s">
        <v>1258</v>
      </c>
      <c r="G1118" t="s">
        <v>24</v>
      </c>
      <c r="I1118">
        <v>98</v>
      </c>
      <c r="J1118">
        <v>235</v>
      </c>
      <c r="K1118">
        <v>137</v>
      </c>
      <c r="L1118">
        <v>1.3979999999999999</v>
      </c>
      <c r="M1118" t="s">
        <v>3373</v>
      </c>
      <c r="N1118">
        <v>1118</v>
      </c>
    </row>
    <row r="1119" spans="1:14" x14ac:dyDescent="0.25">
      <c r="A1119" t="s">
        <v>2887</v>
      </c>
      <c r="B1119">
        <v>1115</v>
      </c>
      <c r="C1119">
        <v>2115</v>
      </c>
      <c r="D1119" s="1" t="s">
        <v>1260</v>
      </c>
      <c r="G1119" t="s">
        <v>24</v>
      </c>
      <c r="I1119">
        <v>65</v>
      </c>
      <c r="J1119">
        <v>95</v>
      </c>
      <c r="K1119">
        <v>30</v>
      </c>
      <c r="L1119">
        <v>0.46150000000000002</v>
      </c>
      <c r="M1119" t="s">
        <v>3373</v>
      </c>
      <c r="N1119">
        <v>1119</v>
      </c>
    </row>
    <row r="1120" spans="1:14" x14ac:dyDescent="0.25">
      <c r="A1120" t="s">
        <v>2888</v>
      </c>
      <c r="B1120">
        <v>1116</v>
      </c>
      <c r="C1120">
        <v>2116</v>
      </c>
      <c r="D1120" s="1" t="s">
        <v>1261</v>
      </c>
      <c r="G1120" t="s">
        <v>24</v>
      </c>
      <c r="I1120">
        <v>55</v>
      </c>
      <c r="J1120">
        <v>85</v>
      </c>
      <c r="K1120">
        <v>30</v>
      </c>
      <c r="L1120">
        <v>0.54549999999999998</v>
      </c>
      <c r="M1120" t="s">
        <v>3373</v>
      </c>
      <c r="N1120">
        <v>1120</v>
      </c>
    </row>
    <row r="1121" spans="1:14" x14ac:dyDescent="0.25">
      <c r="A1121" t="s">
        <v>2889</v>
      </c>
      <c r="B1121">
        <v>1117</v>
      </c>
      <c r="C1121">
        <v>2117</v>
      </c>
      <c r="D1121" s="1" t="s">
        <v>1262</v>
      </c>
      <c r="E1121" t="s">
        <v>1263</v>
      </c>
      <c r="G1121" t="s">
        <v>24</v>
      </c>
      <c r="I1121">
        <v>440</v>
      </c>
      <c r="J1121">
        <v>550</v>
      </c>
      <c r="K1121">
        <v>110</v>
      </c>
      <c r="L1121">
        <v>0.25</v>
      </c>
      <c r="M1121" t="s">
        <v>3373</v>
      </c>
      <c r="N1121">
        <v>1121</v>
      </c>
    </row>
    <row r="1122" spans="1:14" x14ac:dyDescent="0.25">
      <c r="A1122" t="s">
        <v>2890</v>
      </c>
      <c r="B1122">
        <v>1118</v>
      </c>
      <c r="C1122">
        <v>2118</v>
      </c>
      <c r="D1122" s="1" t="s">
        <v>1264</v>
      </c>
      <c r="E1122" t="s">
        <v>386</v>
      </c>
      <c r="G1122" t="s">
        <v>24</v>
      </c>
      <c r="I1122">
        <v>46</v>
      </c>
      <c r="J1122">
        <v>75</v>
      </c>
      <c r="K1122">
        <v>29</v>
      </c>
      <c r="L1122">
        <v>0.63039999999999996</v>
      </c>
      <c r="M1122" t="s">
        <v>3373</v>
      </c>
      <c r="N1122">
        <v>1122</v>
      </c>
    </row>
    <row r="1123" spans="1:14" x14ac:dyDescent="0.25">
      <c r="A1123" t="s">
        <v>2891</v>
      </c>
      <c r="B1123">
        <v>1119</v>
      </c>
      <c r="C1123">
        <v>2119</v>
      </c>
      <c r="D1123" s="1" t="s">
        <v>1265</v>
      </c>
      <c r="E1123" t="s">
        <v>386</v>
      </c>
      <c r="G1123" t="s">
        <v>24</v>
      </c>
      <c r="I1123">
        <v>73</v>
      </c>
      <c r="J1123">
        <v>100</v>
      </c>
      <c r="K1123">
        <v>27</v>
      </c>
      <c r="L1123">
        <v>0.36990000000000001</v>
      </c>
      <c r="M1123" t="s">
        <v>3373</v>
      </c>
      <c r="N1123">
        <v>1123</v>
      </c>
    </row>
    <row r="1124" spans="1:14" x14ac:dyDescent="0.25">
      <c r="A1124" t="s">
        <v>2892</v>
      </c>
      <c r="B1124">
        <v>1120</v>
      </c>
      <c r="C1124">
        <v>2120</v>
      </c>
      <c r="D1124" s="1" t="s">
        <v>1266</v>
      </c>
      <c r="E1124" t="s">
        <v>386</v>
      </c>
      <c r="G1124" t="s">
        <v>24</v>
      </c>
      <c r="I1124">
        <v>280</v>
      </c>
      <c r="J1124">
        <v>315</v>
      </c>
      <c r="K1124">
        <v>35</v>
      </c>
      <c r="L1124">
        <v>0.125</v>
      </c>
      <c r="M1124" t="s">
        <v>3373</v>
      </c>
      <c r="N1124">
        <v>1124</v>
      </c>
    </row>
    <row r="1125" spans="1:14" x14ac:dyDescent="0.25">
      <c r="A1125" t="s">
        <v>2893</v>
      </c>
      <c r="B1125">
        <v>1121</v>
      </c>
      <c r="C1125">
        <v>2121</v>
      </c>
      <c r="D1125" s="1" t="s">
        <v>1267</v>
      </c>
      <c r="E1125" t="s">
        <v>386</v>
      </c>
      <c r="G1125" t="s">
        <v>24</v>
      </c>
      <c r="I1125">
        <v>113</v>
      </c>
      <c r="J1125">
        <v>145</v>
      </c>
      <c r="K1125">
        <v>32</v>
      </c>
      <c r="L1125">
        <v>0.28320000000000001</v>
      </c>
      <c r="M1125" t="s">
        <v>3373</v>
      </c>
      <c r="N1125">
        <v>1125</v>
      </c>
    </row>
    <row r="1126" spans="1:14" x14ac:dyDescent="0.25">
      <c r="A1126" t="s">
        <v>2894</v>
      </c>
      <c r="B1126">
        <v>1122</v>
      </c>
      <c r="C1126">
        <v>2122</v>
      </c>
      <c r="D1126" s="1" t="s">
        <v>1268</v>
      </c>
      <c r="G1126" t="s">
        <v>546</v>
      </c>
      <c r="I1126">
        <v>84</v>
      </c>
      <c r="J1126">
        <v>115</v>
      </c>
      <c r="K1126">
        <v>31</v>
      </c>
      <c r="L1126">
        <v>0.36899999999999999</v>
      </c>
      <c r="M1126" t="s">
        <v>3373</v>
      </c>
      <c r="N1126">
        <v>1126</v>
      </c>
    </row>
    <row r="1127" spans="1:14" x14ac:dyDescent="0.25">
      <c r="A1127" t="s">
        <v>2895</v>
      </c>
      <c r="B1127">
        <v>1123</v>
      </c>
      <c r="C1127">
        <v>2123</v>
      </c>
      <c r="D1127" s="1" t="s">
        <v>1269</v>
      </c>
      <c r="G1127" t="s">
        <v>546</v>
      </c>
      <c r="I1127">
        <v>48</v>
      </c>
      <c r="J1127">
        <v>75</v>
      </c>
      <c r="K1127">
        <v>27</v>
      </c>
      <c r="L1127">
        <v>0.5625</v>
      </c>
      <c r="M1127" t="s">
        <v>3373</v>
      </c>
      <c r="N1127">
        <v>1127</v>
      </c>
    </row>
    <row r="1128" spans="1:14" x14ac:dyDescent="0.25">
      <c r="A1128" t="s">
        <v>2896</v>
      </c>
      <c r="B1128">
        <v>1124</v>
      </c>
      <c r="C1128">
        <v>2124</v>
      </c>
      <c r="D1128" s="1" t="s">
        <v>1270</v>
      </c>
      <c r="G1128" t="s">
        <v>546</v>
      </c>
      <c r="I1128">
        <v>25</v>
      </c>
      <c r="J1128">
        <v>60</v>
      </c>
      <c r="K1128">
        <v>35</v>
      </c>
      <c r="L1128">
        <v>1.4</v>
      </c>
      <c r="M1128" t="s">
        <v>3373</v>
      </c>
      <c r="N1128">
        <v>1128</v>
      </c>
    </row>
    <row r="1129" spans="1:14" x14ac:dyDescent="0.25">
      <c r="A1129" t="s">
        <v>2897</v>
      </c>
      <c r="B1129">
        <v>1125</v>
      </c>
      <c r="C1129">
        <v>2125</v>
      </c>
      <c r="D1129" s="1" t="s">
        <v>1271</v>
      </c>
      <c r="G1129" t="s">
        <v>546</v>
      </c>
      <c r="I1129">
        <v>174</v>
      </c>
      <c r="J1129">
        <v>205</v>
      </c>
      <c r="K1129">
        <v>31</v>
      </c>
      <c r="L1129">
        <v>0.1782</v>
      </c>
      <c r="M1129" t="s">
        <v>3373</v>
      </c>
      <c r="N1129">
        <v>1129</v>
      </c>
    </row>
    <row r="1130" spans="1:14" x14ac:dyDescent="0.25">
      <c r="A1130" t="s">
        <v>2898</v>
      </c>
      <c r="B1130">
        <v>1126</v>
      </c>
      <c r="C1130">
        <v>2126</v>
      </c>
      <c r="D1130" s="1" t="s">
        <v>1272</v>
      </c>
      <c r="G1130" t="s">
        <v>546</v>
      </c>
      <c r="I1130">
        <v>93</v>
      </c>
      <c r="J1130">
        <v>125</v>
      </c>
      <c r="K1130">
        <v>32</v>
      </c>
      <c r="L1130">
        <v>0.34410000000000002</v>
      </c>
      <c r="M1130" t="s">
        <v>3373</v>
      </c>
      <c r="N1130">
        <v>1130</v>
      </c>
    </row>
    <row r="1131" spans="1:14" x14ac:dyDescent="0.25">
      <c r="A1131" t="s">
        <v>2899</v>
      </c>
      <c r="B1131">
        <v>1127</v>
      </c>
      <c r="C1131">
        <v>2127</v>
      </c>
      <c r="D1131" s="1" t="s">
        <v>1273</v>
      </c>
      <c r="G1131" t="s">
        <v>24</v>
      </c>
      <c r="I1131">
        <v>0.84</v>
      </c>
      <c r="J1131">
        <v>2</v>
      </c>
      <c r="K1131">
        <v>1.1599999999999999</v>
      </c>
      <c r="L1131">
        <v>1.381</v>
      </c>
      <c r="M1131" t="s">
        <v>3373</v>
      </c>
      <c r="N1131">
        <v>1131</v>
      </c>
    </row>
    <row r="1132" spans="1:14" x14ac:dyDescent="0.25">
      <c r="A1132" t="s">
        <v>2900</v>
      </c>
      <c r="B1132">
        <v>1128</v>
      </c>
      <c r="C1132">
        <v>2128</v>
      </c>
      <c r="D1132" s="1" t="s">
        <v>1274</v>
      </c>
      <c r="G1132" t="s">
        <v>24</v>
      </c>
      <c r="I1132">
        <v>0.48</v>
      </c>
      <c r="J1132">
        <v>2</v>
      </c>
      <c r="K1132">
        <v>1.52</v>
      </c>
      <c r="L1132">
        <v>3.1667000000000001</v>
      </c>
      <c r="M1132" t="s">
        <v>3373</v>
      </c>
      <c r="N1132">
        <v>1132</v>
      </c>
    </row>
    <row r="1133" spans="1:14" x14ac:dyDescent="0.25">
      <c r="A1133" t="s">
        <v>2901</v>
      </c>
      <c r="B1133">
        <v>1129</v>
      </c>
      <c r="C1133">
        <v>2129</v>
      </c>
      <c r="D1133" s="1" t="s">
        <v>1275</v>
      </c>
      <c r="G1133" t="s">
        <v>24</v>
      </c>
      <c r="I1133">
        <v>0.25</v>
      </c>
      <c r="J1133">
        <v>1.5</v>
      </c>
      <c r="K1133">
        <v>1.25</v>
      </c>
      <c r="L1133">
        <v>5</v>
      </c>
      <c r="M1133" t="s">
        <v>3373</v>
      </c>
      <c r="N1133">
        <v>1133</v>
      </c>
    </row>
    <row r="1134" spans="1:14" x14ac:dyDescent="0.25">
      <c r="A1134" t="s">
        <v>2902</v>
      </c>
      <c r="B1134">
        <v>1130</v>
      </c>
      <c r="C1134">
        <v>2130</v>
      </c>
      <c r="D1134" s="1" t="s">
        <v>1276</v>
      </c>
      <c r="G1134" t="s">
        <v>24</v>
      </c>
      <c r="I1134">
        <v>1.74</v>
      </c>
      <c r="J1134">
        <v>4</v>
      </c>
      <c r="K1134">
        <v>2.2599999999999998</v>
      </c>
      <c r="L1134">
        <v>1.2988999999999999</v>
      </c>
      <c r="M1134" t="s">
        <v>3373</v>
      </c>
      <c r="N1134">
        <v>1134</v>
      </c>
    </row>
    <row r="1135" spans="1:14" x14ac:dyDescent="0.25">
      <c r="A1135" t="s">
        <v>2903</v>
      </c>
      <c r="B1135">
        <v>1131</v>
      </c>
      <c r="C1135">
        <v>2131</v>
      </c>
      <c r="D1135" s="1" t="s">
        <v>1277</v>
      </c>
      <c r="G1135" t="s">
        <v>24</v>
      </c>
      <c r="I1135">
        <v>0.93</v>
      </c>
      <c r="J1135">
        <v>3</v>
      </c>
      <c r="K1135">
        <v>2.0699999999999998</v>
      </c>
      <c r="L1135">
        <v>2.2258</v>
      </c>
      <c r="M1135" t="s">
        <v>3373</v>
      </c>
      <c r="N1135">
        <v>1135</v>
      </c>
    </row>
    <row r="1136" spans="1:14" x14ac:dyDescent="0.25">
      <c r="A1136" t="s">
        <v>2904</v>
      </c>
      <c r="B1136">
        <v>1132</v>
      </c>
      <c r="C1136">
        <v>2132</v>
      </c>
      <c r="D1136" s="1" t="s">
        <v>1278</v>
      </c>
      <c r="G1136" t="s">
        <v>24</v>
      </c>
      <c r="I1136">
        <v>135</v>
      </c>
      <c r="J1136">
        <v>175</v>
      </c>
      <c r="K1136">
        <v>40</v>
      </c>
      <c r="L1136">
        <v>0.29630000000000001</v>
      </c>
      <c r="M1136" t="s">
        <v>3373</v>
      </c>
      <c r="N1136">
        <v>1136</v>
      </c>
    </row>
    <row r="1137" spans="1:14" x14ac:dyDescent="0.25">
      <c r="A1137" t="s">
        <v>2905</v>
      </c>
      <c r="B1137">
        <v>1133</v>
      </c>
      <c r="C1137">
        <v>2133</v>
      </c>
      <c r="D1137" s="1" t="s">
        <v>1279</v>
      </c>
      <c r="G1137" t="s">
        <v>24</v>
      </c>
      <c r="I1137">
        <v>5</v>
      </c>
      <c r="J1137">
        <v>10</v>
      </c>
      <c r="K1137">
        <v>5</v>
      </c>
      <c r="L1137">
        <v>1</v>
      </c>
      <c r="M1137" t="s">
        <v>3373</v>
      </c>
      <c r="N1137">
        <v>1137</v>
      </c>
    </row>
    <row r="1138" spans="1:14" x14ac:dyDescent="0.25">
      <c r="A1138" t="s">
        <v>2906</v>
      </c>
      <c r="B1138">
        <v>1134</v>
      </c>
      <c r="C1138">
        <v>2134</v>
      </c>
      <c r="D1138" s="1" t="s">
        <v>1280</v>
      </c>
      <c r="G1138" t="s">
        <v>24</v>
      </c>
      <c r="I1138">
        <v>50</v>
      </c>
      <c r="J1138">
        <v>100</v>
      </c>
      <c r="K1138">
        <v>50</v>
      </c>
      <c r="L1138">
        <v>1</v>
      </c>
      <c r="M1138" t="s">
        <v>3373</v>
      </c>
      <c r="N1138">
        <v>1138</v>
      </c>
    </row>
    <row r="1139" spans="1:14" x14ac:dyDescent="0.25">
      <c r="A1139" t="s">
        <v>2907</v>
      </c>
      <c r="B1139">
        <v>1135</v>
      </c>
      <c r="C1139">
        <v>2135</v>
      </c>
      <c r="D1139" s="1" t="s">
        <v>1281</v>
      </c>
      <c r="G1139" t="s">
        <v>1008</v>
      </c>
      <c r="I1139">
        <v>60</v>
      </c>
      <c r="J1139">
        <v>90</v>
      </c>
      <c r="K1139">
        <v>30</v>
      </c>
      <c r="L1139">
        <v>0.5</v>
      </c>
      <c r="M1139" t="s">
        <v>3373</v>
      </c>
      <c r="N1139">
        <v>1139</v>
      </c>
    </row>
    <row r="1140" spans="1:14" x14ac:dyDescent="0.25">
      <c r="A1140" t="s">
        <v>2908</v>
      </c>
      <c r="B1140">
        <v>1136</v>
      </c>
      <c r="C1140">
        <v>2136</v>
      </c>
      <c r="D1140" s="1" t="s">
        <v>1282</v>
      </c>
      <c r="E1140" t="s">
        <v>711</v>
      </c>
      <c r="F1140" t="s">
        <v>1283</v>
      </c>
      <c r="G1140" t="s">
        <v>24</v>
      </c>
      <c r="I1140">
        <v>235</v>
      </c>
      <c r="J1140">
        <v>245</v>
      </c>
      <c r="K1140">
        <v>10</v>
      </c>
      <c r="L1140">
        <v>4.2599999999999999E-2</v>
      </c>
      <c r="M1140" t="s">
        <v>3373</v>
      </c>
      <c r="N1140">
        <v>1140</v>
      </c>
    </row>
    <row r="1141" spans="1:14" x14ac:dyDescent="0.25">
      <c r="A1141" t="s">
        <v>2909</v>
      </c>
      <c r="B1141">
        <v>1137</v>
      </c>
      <c r="C1141">
        <v>2137</v>
      </c>
      <c r="D1141" s="1" t="s">
        <v>1284</v>
      </c>
      <c r="E1141" t="s">
        <v>1285</v>
      </c>
      <c r="G1141" t="s">
        <v>24</v>
      </c>
      <c r="I1141">
        <v>185.85</v>
      </c>
      <c r="J1141">
        <v>275</v>
      </c>
      <c r="K1141">
        <v>89.15</v>
      </c>
      <c r="L1141">
        <v>0.47970000000000002</v>
      </c>
      <c r="M1141" t="s">
        <v>3373</v>
      </c>
      <c r="N1141">
        <v>1141</v>
      </c>
    </row>
    <row r="1142" spans="1:14" x14ac:dyDescent="0.25">
      <c r="A1142" t="s">
        <v>2910</v>
      </c>
      <c r="B1142">
        <v>1138</v>
      </c>
      <c r="C1142">
        <v>2138</v>
      </c>
      <c r="D1142" s="1" t="s">
        <v>1286</v>
      </c>
      <c r="E1142" t="s">
        <v>1285</v>
      </c>
      <c r="G1142" t="s">
        <v>24</v>
      </c>
      <c r="I1142">
        <v>282.10000000000002</v>
      </c>
      <c r="J1142">
        <v>405</v>
      </c>
      <c r="K1142">
        <v>122.9</v>
      </c>
      <c r="L1142">
        <v>0.43569999999999998</v>
      </c>
      <c r="M1142" t="s">
        <v>3373</v>
      </c>
      <c r="N1142">
        <v>1142</v>
      </c>
    </row>
    <row r="1143" spans="1:14" x14ac:dyDescent="0.25">
      <c r="A1143" t="s">
        <v>2911</v>
      </c>
      <c r="B1143">
        <v>1139</v>
      </c>
      <c r="C1143">
        <v>2139</v>
      </c>
      <c r="D1143" s="1" t="s">
        <v>1287</v>
      </c>
      <c r="E1143" t="s">
        <v>1285</v>
      </c>
      <c r="G1143" t="s">
        <v>24</v>
      </c>
      <c r="I1143">
        <v>206.15</v>
      </c>
      <c r="J1143">
        <v>298</v>
      </c>
      <c r="K1143">
        <v>91.85</v>
      </c>
      <c r="L1143">
        <v>0.44550000000000001</v>
      </c>
      <c r="M1143" t="s">
        <v>3373</v>
      </c>
      <c r="N1143">
        <v>1143</v>
      </c>
    </row>
    <row r="1144" spans="1:14" x14ac:dyDescent="0.25">
      <c r="A1144" t="s">
        <v>2912</v>
      </c>
      <c r="B1144">
        <v>1140</v>
      </c>
      <c r="C1144">
        <v>2140</v>
      </c>
      <c r="D1144" s="1" t="s">
        <v>1288</v>
      </c>
      <c r="E1144" t="s">
        <v>1285</v>
      </c>
      <c r="G1144" t="s">
        <v>24</v>
      </c>
      <c r="I1144">
        <v>322.35000000000002</v>
      </c>
      <c r="J1144">
        <v>465</v>
      </c>
      <c r="K1144">
        <v>142.65</v>
      </c>
      <c r="L1144">
        <v>0.4425</v>
      </c>
      <c r="M1144" t="s">
        <v>3373</v>
      </c>
      <c r="N1144">
        <v>1144</v>
      </c>
    </row>
    <row r="1145" spans="1:14" x14ac:dyDescent="0.25">
      <c r="A1145" t="s">
        <v>2913</v>
      </c>
      <c r="B1145">
        <v>1141</v>
      </c>
      <c r="C1145">
        <v>2141</v>
      </c>
      <c r="D1145" s="1" t="s">
        <v>1289</v>
      </c>
      <c r="E1145" t="s">
        <v>1285</v>
      </c>
      <c r="G1145" t="s">
        <v>24</v>
      </c>
      <c r="I1145">
        <v>129.49</v>
      </c>
      <c r="J1145">
        <v>195</v>
      </c>
      <c r="K1145">
        <v>65.510000000000005</v>
      </c>
      <c r="L1145">
        <v>0.50590000000000002</v>
      </c>
      <c r="M1145" t="s">
        <v>3373</v>
      </c>
      <c r="N1145">
        <v>1145</v>
      </c>
    </row>
    <row r="1146" spans="1:14" x14ac:dyDescent="0.25">
      <c r="A1146" t="s">
        <v>2914</v>
      </c>
      <c r="B1146">
        <v>1142</v>
      </c>
      <c r="C1146">
        <v>2142</v>
      </c>
      <c r="D1146" s="1" t="s">
        <v>1290</v>
      </c>
      <c r="E1146" t="s">
        <v>1285</v>
      </c>
      <c r="G1146" t="s">
        <v>24</v>
      </c>
      <c r="I1146">
        <v>195.48</v>
      </c>
      <c r="J1146">
        <v>285</v>
      </c>
      <c r="K1146">
        <v>89.53</v>
      </c>
      <c r="L1146">
        <v>0.45800000000000002</v>
      </c>
      <c r="M1146" t="s">
        <v>3373</v>
      </c>
      <c r="N1146">
        <v>1146</v>
      </c>
    </row>
    <row r="1147" spans="1:14" x14ac:dyDescent="0.25">
      <c r="A1147" t="s">
        <v>2915</v>
      </c>
      <c r="B1147">
        <v>1143</v>
      </c>
      <c r="C1147">
        <v>2143</v>
      </c>
      <c r="D1147" s="1" t="s">
        <v>1291</v>
      </c>
      <c r="E1147" t="s">
        <v>1285</v>
      </c>
      <c r="G1147" t="s">
        <v>24</v>
      </c>
      <c r="I1147">
        <v>79.010000000000005</v>
      </c>
      <c r="J1147">
        <v>120</v>
      </c>
      <c r="K1147">
        <v>40.99</v>
      </c>
      <c r="L1147">
        <v>0.51880000000000004</v>
      </c>
      <c r="M1147" t="s">
        <v>3374</v>
      </c>
      <c r="N1147">
        <v>1147</v>
      </c>
    </row>
    <row r="1148" spans="1:14" x14ac:dyDescent="0.25">
      <c r="A1148" t="s">
        <v>2916</v>
      </c>
      <c r="B1148">
        <v>1144</v>
      </c>
      <c r="C1148">
        <v>2144</v>
      </c>
      <c r="D1148" s="1" t="s">
        <v>1292</v>
      </c>
      <c r="E1148" t="s">
        <v>1285</v>
      </c>
      <c r="G1148" t="s">
        <v>24</v>
      </c>
      <c r="I1148">
        <v>8.4499999999999993</v>
      </c>
      <c r="J1148">
        <v>25</v>
      </c>
      <c r="K1148">
        <v>16.55</v>
      </c>
      <c r="L1148">
        <v>1.9589000000000001</v>
      </c>
      <c r="M1148" t="s">
        <v>3374</v>
      </c>
      <c r="N1148">
        <v>1148</v>
      </c>
    </row>
    <row r="1149" spans="1:14" x14ac:dyDescent="0.25">
      <c r="A1149" t="s">
        <v>2917</v>
      </c>
      <c r="B1149">
        <v>1145</v>
      </c>
      <c r="C1149">
        <v>2145</v>
      </c>
      <c r="D1149" s="1" t="s">
        <v>1293</v>
      </c>
      <c r="E1149" t="s">
        <v>1285</v>
      </c>
      <c r="G1149" t="s">
        <v>24</v>
      </c>
      <c r="I1149">
        <v>8.86</v>
      </c>
      <c r="J1149">
        <v>25</v>
      </c>
      <c r="K1149">
        <v>16.149999999999999</v>
      </c>
      <c r="L1149">
        <v>1.8232999999999999</v>
      </c>
      <c r="M1149" t="s">
        <v>3374</v>
      </c>
      <c r="N1149">
        <v>1149</v>
      </c>
    </row>
    <row r="1150" spans="1:14" x14ac:dyDescent="0.25">
      <c r="A1150" t="s">
        <v>2918</v>
      </c>
      <c r="B1150">
        <v>1146</v>
      </c>
      <c r="C1150">
        <v>2146</v>
      </c>
      <c r="D1150" s="1" t="s">
        <v>1294</v>
      </c>
      <c r="E1150" t="s">
        <v>1285</v>
      </c>
      <c r="G1150" t="s">
        <v>24</v>
      </c>
      <c r="I1150">
        <v>13.69</v>
      </c>
      <c r="J1150">
        <v>35</v>
      </c>
      <c r="K1150">
        <v>21.32</v>
      </c>
      <c r="L1150">
        <v>1.5575000000000001</v>
      </c>
      <c r="M1150" t="s">
        <v>3374</v>
      </c>
      <c r="N1150">
        <v>1150</v>
      </c>
    </row>
    <row r="1151" spans="1:14" x14ac:dyDescent="0.25">
      <c r="A1151" t="s">
        <v>2919</v>
      </c>
      <c r="B1151">
        <v>1147</v>
      </c>
      <c r="C1151">
        <v>2147</v>
      </c>
      <c r="D1151" s="1" t="s">
        <v>1295</v>
      </c>
      <c r="E1151" t="s">
        <v>1285</v>
      </c>
      <c r="G1151" t="s">
        <v>24</v>
      </c>
      <c r="I1151">
        <v>80.5</v>
      </c>
      <c r="J1151">
        <v>135</v>
      </c>
      <c r="K1151">
        <v>54.5</v>
      </c>
      <c r="L1151">
        <v>0.67700000000000005</v>
      </c>
      <c r="M1151" t="s">
        <v>3374</v>
      </c>
      <c r="N1151">
        <v>1151</v>
      </c>
    </row>
    <row r="1152" spans="1:14" x14ac:dyDescent="0.25">
      <c r="A1152" t="s">
        <v>2920</v>
      </c>
      <c r="B1152">
        <v>1148</v>
      </c>
      <c r="C1152">
        <v>2148</v>
      </c>
      <c r="D1152" s="1" t="s">
        <v>1296</v>
      </c>
      <c r="E1152" t="s">
        <v>1285</v>
      </c>
      <c r="G1152" t="s">
        <v>24</v>
      </c>
      <c r="I1152">
        <v>119</v>
      </c>
      <c r="J1152">
        <v>170</v>
      </c>
      <c r="K1152">
        <v>51</v>
      </c>
      <c r="L1152">
        <v>0.42859999999999998</v>
      </c>
      <c r="M1152" t="s">
        <v>3374</v>
      </c>
      <c r="N1152">
        <v>1152</v>
      </c>
    </row>
    <row r="1153" spans="1:14" x14ac:dyDescent="0.25">
      <c r="A1153" t="s">
        <v>2921</v>
      </c>
      <c r="B1153">
        <v>1149</v>
      </c>
      <c r="C1153">
        <v>2149</v>
      </c>
      <c r="D1153" s="1" t="s">
        <v>1297</v>
      </c>
      <c r="E1153" t="s">
        <v>1285</v>
      </c>
      <c r="G1153" t="s">
        <v>24</v>
      </c>
      <c r="I1153">
        <v>1199</v>
      </c>
      <c r="J1153">
        <v>1435</v>
      </c>
      <c r="K1153">
        <v>236</v>
      </c>
      <c r="L1153">
        <v>0.1968</v>
      </c>
      <c r="M1153" t="s">
        <v>3374</v>
      </c>
      <c r="N1153">
        <v>1153</v>
      </c>
    </row>
    <row r="1154" spans="1:14" x14ac:dyDescent="0.25">
      <c r="A1154" t="s">
        <v>2922</v>
      </c>
      <c r="B1154">
        <v>1150</v>
      </c>
      <c r="C1154">
        <v>2150</v>
      </c>
      <c r="D1154" s="1" t="s">
        <v>1298</v>
      </c>
      <c r="G1154" t="s">
        <v>24</v>
      </c>
      <c r="I1154">
        <v>16.5</v>
      </c>
      <c r="J1154">
        <v>45</v>
      </c>
      <c r="K1154">
        <v>28.5</v>
      </c>
      <c r="L1154">
        <v>1.7273000000000001</v>
      </c>
      <c r="M1154" t="s">
        <v>3374</v>
      </c>
      <c r="N1154">
        <v>1154</v>
      </c>
    </row>
    <row r="1155" spans="1:14" x14ac:dyDescent="0.25">
      <c r="A1155" t="s">
        <v>2923</v>
      </c>
      <c r="B1155">
        <v>1151</v>
      </c>
      <c r="C1155">
        <v>2151</v>
      </c>
      <c r="D1155" s="1" t="s">
        <v>1299</v>
      </c>
      <c r="G1155" t="s">
        <v>24</v>
      </c>
      <c r="I1155">
        <v>16.829999999999998</v>
      </c>
      <c r="J1155">
        <v>35</v>
      </c>
      <c r="K1155">
        <v>18.170000000000002</v>
      </c>
      <c r="L1155">
        <v>1.0795999999999999</v>
      </c>
      <c r="M1155" t="s">
        <v>3374</v>
      </c>
      <c r="N1155">
        <v>1155</v>
      </c>
    </row>
    <row r="1156" spans="1:14" x14ac:dyDescent="0.25">
      <c r="A1156" t="s">
        <v>2924</v>
      </c>
      <c r="B1156">
        <v>1152</v>
      </c>
      <c r="C1156">
        <v>2152</v>
      </c>
      <c r="D1156" s="1" t="s">
        <v>1300</v>
      </c>
      <c r="E1156" t="s">
        <v>1301</v>
      </c>
      <c r="G1156" t="s">
        <v>24</v>
      </c>
      <c r="I1156">
        <v>825</v>
      </c>
      <c r="J1156">
        <v>1335</v>
      </c>
      <c r="K1156">
        <v>510</v>
      </c>
      <c r="L1156">
        <v>0.61819999999999997</v>
      </c>
      <c r="M1156" t="s">
        <v>3374</v>
      </c>
      <c r="N1156">
        <v>1156</v>
      </c>
    </row>
    <row r="1157" spans="1:14" x14ac:dyDescent="0.25">
      <c r="A1157" t="s">
        <v>2925</v>
      </c>
      <c r="B1157">
        <v>1153</v>
      </c>
      <c r="C1157">
        <v>2153</v>
      </c>
      <c r="D1157" s="1" t="s">
        <v>1302</v>
      </c>
      <c r="G1157" t="s">
        <v>24</v>
      </c>
      <c r="I1157">
        <v>125.85</v>
      </c>
      <c r="J1157">
        <v>165</v>
      </c>
      <c r="K1157">
        <v>39.15</v>
      </c>
      <c r="L1157">
        <v>0.31109999999999999</v>
      </c>
      <c r="M1157" t="s">
        <v>3374</v>
      </c>
      <c r="N1157">
        <v>1157</v>
      </c>
    </row>
    <row r="1158" spans="1:14" x14ac:dyDescent="0.25">
      <c r="A1158" t="s">
        <v>2926</v>
      </c>
      <c r="B1158">
        <v>1154</v>
      </c>
      <c r="C1158">
        <v>2154</v>
      </c>
      <c r="D1158" s="1" t="s">
        <v>1303</v>
      </c>
      <c r="G1158" t="s">
        <v>24</v>
      </c>
      <c r="I1158">
        <v>65</v>
      </c>
      <c r="J1158">
        <v>130</v>
      </c>
      <c r="K1158">
        <v>65</v>
      </c>
      <c r="L1158">
        <v>1</v>
      </c>
      <c r="M1158" t="s">
        <v>3374</v>
      </c>
      <c r="N1158">
        <v>1158</v>
      </c>
    </row>
    <row r="1159" spans="1:14" x14ac:dyDescent="0.25">
      <c r="A1159" t="s">
        <v>2927</v>
      </c>
      <c r="B1159">
        <v>1155</v>
      </c>
      <c r="C1159">
        <v>2155</v>
      </c>
      <c r="D1159" s="1" t="s">
        <v>1304</v>
      </c>
      <c r="G1159" t="s">
        <v>55</v>
      </c>
      <c r="I1159">
        <v>16.5</v>
      </c>
      <c r="J1159">
        <v>30</v>
      </c>
      <c r="K1159">
        <v>13.5</v>
      </c>
      <c r="L1159">
        <v>0.81820000000000004</v>
      </c>
      <c r="M1159" t="s">
        <v>3374</v>
      </c>
      <c r="N1159">
        <v>1159</v>
      </c>
    </row>
    <row r="1160" spans="1:14" x14ac:dyDescent="0.25">
      <c r="A1160" t="s">
        <v>2928</v>
      </c>
      <c r="B1160">
        <v>1156</v>
      </c>
      <c r="C1160">
        <v>2156</v>
      </c>
      <c r="D1160" s="1" t="s">
        <v>1305</v>
      </c>
      <c r="G1160" t="s">
        <v>24</v>
      </c>
      <c r="I1160">
        <v>91</v>
      </c>
      <c r="J1160">
        <v>120</v>
      </c>
      <c r="K1160">
        <v>29</v>
      </c>
      <c r="L1160">
        <v>0.31869999999999998</v>
      </c>
      <c r="M1160" t="s">
        <v>3374</v>
      </c>
      <c r="N1160">
        <v>1160</v>
      </c>
    </row>
    <row r="1161" spans="1:14" x14ac:dyDescent="0.25">
      <c r="A1161" t="s">
        <v>2929</v>
      </c>
      <c r="B1161">
        <v>1157</v>
      </c>
      <c r="C1161">
        <v>2157</v>
      </c>
      <c r="D1161" s="1" t="s">
        <v>1306</v>
      </c>
      <c r="G1161" t="s">
        <v>24</v>
      </c>
      <c r="I1161">
        <v>120</v>
      </c>
      <c r="J1161">
        <v>205</v>
      </c>
      <c r="K1161">
        <v>85</v>
      </c>
      <c r="L1161">
        <v>0.70830000000000004</v>
      </c>
      <c r="M1161" t="s">
        <v>3374</v>
      </c>
      <c r="N1161">
        <v>1161</v>
      </c>
    </row>
    <row r="1162" spans="1:14" x14ac:dyDescent="0.25">
      <c r="A1162" t="s">
        <v>2930</v>
      </c>
      <c r="B1162">
        <v>1158</v>
      </c>
      <c r="C1162">
        <v>2158</v>
      </c>
      <c r="D1162" s="1" t="s">
        <v>1307</v>
      </c>
      <c r="G1162" t="s">
        <v>176</v>
      </c>
      <c r="I1162">
        <v>58</v>
      </c>
      <c r="J1162">
        <v>95</v>
      </c>
      <c r="K1162">
        <v>37</v>
      </c>
      <c r="L1162">
        <v>0.63790000000000002</v>
      </c>
      <c r="M1162" t="s">
        <v>3374</v>
      </c>
      <c r="N1162">
        <v>1162</v>
      </c>
    </row>
    <row r="1163" spans="1:14" x14ac:dyDescent="0.25">
      <c r="A1163" t="s">
        <v>2931</v>
      </c>
      <c r="B1163">
        <v>1159</v>
      </c>
      <c r="C1163">
        <v>2159</v>
      </c>
      <c r="D1163" s="1" t="s">
        <v>1308</v>
      </c>
      <c r="G1163" t="s">
        <v>24</v>
      </c>
      <c r="I1163">
        <v>151</v>
      </c>
      <c r="J1163">
        <v>175</v>
      </c>
      <c r="K1163">
        <v>24</v>
      </c>
      <c r="L1163">
        <v>0.15890000000000001</v>
      </c>
      <c r="M1163" t="s">
        <v>3374</v>
      </c>
      <c r="N1163">
        <v>1163</v>
      </c>
    </row>
    <row r="1164" spans="1:14" x14ac:dyDescent="0.25">
      <c r="A1164" t="s">
        <v>2932</v>
      </c>
      <c r="B1164">
        <v>1160</v>
      </c>
      <c r="C1164">
        <v>2160</v>
      </c>
      <c r="D1164" s="1" t="s">
        <v>1309</v>
      </c>
      <c r="G1164" t="s">
        <v>24</v>
      </c>
      <c r="I1164">
        <v>165</v>
      </c>
      <c r="J1164">
        <v>265</v>
      </c>
      <c r="K1164">
        <v>100</v>
      </c>
      <c r="L1164">
        <v>0.60609999999999997</v>
      </c>
      <c r="M1164" t="s">
        <v>3374</v>
      </c>
      <c r="N1164">
        <v>1164</v>
      </c>
    </row>
    <row r="1165" spans="1:14" x14ac:dyDescent="0.25">
      <c r="A1165" t="s">
        <v>2933</v>
      </c>
      <c r="B1165">
        <v>1161</v>
      </c>
      <c r="C1165">
        <v>2161</v>
      </c>
      <c r="D1165" s="1" t="s">
        <v>1310</v>
      </c>
      <c r="E1165" t="s">
        <v>342</v>
      </c>
      <c r="G1165" t="s">
        <v>24</v>
      </c>
      <c r="I1165">
        <v>400</v>
      </c>
      <c r="J1165">
        <v>965</v>
      </c>
      <c r="K1165">
        <v>565</v>
      </c>
      <c r="L1165">
        <v>1.4125000000000001</v>
      </c>
      <c r="M1165" t="s">
        <v>3374</v>
      </c>
      <c r="N1165">
        <v>1165</v>
      </c>
    </row>
    <row r="1166" spans="1:14" x14ac:dyDescent="0.25">
      <c r="A1166" t="s">
        <v>2934</v>
      </c>
      <c r="B1166">
        <v>1162</v>
      </c>
      <c r="C1166">
        <v>2162</v>
      </c>
      <c r="D1166" s="1" t="s">
        <v>1311</v>
      </c>
      <c r="G1166" t="s">
        <v>176</v>
      </c>
      <c r="I1166">
        <v>1350</v>
      </c>
      <c r="J1166">
        <v>1800</v>
      </c>
      <c r="K1166">
        <v>450</v>
      </c>
      <c r="L1166">
        <v>0.33329999999999999</v>
      </c>
      <c r="M1166" t="s">
        <v>3374</v>
      </c>
      <c r="N1166">
        <v>1166</v>
      </c>
    </row>
    <row r="1167" spans="1:14" x14ac:dyDescent="0.25">
      <c r="A1167" t="s">
        <v>2935</v>
      </c>
      <c r="B1167">
        <v>1163</v>
      </c>
      <c r="C1167">
        <v>2163</v>
      </c>
      <c r="D1167" s="1" t="s">
        <v>1312</v>
      </c>
      <c r="G1167" t="s">
        <v>24</v>
      </c>
      <c r="I1167">
        <v>1015</v>
      </c>
      <c r="J1167">
        <v>1245</v>
      </c>
      <c r="K1167">
        <v>230</v>
      </c>
      <c r="L1167">
        <v>0.2266</v>
      </c>
      <c r="M1167" t="s">
        <v>3374</v>
      </c>
      <c r="N1167">
        <v>1167</v>
      </c>
    </row>
    <row r="1168" spans="1:14" x14ac:dyDescent="0.25">
      <c r="A1168" t="s">
        <v>2936</v>
      </c>
      <c r="B1168">
        <v>1164</v>
      </c>
      <c r="C1168">
        <v>2164</v>
      </c>
      <c r="D1168" s="1" t="s">
        <v>1313</v>
      </c>
      <c r="G1168" t="s">
        <v>24</v>
      </c>
      <c r="I1168">
        <v>805</v>
      </c>
      <c r="J1168">
        <v>985</v>
      </c>
      <c r="K1168">
        <v>180</v>
      </c>
      <c r="L1168">
        <v>0.22359999999999999</v>
      </c>
      <c r="M1168" t="s">
        <v>3374</v>
      </c>
      <c r="N1168">
        <v>1168</v>
      </c>
    </row>
    <row r="1169" spans="1:14" x14ac:dyDescent="0.25">
      <c r="A1169" t="s">
        <v>2937</v>
      </c>
      <c r="B1169">
        <v>1165</v>
      </c>
      <c r="C1169">
        <v>2165</v>
      </c>
      <c r="D1169" s="1" t="s">
        <v>1314</v>
      </c>
      <c r="G1169" t="s">
        <v>24</v>
      </c>
      <c r="I1169">
        <v>45</v>
      </c>
      <c r="J1169">
        <v>75</v>
      </c>
      <c r="K1169">
        <v>30</v>
      </c>
      <c r="L1169">
        <v>0.66669999999999996</v>
      </c>
      <c r="M1169" t="s">
        <v>3374</v>
      </c>
      <c r="N1169">
        <v>1169</v>
      </c>
    </row>
    <row r="1170" spans="1:14" x14ac:dyDescent="0.25">
      <c r="A1170" t="s">
        <v>2938</v>
      </c>
      <c r="B1170">
        <v>1166</v>
      </c>
      <c r="C1170">
        <v>2166</v>
      </c>
      <c r="D1170" s="1" t="s">
        <v>1315</v>
      </c>
      <c r="E1170" t="s">
        <v>1316</v>
      </c>
      <c r="G1170" t="s">
        <v>24</v>
      </c>
      <c r="I1170">
        <v>700</v>
      </c>
      <c r="J1170">
        <v>880</v>
      </c>
      <c r="K1170">
        <v>180</v>
      </c>
      <c r="L1170">
        <v>0.2571</v>
      </c>
      <c r="M1170" t="s">
        <v>3374</v>
      </c>
      <c r="N1170">
        <v>1170</v>
      </c>
    </row>
    <row r="1171" spans="1:14" x14ac:dyDescent="0.25">
      <c r="A1171" t="s">
        <v>2939</v>
      </c>
      <c r="B1171">
        <v>1167</v>
      </c>
      <c r="C1171">
        <v>2167</v>
      </c>
      <c r="D1171" s="1" t="s">
        <v>1317</v>
      </c>
      <c r="G1171" t="s">
        <v>93</v>
      </c>
      <c r="I1171">
        <v>30</v>
      </c>
      <c r="J1171">
        <v>45</v>
      </c>
      <c r="K1171">
        <v>15</v>
      </c>
      <c r="L1171">
        <v>0.5</v>
      </c>
      <c r="M1171" t="s">
        <v>3374</v>
      </c>
      <c r="N1171">
        <v>1171</v>
      </c>
    </row>
    <row r="1172" spans="1:14" x14ac:dyDescent="0.25">
      <c r="A1172" t="s">
        <v>2940</v>
      </c>
      <c r="B1172">
        <v>1168</v>
      </c>
      <c r="C1172">
        <v>2168</v>
      </c>
      <c r="D1172" s="1" t="s">
        <v>1318</v>
      </c>
      <c r="G1172" t="s">
        <v>24</v>
      </c>
      <c r="I1172">
        <v>335</v>
      </c>
      <c r="J1172">
        <v>465</v>
      </c>
      <c r="K1172">
        <v>130</v>
      </c>
      <c r="L1172">
        <v>0.3881</v>
      </c>
      <c r="M1172" t="s">
        <v>3374</v>
      </c>
      <c r="N1172">
        <v>1172</v>
      </c>
    </row>
    <row r="1173" spans="1:14" x14ac:dyDescent="0.25">
      <c r="A1173" t="s">
        <v>2941</v>
      </c>
      <c r="B1173">
        <v>1169</v>
      </c>
      <c r="C1173">
        <v>2169</v>
      </c>
      <c r="D1173" s="1" t="s">
        <v>1319</v>
      </c>
      <c r="E1173" t="s">
        <v>526</v>
      </c>
      <c r="G1173" t="s">
        <v>24</v>
      </c>
      <c r="I1173">
        <v>151</v>
      </c>
      <c r="J1173">
        <v>205</v>
      </c>
      <c r="K1173">
        <v>54</v>
      </c>
      <c r="L1173">
        <v>0.35759999999999997</v>
      </c>
      <c r="M1173" t="s">
        <v>3374</v>
      </c>
      <c r="N1173">
        <v>1173</v>
      </c>
    </row>
    <row r="1174" spans="1:14" x14ac:dyDescent="0.25">
      <c r="A1174" t="s">
        <v>2942</v>
      </c>
      <c r="B1174">
        <v>1170</v>
      </c>
      <c r="C1174">
        <v>2170</v>
      </c>
      <c r="D1174" s="1" t="s">
        <v>1320</v>
      </c>
      <c r="E1174" t="s">
        <v>90</v>
      </c>
      <c r="G1174" t="s">
        <v>24</v>
      </c>
      <c r="I1174">
        <v>51</v>
      </c>
      <c r="J1174">
        <v>120</v>
      </c>
      <c r="K1174">
        <v>69</v>
      </c>
      <c r="L1174">
        <v>1.3529</v>
      </c>
      <c r="M1174" t="s">
        <v>3374</v>
      </c>
      <c r="N1174">
        <v>1174</v>
      </c>
    </row>
    <row r="1175" spans="1:14" x14ac:dyDescent="0.25">
      <c r="A1175" t="s">
        <v>2943</v>
      </c>
      <c r="B1175">
        <v>1171</v>
      </c>
      <c r="C1175">
        <v>2171</v>
      </c>
      <c r="D1175" s="1" t="s">
        <v>1321</v>
      </c>
      <c r="E1175" t="s">
        <v>90</v>
      </c>
      <c r="G1175" t="s">
        <v>24</v>
      </c>
      <c r="I1175">
        <v>670</v>
      </c>
      <c r="J1175">
        <v>875</v>
      </c>
      <c r="K1175">
        <v>205</v>
      </c>
      <c r="L1175">
        <v>0.30599999999999999</v>
      </c>
      <c r="M1175" t="s">
        <v>3374</v>
      </c>
      <c r="N1175">
        <v>1175</v>
      </c>
    </row>
    <row r="1176" spans="1:14" x14ac:dyDescent="0.25">
      <c r="A1176" t="s">
        <v>2944</v>
      </c>
      <c r="B1176">
        <v>1172</v>
      </c>
      <c r="C1176">
        <v>2172</v>
      </c>
      <c r="D1176" s="1" t="s">
        <v>1322</v>
      </c>
      <c r="E1176" t="s">
        <v>90</v>
      </c>
      <c r="G1176" t="s">
        <v>24</v>
      </c>
      <c r="I1176">
        <v>181</v>
      </c>
      <c r="J1176">
        <v>280</v>
      </c>
      <c r="K1176">
        <v>99</v>
      </c>
      <c r="L1176">
        <v>0.54700000000000004</v>
      </c>
      <c r="M1176" t="s">
        <v>3374</v>
      </c>
      <c r="N1176">
        <v>1176</v>
      </c>
    </row>
    <row r="1177" spans="1:14" x14ac:dyDescent="0.25">
      <c r="A1177" t="s">
        <v>2945</v>
      </c>
      <c r="B1177">
        <v>1173</v>
      </c>
      <c r="C1177">
        <v>2173</v>
      </c>
      <c r="D1177" s="1" t="s">
        <v>1323</v>
      </c>
      <c r="E1177" t="s">
        <v>90</v>
      </c>
      <c r="G1177" t="s">
        <v>24</v>
      </c>
      <c r="I1177">
        <v>258</v>
      </c>
      <c r="J1177">
        <v>365</v>
      </c>
      <c r="K1177">
        <v>107</v>
      </c>
      <c r="L1177">
        <v>0.41470000000000001</v>
      </c>
      <c r="M1177" t="s">
        <v>3374</v>
      </c>
      <c r="N1177">
        <v>1177</v>
      </c>
    </row>
    <row r="1178" spans="1:14" x14ac:dyDescent="0.25">
      <c r="A1178" t="s">
        <v>2946</v>
      </c>
      <c r="B1178">
        <v>1174</v>
      </c>
      <c r="C1178">
        <v>2174</v>
      </c>
      <c r="D1178" s="1" t="s">
        <v>1324</v>
      </c>
      <c r="G1178" t="s">
        <v>24</v>
      </c>
      <c r="I1178">
        <v>60</v>
      </c>
      <c r="J1178">
        <v>115</v>
      </c>
      <c r="K1178">
        <v>55</v>
      </c>
      <c r="L1178">
        <v>0.91669999999999996</v>
      </c>
      <c r="M1178" t="s">
        <v>3374</v>
      </c>
      <c r="N1178">
        <v>1178</v>
      </c>
    </row>
    <row r="1179" spans="1:14" x14ac:dyDescent="0.25">
      <c r="A1179" t="s">
        <v>2947</v>
      </c>
      <c r="B1179">
        <v>1175</v>
      </c>
      <c r="C1179">
        <v>2175</v>
      </c>
      <c r="D1179" s="1" t="s">
        <v>1325</v>
      </c>
      <c r="E1179" t="s">
        <v>1326</v>
      </c>
      <c r="G1179" t="s">
        <v>24</v>
      </c>
      <c r="I1179">
        <v>50</v>
      </c>
      <c r="J1179">
        <v>85</v>
      </c>
      <c r="K1179">
        <v>35</v>
      </c>
      <c r="L1179">
        <v>0.7</v>
      </c>
      <c r="M1179" t="s">
        <v>3374</v>
      </c>
      <c r="N1179">
        <v>1179</v>
      </c>
    </row>
    <row r="1180" spans="1:14" x14ac:dyDescent="0.25">
      <c r="A1180" t="s">
        <v>2948</v>
      </c>
      <c r="B1180">
        <v>1176</v>
      </c>
      <c r="C1180">
        <v>2176</v>
      </c>
      <c r="D1180" s="1" t="s">
        <v>1327</v>
      </c>
      <c r="G1180" t="s">
        <v>93</v>
      </c>
      <c r="I1180">
        <v>26.67</v>
      </c>
      <c r="J1180">
        <v>40</v>
      </c>
      <c r="K1180">
        <v>13.34</v>
      </c>
      <c r="L1180">
        <v>0.50009999999999999</v>
      </c>
      <c r="M1180" t="s">
        <v>3374</v>
      </c>
      <c r="N1180">
        <v>1180</v>
      </c>
    </row>
    <row r="1181" spans="1:14" x14ac:dyDescent="0.25">
      <c r="A1181" t="s">
        <v>2949</v>
      </c>
      <c r="B1181">
        <v>1177</v>
      </c>
      <c r="C1181">
        <v>2177</v>
      </c>
      <c r="D1181" s="1" t="s">
        <v>1328</v>
      </c>
      <c r="G1181" t="s">
        <v>24</v>
      </c>
      <c r="I1181">
        <v>2645</v>
      </c>
      <c r="J1181">
        <v>3000</v>
      </c>
      <c r="K1181">
        <v>355</v>
      </c>
      <c r="L1181">
        <v>0.13420000000000001</v>
      </c>
      <c r="M1181" t="s">
        <v>3374</v>
      </c>
      <c r="N1181">
        <v>1181</v>
      </c>
    </row>
    <row r="1182" spans="1:14" x14ac:dyDescent="0.25">
      <c r="A1182" t="s">
        <v>2950</v>
      </c>
      <c r="B1182">
        <v>1178</v>
      </c>
      <c r="C1182">
        <v>2178</v>
      </c>
      <c r="D1182" s="1" t="s">
        <v>1329</v>
      </c>
      <c r="G1182" t="s">
        <v>24</v>
      </c>
      <c r="I1182">
        <v>680</v>
      </c>
      <c r="J1182">
        <v>780</v>
      </c>
      <c r="K1182">
        <v>100</v>
      </c>
      <c r="L1182">
        <v>0.14710000000000001</v>
      </c>
      <c r="M1182" t="s">
        <v>3374</v>
      </c>
      <c r="N1182">
        <v>1182</v>
      </c>
    </row>
    <row r="1183" spans="1:14" x14ac:dyDescent="0.25">
      <c r="A1183" t="s">
        <v>2951</v>
      </c>
      <c r="B1183">
        <v>1179</v>
      </c>
      <c r="C1183">
        <v>2179</v>
      </c>
      <c r="D1183" s="1" t="s">
        <v>1330</v>
      </c>
      <c r="G1183" t="s">
        <v>24</v>
      </c>
      <c r="I1183">
        <v>27</v>
      </c>
      <c r="J1183">
        <v>60</v>
      </c>
      <c r="K1183">
        <v>33</v>
      </c>
      <c r="L1183">
        <v>1.2222</v>
      </c>
      <c r="M1183" t="s">
        <v>3374</v>
      </c>
      <c r="N1183">
        <v>1183</v>
      </c>
    </row>
    <row r="1184" spans="1:14" x14ac:dyDescent="0.25">
      <c r="A1184" t="s">
        <v>2952</v>
      </c>
      <c r="B1184">
        <v>1180</v>
      </c>
      <c r="C1184">
        <v>2180</v>
      </c>
      <c r="D1184" s="1" t="s">
        <v>1331</v>
      </c>
      <c r="G1184" t="s">
        <v>24</v>
      </c>
      <c r="I1184">
        <v>24</v>
      </c>
      <c r="J1184">
        <v>50</v>
      </c>
      <c r="K1184">
        <v>26</v>
      </c>
      <c r="L1184">
        <v>1.0832999999999999</v>
      </c>
      <c r="M1184" t="s">
        <v>3374</v>
      </c>
      <c r="N1184">
        <v>1184</v>
      </c>
    </row>
    <row r="1185" spans="1:14" x14ac:dyDescent="0.25">
      <c r="A1185" t="s">
        <v>2953</v>
      </c>
      <c r="B1185">
        <v>1181</v>
      </c>
      <c r="C1185">
        <v>2181</v>
      </c>
      <c r="D1185" s="1" t="s">
        <v>1332</v>
      </c>
      <c r="E1185" t="s">
        <v>1333</v>
      </c>
      <c r="G1185" t="s">
        <v>24</v>
      </c>
      <c r="I1185">
        <v>1140</v>
      </c>
      <c r="J1185">
        <v>1490</v>
      </c>
      <c r="K1185">
        <v>350</v>
      </c>
      <c r="L1185">
        <v>0.307</v>
      </c>
      <c r="M1185" t="s">
        <v>3374</v>
      </c>
      <c r="N1185">
        <v>1185</v>
      </c>
    </row>
    <row r="1186" spans="1:14" x14ac:dyDescent="0.25">
      <c r="A1186" t="s">
        <v>2954</v>
      </c>
      <c r="B1186">
        <v>1182</v>
      </c>
      <c r="C1186">
        <v>2182</v>
      </c>
      <c r="D1186" s="1" t="s">
        <v>1334</v>
      </c>
      <c r="E1186" t="s">
        <v>1335</v>
      </c>
      <c r="G1186" t="s">
        <v>24</v>
      </c>
      <c r="I1186">
        <v>40</v>
      </c>
      <c r="J1186">
        <v>65</v>
      </c>
      <c r="K1186">
        <v>25</v>
      </c>
      <c r="L1186">
        <v>0.625</v>
      </c>
      <c r="M1186" t="s">
        <v>3374</v>
      </c>
      <c r="N1186">
        <v>1186</v>
      </c>
    </row>
    <row r="1187" spans="1:14" x14ac:dyDescent="0.25">
      <c r="A1187" t="s">
        <v>2955</v>
      </c>
      <c r="B1187">
        <v>1183</v>
      </c>
      <c r="C1187">
        <v>2183</v>
      </c>
      <c r="D1187" s="1" t="s">
        <v>1336</v>
      </c>
      <c r="E1187" t="s">
        <v>1337</v>
      </c>
      <c r="G1187" t="s">
        <v>24</v>
      </c>
      <c r="I1187">
        <v>803</v>
      </c>
      <c r="J1187">
        <v>1065</v>
      </c>
      <c r="K1187">
        <v>262</v>
      </c>
      <c r="L1187">
        <v>0.32629999999999998</v>
      </c>
      <c r="M1187" t="s">
        <v>3374</v>
      </c>
      <c r="N1187">
        <v>1187</v>
      </c>
    </row>
    <row r="1188" spans="1:14" x14ac:dyDescent="0.25">
      <c r="A1188" t="s">
        <v>2956</v>
      </c>
      <c r="B1188">
        <v>1184</v>
      </c>
      <c r="C1188">
        <v>2184</v>
      </c>
      <c r="D1188" s="1" t="s">
        <v>1338</v>
      </c>
      <c r="E1188" t="s">
        <v>1339</v>
      </c>
      <c r="G1188" t="s">
        <v>24</v>
      </c>
      <c r="I1188">
        <v>590</v>
      </c>
      <c r="J1188">
        <v>790</v>
      </c>
      <c r="K1188">
        <v>200</v>
      </c>
      <c r="L1188">
        <v>0.33900000000000002</v>
      </c>
      <c r="M1188" t="s">
        <v>3374</v>
      </c>
      <c r="N1188">
        <v>1188</v>
      </c>
    </row>
    <row r="1189" spans="1:14" x14ac:dyDescent="0.25">
      <c r="A1189" t="s">
        <v>2957</v>
      </c>
      <c r="B1189">
        <v>1185</v>
      </c>
      <c r="C1189">
        <v>2185</v>
      </c>
      <c r="D1189" s="1" t="s">
        <v>1340</v>
      </c>
      <c r="E1189" t="s">
        <v>1341</v>
      </c>
      <c r="G1189" t="s">
        <v>24</v>
      </c>
      <c r="I1189">
        <v>372</v>
      </c>
      <c r="J1189">
        <v>475</v>
      </c>
      <c r="K1189">
        <v>103</v>
      </c>
      <c r="L1189">
        <v>0.27689999999999998</v>
      </c>
      <c r="M1189" t="s">
        <v>3374</v>
      </c>
      <c r="N1189">
        <v>1189</v>
      </c>
    </row>
    <row r="1190" spans="1:14" x14ac:dyDescent="0.25">
      <c r="A1190" t="s">
        <v>2958</v>
      </c>
      <c r="B1190">
        <v>1186</v>
      </c>
      <c r="C1190">
        <v>2186</v>
      </c>
      <c r="D1190" s="1" t="s">
        <v>1342</v>
      </c>
      <c r="G1190" t="s">
        <v>24</v>
      </c>
      <c r="I1190">
        <v>65</v>
      </c>
      <c r="J1190">
        <v>95</v>
      </c>
      <c r="K1190">
        <v>30</v>
      </c>
      <c r="L1190">
        <v>0.46150000000000002</v>
      </c>
      <c r="M1190" t="s">
        <v>3374</v>
      </c>
      <c r="N1190">
        <v>1190</v>
      </c>
    </row>
    <row r="1191" spans="1:14" x14ac:dyDescent="0.25">
      <c r="A1191" t="s">
        <v>2959</v>
      </c>
      <c r="B1191">
        <v>1187</v>
      </c>
      <c r="C1191">
        <v>2187</v>
      </c>
      <c r="D1191" s="1" t="s">
        <v>1343</v>
      </c>
      <c r="E1191" t="s">
        <v>247</v>
      </c>
      <c r="G1191" t="s">
        <v>24</v>
      </c>
      <c r="I1191">
        <v>112</v>
      </c>
      <c r="J1191">
        <v>170</v>
      </c>
      <c r="K1191">
        <v>58</v>
      </c>
      <c r="L1191">
        <v>0.51790000000000003</v>
      </c>
      <c r="M1191" t="s">
        <v>3374</v>
      </c>
      <c r="N1191">
        <v>1191</v>
      </c>
    </row>
    <row r="1192" spans="1:14" x14ac:dyDescent="0.25">
      <c r="A1192" t="s">
        <v>2960</v>
      </c>
      <c r="B1192">
        <v>1188</v>
      </c>
      <c r="C1192">
        <v>2188</v>
      </c>
      <c r="D1192" s="1" t="s">
        <v>1344</v>
      </c>
      <c r="E1192" t="s">
        <v>1345</v>
      </c>
      <c r="G1192" t="s">
        <v>24</v>
      </c>
      <c r="I1192">
        <v>380</v>
      </c>
      <c r="J1192">
        <v>585</v>
      </c>
      <c r="K1192">
        <v>205</v>
      </c>
      <c r="L1192">
        <v>0.53949999999999998</v>
      </c>
      <c r="M1192" t="s">
        <v>3374</v>
      </c>
      <c r="N1192">
        <v>1192</v>
      </c>
    </row>
    <row r="1193" spans="1:14" x14ac:dyDescent="0.25">
      <c r="A1193" t="s">
        <v>2961</v>
      </c>
      <c r="B1193">
        <v>1189</v>
      </c>
      <c r="C1193">
        <v>2189</v>
      </c>
      <c r="D1193" s="1" t="s">
        <v>1346</v>
      </c>
      <c r="E1193" t="s">
        <v>1347</v>
      </c>
      <c r="G1193" t="s">
        <v>24</v>
      </c>
      <c r="I1193">
        <v>14</v>
      </c>
      <c r="J1193">
        <v>22</v>
      </c>
      <c r="K1193">
        <v>8</v>
      </c>
      <c r="L1193">
        <v>0.57140000000000002</v>
      </c>
      <c r="M1193" t="s">
        <v>3374</v>
      </c>
      <c r="N1193">
        <v>1193</v>
      </c>
    </row>
    <row r="1194" spans="1:14" x14ac:dyDescent="0.25">
      <c r="A1194" t="s">
        <v>2962</v>
      </c>
      <c r="B1194">
        <v>1190</v>
      </c>
      <c r="C1194">
        <v>2190</v>
      </c>
      <c r="D1194" s="1" t="s">
        <v>1348</v>
      </c>
      <c r="E1194" t="s">
        <v>90</v>
      </c>
      <c r="G1194" t="s">
        <v>24</v>
      </c>
      <c r="I1194">
        <v>730</v>
      </c>
      <c r="J1194">
        <v>885</v>
      </c>
      <c r="K1194">
        <v>155</v>
      </c>
      <c r="L1194">
        <v>0.21229999999999999</v>
      </c>
      <c r="M1194" t="s">
        <v>3374</v>
      </c>
      <c r="N1194">
        <v>1194</v>
      </c>
    </row>
    <row r="1195" spans="1:14" x14ac:dyDescent="0.25">
      <c r="A1195" t="s">
        <v>2963</v>
      </c>
      <c r="B1195">
        <v>1191</v>
      </c>
      <c r="C1195">
        <v>2191</v>
      </c>
      <c r="D1195" s="1" t="s">
        <v>1349</v>
      </c>
      <c r="E1195" t="s">
        <v>1258</v>
      </c>
      <c r="G1195" t="s">
        <v>24</v>
      </c>
      <c r="I1195">
        <v>57.33</v>
      </c>
      <c r="J1195">
        <v>75</v>
      </c>
      <c r="K1195">
        <v>17.670000000000002</v>
      </c>
      <c r="L1195">
        <v>0.30819999999999997</v>
      </c>
      <c r="M1195" t="s">
        <v>3374</v>
      </c>
      <c r="N1195">
        <v>1195</v>
      </c>
    </row>
    <row r="1196" spans="1:14" x14ac:dyDescent="0.25">
      <c r="A1196" t="s">
        <v>2964</v>
      </c>
      <c r="B1196">
        <v>1192</v>
      </c>
      <c r="C1196">
        <v>2192</v>
      </c>
      <c r="D1196" s="1" t="s">
        <v>1350</v>
      </c>
      <c r="G1196" t="s">
        <v>24</v>
      </c>
      <c r="I1196">
        <v>225</v>
      </c>
      <c r="J1196">
        <v>365</v>
      </c>
      <c r="K1196">
        <v>140</v>
      </c>
      <c r="L1196">
        <v>0.62219999999999998</v>
      </c>
      <c r="M1196" t="s">
        <v>3374</v>
      </c>
      <c r="N1196">
        <v>1196</v>
      </c>
    </row>
    <row r="1197" spans="1:14" x14ac:dyDescent="0.25">
      <c r="A1197" t="s">
        <v>2965</v>
      </c>
      <c r="B1197">
        <v>1193</v>
      </c>
      <c r="C1197">
        <v>2193</v>
      </c>
      <c r="D1197" s="1" t="s">
        <v>1351</v>
      </c>
      <c r="E1197" t="s">
        <v>504</v>
      </c>
      <c r="G1197" t="s">
        <v>176</v>
      </c>
      <c r="I1197">
        <v>300</v>
      </c>
      <c r="J1197">
        <v>600</v>
      </c>
      <c r="K1197">
        <v>300</v>
      </c>
      <c r="L1197">
        <v>1</v>
      </c>
      <c r="M1197" t="s">
        <v>3374</v>
      </c>
      <c r="N1197">
        <v>1197</v>
      </c>
    </row>
    <row r="1198" spans="1:14" x14ac:dyDescent="0.25">
      <c r="A1198" t="s">
        <v>2966</v>
      </c>
      <c r="B1198">
        <v>1194</v>
      </c>
      <c r="C1198">
        <v>2194</v>
      </c>
      <c r="D1198" s="1" t="s">
        <v>1352</v>
      </c>
      <c r="E1198" t="s">
        <v>1353</v>
      </c>
      <c r="G1198" t="s">
        <v>24</v>
      </c>
      <c r="I1198">
        <v>235</v>
      </c>
      <c r="J1198">
        <v>350</v>
      </c>
      <c r="K1198">
        <v>115</v>
      </c>
      <c r="L1198">
        <v>0.4894</v>
      </c>
      <c r="M1198" t="s">
        <v>3374</v>
      </c>
      <c r="N1198">
        <v>1198</v>
      </c>
    </row>
    <row r="1199" spans="1:14" x14ac:dyDescent="0.25">
      <c r="A1199" t="s">
        <v>2967</v>
      </c>
      <c r="B1199">
        <v>1195</v>
      </c>
      <c r="C1199">
        <v>2195</v>
      </c>
      <c r="D1199" s="1" t="s">
        <v>1354</v>
      </c>
      <c r="E1199" t="s">
        <v>1355</v>
      </c>
      <c r="G1199" t="s">
        <v>24</v>
      </c>
      <c r="I1199">
        <v>484</v>
      </c>
      <c r="J1199">
        <v>625</v>
      </c>
      <c r="K1199">
        <v>141</v>
      </c>
      <c r="L1199">
        <v>0.2913</v>
      </c>
      <c r="M1199" t="s">
        <v>3374</v>
      </c>
      <c r="N1199">
        <v>1199</v>
      </c>
    </row>
    <row r="1200" spans="1:14" x14ac:dyDescent="0.25">
      <c r="A1200" t="s">
        <v>2968</v>
      </c>
      <c r="B1200">
        <v>1196</v>
      </c>
      <c r="C1200">
        <v>2196</v>
      </c>
      <c r="D1200" s="1" t="s">
        <v>1356</v>
      </c>
      <c r="G1200" t="s">
        <v>24</v>
      </c>
      <c r="I1200">
        <v>1550</v>
      </c>
      <c r="J1200">
        <v>1700</v>
      </c>
      <c r="K1200">
        <v>150</v>
      </c>
      <c r="L1200">
        <v>9.6799999999999997E-2</v>
      </c>
      <c r="M1200" t="s">
        <v>3374</v>
      </c>
      <c r="N1200">
        <v>1200</v>
      </c>
    </row>
    <row r="1201" spans="1:14" x14ac:dyDescent="0.25">
      <c r="A1201" t="s">
        <v>2969</v>
      </c>
      <c r="B1201">
        <v>1197</v>
      </c>
      <c r="C1201">
        <v>2197</v>
      </c>
      <c r="D1201" s="1" t="s">
        <v>1357</v>
      </c>
      <c r="E1201" t="s">
        <v>1358</v>
      </c>
      <c r="G1201" t="s">
        <v>994</v>
      </c>
      <c r="I1201">
        <v>217</v>
      </c>
      <c r="J1201">
        <v>240</v>
      </c>
      <c r="K1201">
        <v>23</v>
      </c>
      <c r="L1201">
        <v>0.106</v>
      </c>
      <c r="M1201" t="s">
        <v>3374</v>
      </c>
      <c r="N1201">
        <v>1201</v>
      </c>
    </row>
    <row r="1202" spans="1:14" x14ac:dyDescent="0.25">
      <c r="A1202" t="s">
        <v>2970</v>
      </c>
      <c r="B1202">
        <v>1198</v>
      </c>
      <c r="C1202">
        <v>2198</v>
      </c>
      <c r="D1202" s="1" t="s">
        <v>1359</v>
      </c>
      <c r="G1202" t="s">
        <v>24</v>
      </c>
      <c r="I1202">
        <v>67.599999999999994</v>
      </c>
      <c r="J1202">
        <v>100</v>
      </c>
      <c r="K1202">
        <v>32.4</v>
      </c>
      <c r="L1202">
        <v>0.4793</v>
      </c>
      <c r="M1202" t="s">
        <v>3374</v>
      </c>
      <c r="N1202">
        <v>1202</v>
      </c>
    </row>
    <row r="1203" spans="1:14" x14ac:dyDescent="0.25">
      <c r="A1203" t="s">
        <v>2971</v>
      </c>
      <c r="B1203">
        <v>1199</v>
      </c>
      <c r="C1203">
        <v>2199</v>
      </c>
      <c r="D1203" s="1" t="s">
        <v>1360</v>
      </c>
      <c r="G1203" t="s">
        <v>24</v>
      </c>
      <c r="I1203">
        <v>41.3</v>
      </c>
      <c r="J1203">
        <v>90</v>
      </c>
      <c r="K1203">
        <v>48.7</v>
      </c>
      <c r="L1203">
        <v>1.1792</v>
      </c>
      <c r="M1203" t="s">
        <v>3374</v>
      </c>
      <c r="N1203">
        <v>1203</v>
      </c>
    </row>
    <row r="1204" spans="1:14" x14ac:dyDescent="0.25">
      <c r="A1204" t="s">
        <v>2972</v>
      </c>
      <c r="B1204">
        <v>1200</v>
      </c>
      <c r="C1204">
        <v>2200</v>
      </c>
      <c r="D1204" s="1" t="s">
        <v>1361</v>
      </c>
      <c r="E1204" t="s">
        <v>1362</v>
      </c>
      <c r="G1204" t="s">
        <v>24</v>
      </c>
      <c r="I1204">
        <v>64.349999999999994</v>
      </c>
      <c r="J1204">
        <v>90</v>
      </c>
      <c r="K1204">
        <v>25.65</v>
      </c>
      <c r="L1204">
        <v>0.39860000000000001</v>
      </c>
      <c r="M1204" t="s">
        <v>3374</v>
      </c>
      <c r="N1204">
        <v>1204</v>
      </c>
    </row>
    <row r="1205" spans="1:14" x14ac:dyDescent="0.25">
      <c r="A1205" t="s">
        <v>2973</v>
      </c>
      <c r="B1205">
        <v>1201</v>
      </c>
      <c r="C1205">
        <v>2201</v>
      </c>
      <c r="D1205" s="1" t="s">
        <v>1363</v>
      </c>
      <c r="E1205" t="s">
        <v>1362</v>
      </c>
      <c r="G1205" t="s">
        <v>24</v>
      </c>
      <c r="I1205">
        <v>99.3</v>
      </c>
      <c r="J1205">
        <v>130</v>
      </c>
      <c r="K1205">
        <v>30.7</v>
      </c>
      <c r="L1205">
        <v>0.30919999999999997</v>
      </c>
      <c r="M1205" t="s">
        <v>3374</v>
      </c>
      <c r="N1205">
        <v>1205</v>
      </c>
    </row>
    <row r="1206" spans="1:14" x14ac:dyDescent="0.25">
      <c r="A1206" t="s">
        <v>2974</v>
      </c>
      <c r="B1206">
        <v>1202</v>
      </c>
      <c r="C1206">
        <v>2202</v>
      </c>
      <c r="D1206" s="1" t="s">
        <v>1364</v>
      </c>
      <c r="E1206" t="s">
        <v>1365</v>
      </c>
      <c r="G1206" t="s">
        <v>24</v>
      </c>
      <c r="I1206">
        <v>50.7</v>
      </c>
      <c r="J1206">
        <v>80</v>
      </c>
      <c r="K1206">
        <v>29.3</v>
      </c>
      <c r="L1206">
        <v>0.57789999999999997</v>
      </c>
      <c r="M1206" t="s">
        <v>3374</v>
      </c>
      <c r="N1206">
        <v>1206</v>
      </c>
    </row>
    <row r="1207" spans="1:14" x14ac:dyDescent="0.25">
      <c r="A1207" t="s">
        <v>2975</v>
      </c>
      <c r="B1207">
        <v>1203</v>
      </c>
      <c r="C1207">
        <v>2203</v>
      </c>
      <c r="D1207" s="1" t="s">
        <v>1366</v>
      </c>
      <c r="E1207" t="s">
        <v>1365</v>
      </c>
      <c r="G1207" t="s">
        <v>24</v>
      </c>
      <c r="I1207">
        <v>72.25</v>
      </c>
      <c r="J1207">
        <v>110</v>
      </c>
      <c r="K1207">
        <v>37.75</v>
      </c>
      <c r="L1207">
        <v>0.52249999999999996</v>
      </c>
      <c r="M1207" t="s">
        <v>3374</v>
      </c>
      <c r="N1207">
        <v>1207</v>
      </c>
    </row>
    <row r="1208" spans="1:14" x14ac:dyDescent="0.25">
      <c r="A1208" t="s">
        <v>2976</v>
      </c>
      <c r="B1208">
        <v>1204</v>
      </c>
      <c r="C1208">
        <v>2204</v>
      </c>
      <c r="D1208" s="1" t="s">
        <v>1367</v>
      </c>
      <c r="E1208" t="s">
        <v>1358</v>
      </c>
      <c r="G1208" t="s">
        <v>994</v>
      </c>
      <c r="I1208">
        <v>230</v>
      </c>
      <c r="J1208">
        <v>250</v>
      </c>
      <c r="K1208">
        <v>20</v>
      </c>
      <c r="L1208">
        <v>8.6999999999999994E-2</v>
      </c>
      <c r="M1208" t="s">
        <v>3374</v>
      </c>
      <c r="N1208">
        <v>1208</v>
      </c>
    </row>
    <row r="1209" spans="1:14" x14ac:dyDescent="0.25">
      <c r="A1209" t="s">
        <v>2977</v>
      </c>
      <c r="B1209">
        <v>1205</v>
      </c>
      <c r="C1209">
        <v>2205</v>
      </c>
      <c r="D1209" s="1" t="s">
        <v>1368</v>
      </c>
      <c r="E1209" t="s">
        <v>711</v>
      </c>
      <c r="F1209" t="s">
        <v>1369</v>
      </c>
      <c r="G1209" t="s">
        <v>994</v>
      </c>
      <c r="I1209">
        <v>232</v>
      </c>
      <c r="J1209">
        <v>250</v>
      </c>
      <c r="K1209">
        <v>18</v>
      </c>
      <c r="L1209">
        <v>7.7600000000000002E-2</v>
      </c>
      <c r="M1209" t="s">
        <v>3374</v>
      </c>
      <c r="N1209">
        <v>1209</v>
      </c>
    </row>
    <row r="1210" spans="1:14" x14ac:dyDescent="0.25">
      <c r="A1210" t="s">
        <v>2978</v>
      </c>
      <c r="B1210">
        <v>1206</v>
      </c>
      <c r="C1210">
        <v>2206</v>
      </c>
      <c r="D1210" s="1" t="s">
        <v>1370</v>
      </c>
      <c r="E1210" t="s">
        <v>1371</v>
      </c>
      <c r="G1210" t="s">
        <v>24</v>
      </c>
      <c r="I1210">
        <v>950</v>
      </c>
      <c r="J1210">
        <v>1185</v>
      </c>
      <c r="K1210">
        <v>235</v>
      </c>
      <c r="L1210">
        <v>0.24740000000000001</v>
      </c>
      <c r="M1210" t="s">
        <v>3374</v>
      </c>
      <c r="N1210">
        <v>1210</v>
      </c>
    </row>
    <row r="1211" spans="1:14" x14ac:dyDescent="0.25">
      <c r="A1211" t="s">
        <v>2979</v>
      </c>
      <c r="B1211">
        <v>1207</v>
      </c>
      <c r="C1211">
        <v>2207</v>
      </c>
      <c r="D1211" s="1" t="s">
        <v>1372</v>
      </c>
      <c r="E1211" t="s">
        <v>1371</v>
      </c>
      <c r="G1211" t="s">
        <v>24</v>
      </c>
      <c r="I1211">
        <v>786</v>
      </c>
      <c r="J1211">
        <v>995</v>
      </c>
      <c r="K1211">
        <v>209</v>
      </c>
      <c r="L1211">
        <v>0.26590000000000003</v>
      </c>
      <c r="M1211" t="s">
        <v>3374</v>
      </c>
      <c r="N1211">
        <v>1211</v>
      </c>
    </row>
    <row r="1212" spans="1:14" x14ac:dyDescent="0.25">
      <c r="A1212" t="s">
        <v>2980</v>
      </c>
      <c r="B1212">
        <v>1208</v>
      </c>
      <c r="C1212">
        <v>2208</v>
      </c>
      <c r="D1212" s="1" t="s">
        <v>1373</v>
      </c>
      <c r="G1212" t="s">
        <v>24</v>
      </c>
      <c r="I1212">
        <v>280</v>
      </c>
      <c r="J1212">
        <v>345</v>
      </c>
      <c r="K1212">
        <v>65</v>
      </c>
      <c r="L1212">
        <v>0.2321</v>
      </c>
      <c r="M1212" t="s">
        <v>3374</v>
      </c>
      <c r="N1212">
        <v>1212</v>
      </c>
    </row>
    <row r="1213" spans="1:14" x14ac:dyDescent="0.25">
      <c r="A1213" t="s">
        <v>2981</v>
      </c>
      <c r="B1213">
        <v>1209</v>
      </c>
      <c r="C1213">
        <v>2209</v>
      </c>
      <c r="D1213" s="1" t="s">
        <v>1374</v>
      </c>
      <c r="G1213" t="s">
        <v>24</v>
      </c>
      <c r="I1213">
        <v>120</v>
      </c>
      <c r="J1213">
        <v>165</v>
      </c>
      <c r="K1213">
        <v>45</v>
      </c>
      <c r="L1213">
        <v>0.375</v>
      </c>
      <c r="M1213" t="s">
        <v>3374</v>
      </c>
      <c r="N1213">
        <v>1213</v>
      </c>
    </row>
    <row r="1214" spans="1:14" x14ac:dyDescent="0.25">
      <c r="A1214" t="s">
        <v>2982</v>
      </c>
      <c r="B1214">
        <v>1210</v>
      </c>
      <c r="C1214">
        <v>2210</v>
      </c>
      <c r="D1214" s="1" t="s">
        <v>1375</v>
      </c>
      <c r="G1214" t="s">
        <v>24</v>
      </c>
      <c r="I1214">
        <v>163</v>
      </c>
      <c r="J1214">
        <v>183</v>
      </c>
      <c r="K1214">
        <v>20</v>
      </c>
      <c r="L1214">
        <v>0.1227</v>
      </c>
      <c r="M1214" t="s">
        <v>3374</v>
      </c>
      <c r="N1214">
        <v>1214</v>
      </c>
    </row>
    <row r="1215" spans="1:14" x14ac:dyDescent="0.25">
      <c r="A1215" t="s">
        <v>2983</v>
      </c>
      <c r="B1215">
        <v>1211</v>
      </c>
      <c r="C1215">
        <v>2211</v>
      </c>
      <c r="D1215" s="1" t="s">
        <v>1376</v>
      </c>
      <c r="G1215" t="s">
        <v>24</v>
      </c>
      <c r="I1215">
        <v>1595</v>
      </c>
      <c r="J1215">
        <v>1720</v>
      </c>
      <c r="K1215">
        <v>125</v>
      </c>
      <c r="L1215">
        <v>7.8399999999999997E-2</v>
      </c>
      <c r="M1215" t="s">
        <v>3374</v>
      </c>
      <c r="N1215">
        <v>1215</v>
      </c>
    </row>
    <row r="1216" spans="1:14" x14ac:dyDescent="0.25">
      <c r="A1216" t="s">
        <v>2984</v>
      </c>
      <c r="B1216">
        <v>1212</v>
      </c>
      <c r="C1216">
        <v>2212</v>
      </c>
      <c r="D1216" s="1" t="s">
        <v>1377</v>
      </c>
      <c r="G1216" t="s">
        <v>24</v>
      </c>
      <c r="I1216">
        <v>350</v>
      </c>
      <c r="J1216">
        <v>450</v>
      </c>
      <c r="K1216">
        <v>100</v>
      </c>
      <c r="L1216">
        <v>0.28570000000000001</v>
      </c>
      <c r="M1216" t="s">
        <v>3374</v>
      </c>
      <c r="N1216">
        <v>1216</v>
      </c>
    </row>
    <row r="1217" spans="1:14" x14ac:dyDescent="0.25">
      <c r="A1217" t="s">
        <v>2985</v>
      </c>
      <c r="B1217">
        <v>1213</v>
      </c>
      <c r="C1217">
        <v>2213</v>
      </c>
      <c r="D1217" s="1" t="s">
        <v>1378</v>
      </c>
      <c r="E1217" t="s">
        <v>114</v>
      </c>
      <c r="F1217" t="s">
        <v>937</v>
      </c>
      <c r="G1217" t="s">
        <v>24</v>
      </c>
      <c r="I1217">
        <v>950</v>
      </c>
      <c r="J1217">
        <v>1215</v>
      </c>
      <c r="K1217">
        <v>265</v>
      </c>
      <c r="L1217">
        <v>0.27889999999999998</v>
      </c>
      <c r="M1217" t="s">
        <v>3374</v>
      </c>
      <c r="N1217">
        <v>1217</v>
      </c>
    </row>
    <row r="1218" spans="1:14" x14ac:dyDescent="0.25">
      <c r="A1218" t="s">
        <v>2986</v>
      </c>
      <c r="B1218">
        <v>1214</v>
      </c>
      <c r="C1218">
        <v>2214</v>
      </c>
      <c r="D1218" s="1" t="s">
        <v>1379</v>
      </c>
      <c r="G1218" t="s">
        <v>55</v>
      </c>
      <c r="I1218">
        <v>9.1999999999999993</v>
      </c>
      <c r="J1218">
        <v>20</v>
      </c>
      <c r="K1218">
        <v>10.8</v>
      </c>
      <c r="L1218">
        <v>1.1738999999999999</v>
      </c>
      <c r="M1218" t="s">
        <v>3374</v>
      </c>
      <c r="N1218">
        <v>1218</v>
      </c>
    </row>
    <row r="1219" spans="1:14" x14ac:dyDescent="0.25">
      <c r="A1219" t="s">
        <v>2987</v>
      </c>
      <c r="B1219">
        <v>1215</v>
      </c>
      <c r="C1219">
        <v>2215</v>
      </c>
      <c r="D1219" s="1" t="s">
        <v>1380</v>
      </c>
      <c r="G1219" t="s">
        <v>24</v>
      </c>
      <c r="I1219">
        <v>318</v>
      </c>
      <c r="J1219">
        <v>425</v>
      </c>
      <c r="K1219">
        <v>107</v>
      </c>
      <c r="L1219">
        <v>0.33650000000000002</v>
      </c>
      <c r="M1219" t="s">
        <v>3374</v>
      </c>
      <c r="N1219">
        <v>1219</v>
      </c>
    </row>
    <row r="1220" spans="1:14" x14ac:dyDescent="0.25">
      <c r="A1220" t="s">
        <v>2988</v>
      </c>
      <c r="B1220">
        <v>1216</v>
      </c>
      <c r="C1220">
        <v>2216</v>
      </c>
      <c r="D1220" s="1" t="s">
        <v>1381</v>
      </c>
      <c r="G1220" t="s">
        <v>24</v>
      </c>
      <c r="I1220">
        <v>265</v>
      </c>
      <c r="J1220">
        <v>385</v>
      </c>
      <c r="K1220">
        <v>120</v>
      </c>
      <c r="L1220">
        <v>0.45279999999999998</v>
      </c>
      <c r="M1220" t="s">
        <v>3374</v>
      </c>
      <c r="N1220">
        <v>1220</v>
      </c>
    </row>
    <row r="1221" spans="1:14" x14ac:dyDescent="0.25">
      <c r="A1221" t="s">
        <v>2989</v>
      </c>
      <c r="B1221">
        <v>1217</v>
      </c>
      <c r="C1221">
        <v>2217</v>
      </c>
      <c r="D1221" s="1" t="s">
        <v>1382</v>
      </c>
      <c r="G1221" t="s">
        <v>24</v>
      </c>
      <c r="I1221">
        <v>280</v>
      </c>
      <c r="J1221">
        <v>560</v>
      </c>
      <c r="K1221">
        <v>280</v>
      </c>
      <c r="L1221">
        <v>1</v>
      </c>
      <c r="M1221" t="s">
        <v>3374</v>
      </c>
      <c r="N1221">
        <v>1221</v>
      </c>
    </row>
    <row r="1222" spans="1:14" x14ac:dyDescent="0.25">
      <c r="A1222" t="s">
        <v>2990</v>
      </c>
      <c r="B1222">
        <v>1218</v>
      </c>
      <c r="C1222">
        <v>2218</v>
      </c>
      <c r="D1222" s="1" t="s">
        <v>1383</v>
      </c>
      <c r="G1222" t="s">
        <v>24</v>
      </c>
      <c r="I1222">
        <v>20</v>
      </c>
      <c r="J1222">
        <v>75</v>
      </c>
      <c r="K1222">
        <v>55</v>
      </c>
      <c r="L1222">
        <v>2.75</v>
      </c>
      <c r="M1222" t="s">
        <v>3374</v>
      </c>
      <c r="N1222">
        <v>1222</v>
      </c>
    </row>
    <row r="1223" spans="1:14" x14ac:dyDescent="0.25">
      <c r="A1223" t="s">
        <v>2991</v>
      </c>
      <c r="B1223">
        <v>1219</v>
      </c>
      <c r="C1223">
        <v>2219</v>
      </c>
      <c r="D1223" s="1" t="s">
        <v>1384</v>
      </c>
      <c r="G1223" t="s">
        <v>24</v>
      </c>
      <c r="I1223">
        <v>1350</v>
      </c>
      <c r="J1223">
        <v>1685</v>
      </c>
      <c r="K1223">
        <v>335</v>
      </c>
      <c r="L1223">
        <v>0.24809999999999999</v>
      </c>
      <c r="M1223" t="s">
        <v>3374</v>
      </c>
      <c r="N1223">
        <v>1223</v>
      </c>
    </row>
    <row r="1224" spans="1:14" x14ac:dyDescent="0.25">
      <c r="A1224" t="s">
        <v>2992</v>
      </c>
      <c r="B1224">
        <v>1220</v>
      </c>
      <c r="C1224">
        <v>2220</v>
      </c>
      <c r="D1224" s="1" t="s">
        <v>1385</v>
      </c>
      <c r="E1224" t="s">
        <v>1386</v>
      </c>
      <c r="G1224" t="s">
        <v>24</v>
      </c>
      <c r="I1224">
        <v>330</v>
      </c>
      <c r="J1224">
        <v>385</v>
      </c>
      <c r="K1224">
        <v>55</v>
      </c>
      <c r="L1224">
        <v>0.16669999999999999</v>
      </c>
      <c r="M1224" t="s">
        <v>3374</v>
      </c>
      <c r="N1224">
        <v>1224</v>
      </c>
    </row>
    <row r="1225" spans="1:14" x14ac:dyDescent="0.25">
      <c r="A1225" t="s">
        <v>2993</v>
      </c>
      <c r="B1225">
        <v>1221</v>
      </c>
      <c r="C1225">
        <v>2221</v>
      </c>
      <c r="D1225" s="1" t="s">
        <v>1387</v>
      </c>
      <c r="G1225" t="s">
        <v>24</v>
      </c>
      <c r="I1225">
        <v>220</v>
      </c>
      <c r="J1225">
        <v>275</v>
      </c>
      <c r="K1225">
        <v>55</v>
      </c>
      <c r="L1225">
        <v>0.25</v>
      </c>
      <c r="M1225" t="s">
        <v>3374</v>
      </c>
      <c r="N1225">
        <v>1225</v>
      </c>
    </row>
    <row r="1226" spans="1:14" x14ac:dyDescent="0.25">
      <c r="A1226" t="s">
        <v>2994</v>
      </c>
      <c r="B1226">
        <v>1222</v>
      </c>
      <c r="C1226">
        <v>2222</v>
      </c>
      <c r="D1226" s="1" t="s">
        <v>1388</v>
      </c>
      <c r="G1226" t="s">
        <v>24</v>
      </c>
      <c r="I1226">
        <v>280</v>
      </c>
      <c r="J1226">
        <v>380</v>
      </c>
      <c r="K1226">
        <v>100</v>
      </c>
      <c r="L1226">
        <v>0.35709999999999997</v>
      </c>
      <c r="M1226" t="s">
        <v>3374</v>
      </c>
      <c r="N1226">
        <v>1226</v>
      </c>
    </row>
    <row r="1227" spans="1:14" x14ac:dyDescent="0.25">
      <c r="A1227" t="s">
        <v>2995</v>
      </c>
      <c r="B1227">
        <v>1223</v>
      </c>
      <c r="C1227">
        <v>2223</v>
      </c>
      <c r="D1227" s="1" t="s">
        <v>1389</v>
      </c>
      <c r="E1227" t="s">
        <v>504</v>
      </c>
      <c r="G1227" t="s">
        <v>24</v>
      </c>
      <c r="I1227">
        <v>300</v>
      </c>
      <c r="J1227">
        <v>450</v>
      </c>
      <c r="K1227">
        <v>150</v>
      </c>
      <c r="L1227">
        <v>0.5</v>
      </c>
      <c r="M1227" t="s">
        <v>3374</v>
      </c>
      <c r="N1227">
        <v>1227</v>
      </c>
    </row>
    <row r="1228" spans="1:14" x14ac:dyDescent="0.25">
      <c r="A1228" t="s">
        <v>2996</v>
      </c>
      <c r="B1228">
        <v>1224</v>
      </c>
      <c r="C1228">
        <v>2224</v>
      </c>
      <c r="D1228" s="1" t="s">
        <v>1390</v>
      </c>
      <c r="E1228" t="s">
        <v>84</v>
      </c>
      <c r="G1228" t="s">
        <v>24</v>
      </c>
      <c r="I1228">
        <v>536</v>
      </c>
      <c r="J1228">
        <v>690</v>
      </c>
      <c r="K1228">
        <v>154</v>
      </c>
      <c r="L1228">
        <v>0.2873</v>
      </c>
      <c r="M1228" t="s">
        <v>3374</v>
      </c>
      <c r="N1228">
        <v>1228</v>
      </c>
    </row>
    <row r="1229" spans="1:14" x14ac:dyDescent="0.25">
      <c r="A1229" t="s">
        <v>2997</v>
      </c>
      <c r="B1229">
        <v>1225</v>
      </c>
      <c r="C1229">
        <v>2225</v>
      </c>
      <c r="D1229" s="1" t="s">
        <v>1391</v>
      </c>
      <c r="E1229" t="s">
        <v>84</v>
      </c>
      <c r="G1229" t="s">
        <v>24</v>
      </c>
      <c r="I1229">
        <v>145</v>
      </c>
      <c r="J1229">
        <v>215</v>
      </c>
      <c r="K1229">
        <v>70</v>
      </c>
      <c r="L1229">
        <v>0.48280000000000001</v>
      </c>
      <c r="M1229" t="s">
        <v>3374</v>
      </c>
      <c r="N1229">
        <v>1229</v>
      </c>
    </row>
    <row r="1230" spans="1:14" x14ac:dyDescent="0.25">
      <c r="A1230" t="s">
        <v>2998</v>
      </c>
      <c r="B1230">
        <v>1226</v>
      </c>
      <c r="C1230">
        <v>2226</v>
      </c>
      <c r="D1230" s="1" t="s">
        <v>1392</v>
      </c>
      <c r="E1230" t="s">
        <v>544</v>
      </c>
      <c r="G1230" t="s">
        <v>1393</v>
      </c>
      <c r="I1230">
        <v>40</v>
      </c>
      <c r="J1230">
        <v>65</v>
      </c>
      <c r="K1230">
        <v>25</v>
      </c>
      <c r="L1230">
        <v>0.625</v>
      </c>
      <c r="M1230" t="s">
        <v>3374</v>
      </c>
      <c r="N1230">
        <v>1230</v>
      </c>
    </row>
    <row r="1231" spans="1:14" x14ac:dyDescent="0.25">
      <c r="A1231" t="s">
        <v>2999</v>
      </c>
      <c r="B1231">
        <v>1227</v>
      </c>
      <c r="C1231">
        <v>2227</v>
      </c>
      <c r="D1231" s="1" t="s">
        <v>1394</v>
      </c>
      <c r="E1231" t="s">
        <v>526</v>
      </c>
      <c r="G1231" t="s">
        <v>24</v>
      </c>
      <c r="I1231">
        <v>53</v>
      </c>
      <c r="J1231">
        <v>105</v>
      </c>
      <c r="K1231">
        <v>52</v>
      </c>
      <c r="L1231">
        <v>0.98109999999999997</v>
      </c>
      <c r="M1231" t="s">
        <v>3374</v>
      </c>
      <c r="N1231">
        <v>1231</v>
      </c>
    </row>
    <row r="1232" spans="1:14" x14ac:dyDescent="0.25">
      <c r="A1232" t="s">
        <v>3000</v>
      </c>
      <c r="B1232">
        <v>1228</v>
      </c>
      <c r="C1232">
        <v>2228</v>
      </c>
      <c r="D1232" s="1" t="s">
        <v>1395</v>
      </c>
      <c r="E1232" t="s">
        <v>90</v>
      </c>
      <c r="G1232" t="s">
        <v>24</v>
      </c>
      <c r="I1232">
        <v>890</v>
      </c>
      <c r="J1232">
        <v>1040</v>
      </c>
      <c r="K1232">
        <v>150</v>
      </c>
      <c r="L1232">
        <v>0.16850000000000001</v>
      </c>
      <c r="M1232" t="s">
        <v>3374</v>
      </c>
      <c r="N1232">
        <v>1232</v>
      </c>
    </row>
    <row r="1233" spans="1:14" x14ac:dyDescent="0.25">
      <c r="A1233" t="s">
        <v>3001</v>
      </c>
      <c r="B1233">
        <v>1229</v>
      </c>
      <c r="C1233">
        <v>2229</v>
      </c>
      <c r="D1233" s="1" t="s">
        <v>1396</v>
      </c>
      <c r="E1233" t="s">
        <v>1386</v>
      </c>
      <c r="G1233" t="s">
        <v>24</v>
      </c>
      <c r="I1233">
        <v>716</v>
      </c>
      <c r="J1233">
        <v>885</v>
      </c>
      <c r="K1233">
        <v>169</v>
      </c>
      <c r="L1233">
        <v>0.23599999999999999</v>
      </c>
      <c r="M1233" t="s">
        <v>3374</v>
      </c>
      <c r="N1233">
        <v>1233</v>
      </c>
    </row>
    <row r="1234" spans="1:14" x14ac:dyDescent="0.25">
      <c r="A1234" t="s">
        <v>3002</v>
      </c>
      <c r="B1234">
        <v>1230</v>
      </c>
      <c r="C1234">
        <v>2230</v>
      </c>
      <c r="D1234" s="1" t="s">
        <v>1397</v>
      </c>
      <c r="E1234" t="s">
        <v>410</v>
      </c>
      <c r="G1234" t="s">
        <v>24</v>
      </c>
      <c r="I1234">
        <v>44</v>
      </c>
      <c r="J1234">
        <v>85</v>
      </c>
      <c r="K1234">
        <v>41</v>
      </c>
      <c r="L1234">
        <v>0.93179999999999996</v>
      </c>
      <c r="M1234" t="s">
        <v>3374</v>
      </c>
      <c r="N1234">
        <v>1234</v>
      </c>
    </row>
    <row r="1235" spans="1:14" x14ac:dyDescent="0.25">
      <c r="A1235" t="s">
        <v>3003</v>
      </c>
      <c r="B1235">
        <v>1231</v>
      </c>
      <c r="C1235">
        <v>2231</v>
      </c>
      <c r="D1235" s="1" t="s">
        <v>1398</v>
      </c>
      <c r="G1235" t="s">
        <v>24</v>
      </c>
      <c r="I1235">
        <v>95</v>
      </c>
      <c r="J1235">
        <v>125</v>
      </c>
      <c r="K1235">
        <v>30</v>
      </c>
      <c r="L1235">
        <v>0.31580000000000003</v>
      </c>
      <c r="M1235" t="s">
        <v>3374</v>
      </c>
      <c r="N1235">
        <v>1235</v>
      </c>
    </row>
    <row r="1236" spans="1:14" x14ac:dyDescent="0.25">
      <c r="A1236" t="s">
        <v>3004</v>
      </c>
      <c r="B1236">
        <v>1232</v>
      </c>
      <c r="C1236">
        <v>2232</v>
      </c>
      <c r="D1236" s="1" t="s">
        <v>1399</v>
      </c>
      <c r="E1236" t="s">
        <v>1240</v>
      </c>
      <c r="G1236" t="s">
        <v>24</v>
      </c>
      <c r="I1236">
        <v>455</v>
      </c>
      <c r="J1236">
        <v>555</v>
      </c>
      <c r="K1236">
        <v>100</v>
      </c>
      <c r="L1236">
        <v>0.2198</v>
      </c>
      <c r="M1236" t="s">
        <v>3374</v>
      </c>
      <c r="N1236">
        <v>1236</v>
      </c>
    </row>
    <row r="1237" spans="1:14" x14ac:dyDescent="0.25">
      <c r="A1237" t="s">
        <v>3005</v>
      </c>
      <c r="B1237">
        <v>1233</v>
      </c>
      <c r="C1237">
        <v>2233</v>
      </c>
      <c r="D1237" s="1" t="s">
        <v>1400</v>
      </c>
      <c r="G1237" t="s">
        <v>24</v>
      </c>
      <c r="I1237">
        <v>60</v>
      </c>
      <c r="J1237">
        <v>85</v>
      </c>
      <c r="K1237">
        <v>25</v>
      </c>
      <c r="L1237">
        <v>0.41670000000000001</v>
      </c>
      <c r="M1237" t="s">
        <v>3374</v>
      </c>
      <c r="N1237">
        <v>1237</v>
      </c>
    </row>
    <row r="1238" spans="1:14" x14ac:dyDescent="0.25">
      <c r="A1238" t="s">
        <v>3006</v>
      </c>
      <c r="B1238">
        <v>1234</v>
      </c>
      <c r="C1238">
        <v>2234</v>
      </c>
      <c r="D1238" s="1" t="s">
        <v>1401</v>
      </c>
      <c r="E1238" t="s">
        <v>1402</v>
      </c>
      <c r="G1238" t="s">
        <v>24</v>
      </c>
      <c r="I1238">
        <v>942.5</v>
      </c>
      <c r="J1238">
        <v>1025</v>
      </c>
      <c r="K1238">
        <v>82.5</v>
      </c>
      <c r="L1238">
        <v>8.7499999999999994E-2</v>
      </c>
      <c r="M1238" t="s">
        <v>3374</v>
      </c>
      <c r="N1238">
        <v>1238</v>
      </c>
    </row>
    <row r="1239" spans="1:14" x14ac:dyDescent="0.25">
      <c r="A1239" t="s">
        <v>3007</v>
      </c>
      <c r="B1239">
        <v>1235</v>
      </c>
      <c r="C1239">
        <v>2235</v>
      </c>
      <c r="D1239" s="1" t="s">
        <v>1403</v>
      </c>
      <c r="E1239" t="s">
        <v>1402</v>
      </c>
      <c r="G1239" t="s">
        <v>24</v>
      </c>
      <c r="I1239">
        <v>707.55</v>
      </c>
      <c r="J1239">
        <v>795</v>
      </c>
      <c r="K1239">
        <v>87.45</v>
      </c>
      <c r="L1239">
        <v>0.1236</v>
      </c>
      <c r="M1239" t="s">
        <v>3374</v>
      </c>
      <c r="N1239">
        <v>1239</v>
      </c>
    </row>
    <row r="1240" spans="1:14" x14ac:dyDescent="0.25">
      <c r="A1240" t="s">
        <v>3008</v>
      </c>
      <c r="B1240">
        <v>1236</v>
      </c>
      <c r="C1240">
        <v>2236</v>
      </c>
      <c r="D1240" s="1" t="s">
        <v>1404</v>
      </c>
      <c r="E1240" t="s">
        <v>1402</v>
      </c>
      <c r="G1240" t="s">
        <v>24</v>
      </c>
      <c r="I1240">
        <v>330</v>
      </c>
      <c r="J1240">
        <v>395</v>
      </c>
      <c r="K1240">
        <v>65</v>
      </c>
      <c r="L1240">
        <v>0.19700000000000001</v>
      </c>
      <c r="M1240" t="s">
        <v>3374</v>
      </c>
      <c r="N1240">
        <v>1240</v>
      </c>
    </row>
    <row r="1241" spans="1:14" x14ac:dyDescent="0.25">
      <c r="A1241" t="s">
        <v>3009</v>
      </c>
      <c r="B1241">
        <v>1237</v>
      </c>
      <c r="C1241">
        <v>2237</v>
      </c>
      <c r="D1241" s="1" t="s">
        <v>1405</v>
      </c>
      <c r="E1241" t="s">
        <v>1402</v>
      </c>
      <c r="G1241" t="s">
        <v>24</v>
      </c>
      <c r="I1241">
        <v>201.35</v>
      </c>
      <c r="J1241">
        <v>245</v>
      </c>
      <c r="K1241">
        <v>43.65</v>
      </c>
      <c r="L1241">
        <v>0.21679999999999999</v>
      </c>
      <c r="M1241" t="s">
        <v>3374</v>
      </c>
      <c r="N1241">
        <v>1241</v>
      </c>
    </row>
    <row r="1242" spans="1:14" x14ac:dyDescent="0.25">
      <c r="A1242" t="s">
        <v>3010</v>
      </c>
      <c r="B1242">
        <v>1238</v>
      </c>
      <c r="C1242">
        <v>2238</v>
      </c>
      <c r="D1242" s="1" t="s">
        <v>1406</v>
      </c>
      <c r="E1242" t="s">
        <v>1402</v>
      </c>
      <c r="G1242" t="s">
        <v>24</v>
      </c>
      <c r="I1242">
        <v>74.5</v>
      </c>
      <c r="J1242">
        <v>110</v>
      </c>
      <c r="K1242">
        <v>35.5</v>
      </c>
      <c r="L1242">
        <v>0.47649999999999998</v>
      </c>
      <c r="M1242" t="s">
        <v>3374</v>
      </c>
      <c r="N1242">
        <v>1242</v>
      </c>
    </row>
    <row r="1243" spans="1:14" x14ac:dyDescent="0.25">
      <c r="A1243" t="s">
        <v>3011</v>
      </c>
      <c r="B1243">
        <v>1239</v>
      </c>
      <c r="C1243">
        <v>2239</v>
      </c>
      <c r="D1243" s="1" t="s">
        <v>1407</v>
      </c>
      <c r="E1243" t="s">
        <v>1402</v>
      </c>
      <c r="G1243" t="s">
        <v>24</v>
      </c>
      <c r="I1243">
        <v>111.75</v>
      </c>
      <c r="J1243">
        <v>145</v>
      </c>
      <c r="K1243">
        <v>33.25</v>
      </c>
      <c r="L1243">
        <v>0.29749999999999999</v>
      </c>
      <c r="M1243" t="s">
        <v>3374</v>
      </c>
      <c r="N1243">
        <v>1243</v>
      </c>
    </row>
    <row r="1244" spans="1:14" x14ac:dyDescent="0.25">
      <c r="A1244" t="s">
        <v>3012</v>
      </c>
      <c r="B1244">
        <v>1240</v>
      </c>
      <c r="C1244">
        <v>2240</v>
      </c>
      <c r="D1244" s="1" t="s">
        <v>1408</v>
      </c>
      <c r="E1244" t="s">
        <v>1402</v>
      </c>
      <c r="G1244" t="s">
        <v>24</v>
      </c>
      <c r="I1244">
        <v>67.099999999999994</v>
      </c>
      <c r="J1244">
        <v>95</v>
      </c>
      <c r="K1244">
        <v>27.9</v>
      </c>
      <c r="L1244">
        <v>0.4158</v>
      </c>
      <c r="M1244" t="s">
        <v>3374</v>
      </c>
      <c r="N1244">
        <v>1244</v>
      </c>
    </row>
    <row r="1245" spans="1:14" x14ac:dyDescent="0.25">
      <c r="A1245" t="s">
        <v>3013</v>
      </c>
      <c r="B1245">
        <v>1241</v>
      </c>
      <c r="C1245">
        <v>2241</v>
      </c>
      <c r="D1245" s="1" t="s">
        <v>1409</v>
      </c>
      <c r="E1245" t="s">
        <v>1402</v>
      </c>
      <c r="G1245" t="s">
        <v>24</v>
      </c>
      <c r="I1245">
        <v>37.25</v>
      </c>
      <c r="J1245">
        <v>70</v>
      </c>
      <c r="K1245">
        <v>32.75</v>
      </c>
      <c r="L1245">
        <v>0.87919999999999998</v>
      </c>
      <c r="M1245" t="s">
        <v>3374</v>
      </c>
      <c r="N1245">
        <v>1245</v>
      </c>
    </row>
    <row r="1246" spans="1:14" x14ac:dyDescent="0.25">
      <c r="A1246" t="s">
        <v>3014</v>
      </c>
      <c r="B1246">
        <v>1242</v>
      </c>
      <c r="C1246">
        <v>2242</v>
      </c>
      <c r="D1246" s="1" t="s">
        <v>1410</v>
      </c>
      <c r="E1246" t="s">
        <v>1402</v>
      </c>
      <c r="G1246" t="s">
        <v>24</v>
      </c>
      <c r="I1246">
        <v>29.75</v>
      </c>
      <c r="J1246">
        <v>60</v>
      </c>
      <c r="K1246">
        <v>30.25</v>
      </c>
      <c r="L1246">
        <v>1.0167999999999999</v>
      </c>
      <c r="M1246" t="s">
        <v>3374</v>
      </c>
      <c r="N1246">
        <v>1246</v>
      </c>
    </row>
    <row r="1247" spans="1:14" x14ac:dyDescent="0.25">
      <c r="A1247" t="s">
        <v>3015</v>
      </c>
      <c r="B1247">
        <v>1243</v>
      </c>
      <c r="C1247">
        <v>2243</v>
      </c>
      <c r="D1247" s="1" t="s">
        <v>1411</v>
      </c>
      <c r="G1247" t="s">
        <v>608</v>
      </c>
      <c r="I1247">
        <v>1295</v>
      </c>
      <c r="J1247">
        <v>1795</v>
      </c>
      <c r="K1247">
        <v>500</v>
      </c>
      <c r="L1247">
        <v>0.3861</v>
      </c>
      <c r="M1247" t="s">
        <v>3374</v>
      </c>
      <c r="N1247">
        <v>1247</v>
      </c>
    </row>
    <row r="1248" spans="1:14" x14ac:dyDescent="0.25">
      <c r="A1248" t="s">
        <v>3016</v>
      </c>
      <c r="B1248">
        <v>1244</v>
      </c>
      <c r="C1248">
        <v>2244</v>
      </c>
      <c r="D1248" s="1" t="s">
        <v>1412</v>
      </c>
      <c r="G1248" t="s">
        <v>608</v>
      </c>
      <c r="I1248">
        <v>2069</v>
      </c>
      <c r="J1248">
        <v>2570</v>
      </c>
      <c r="K1248">
        <v>501</v>
      </c>
      <c r="L1248">
        <v>0.24210000000000001</v>
      </c>
      <c r="M1248" t="s">
        <v>3374</v>
      </c>
      <c r="N1248">
        <v>1248</v>
      </c>
    </row>
    <row r="1249" spans="1:14" x14ac:dyDescent="0.25">
      <c r="A1249" t="s">
        <v>3017</v>
      </c>
      <c r="B1249">
        <v>1245</v>
      </c>
      <c r="C1249">
        <v>2245</v>
      </c>
      <c r="D1249" s="1" t="s">
        <v>1413</v>
      </c>
      <c r="G1249" t="s">
        <v>24</v>
      </c>
      <c r="I1249">
        <v>705</v>
      </c>
      <c r="J1249">
        <v>825</v>
      </c>
      <c r="K1249">
        <v>120</v>
      </c>
      <c r="L1249">
        <v>0.17019999999999999</v>
      </c>
      <c r="M1249" t="s">
        <v>3374</v>
      </c>
      <c r="N1249">
        <v>1249</v>
      </c>
    </row>
    <row r="1250" spans="1:14" x14ac:dyDescent="0.25">
      <c r="A1250" t="s">
        <v>3018</v>
      </c>
      <c r="B1250">
        <v>1246</v>
      </c>
      <c r="C1250">
        <v>2246</v>
      </c>
      <c r="D1250" s="1" t="s">
        <v>1414</v>
      </c>
      <c r="G1250" t="s">
        <v>24</v>
      </c>
      <c r="I1250">
        <v>55</v>
      </c>
      <c r="J1250">
        <v>75</v>
      </c>
      <c r="K1250">
        <v>20</v>
      </c>
      <c r="L1250">
        <v>0.36359999999999998</v>
      </c>
      <c r="M1250" t="s">
        <v>3374</v>
      </c>
      <c r="N1250">
        <v>1250</v>
      </c>
    </row>
    <row r="1251" spans="1:14" x14ac:dyDescent="0.25">
      <c r="A1251" t="s">
        <v>3019</v>
      </c>
      <c r="B1251">
        <v>1247</v>
      </c>
      <c r="C1251">
        <v>2247</v>
      </c>
      <c r="D1251" s="1" t="s">
        <v>1415</v>
      </c>
      <c r="G1251" t="s">
        <v>24</v>
      </c>
      <c r="I1251">
        <v>280</v>
      </c>
      <c r="J1251">
        <v>485</v>
      </c>
      <c r="K1251">
        <v>205</v>
      </c>
      <c r="L1251">
        <v>0.73209999999999997</v>
      </c>
      <c r="M1251" t="s">
        <v>3374</v>
      </c>
      <c r="N1251">
        <v>1251</v>
      </c>
    </row>
    <row r="1252" spans="1:14" x14ac:dyDescent="0.25">
      <c r="A1252" t="s">
        <v>3020</v>
      </c>
      <c r="B1252">
        <v>1248</v>
      </c>
      <c r="C1252">
        <v>2248</v>
      </c>
      <c r="D1252" s="1" t="s">
        <v>1416</v>
      </c>
      <c r="G1252" t="s">
        <v>24</v>
      </c>
      <c r="I1252">
        <v>280</v>
      </c>
      <c r="J1252">
        <v>530</v>
      </c>
      <c r="K1252">
        <v>250</v>
      </c>
      <c r="L1252">
        <v>0.89290000000000003</v>
      </c>
      <c r="M1252" t="s">
        <v>3374</v>
      </c>
      <c r="N1252">
        <v>1252</v>
      </c>
    </row>
    <row r="1253" spans="1:14" x14ac:dyDescent="0.25">
      <c r="A1253" t="s">
        <v>3021</v>
      </c>
      <c r="B1253">
        <v>1249</v>
      </c>
      <c r="C1253">
        <v>2249</v>
      </c>
      <c r="D1253" s="1" t="s">
        <v>1417</v>
      </c>
      <c r="G1253" t="s">
        <v>24</v>
      </c>
      <c r="I1253">
        <v>180</v>
      </c>
      <c r="J1253">
        <v>385</v>
      </c>
      <c r="K1253">
        <v>205</v>
      </c>
      <c r="L1253">
        <v>1.1389</v>
      </c>
      <c r="M1253" t="s">
        <v>3374</v>
      </c>
      <c r="N1253">
        <v>1253</v>
      </c>
    </row>
    <row r="1254" spans="1:14" x14ac:dyDescent="0.25">
      <c r="A1254" t="s">
        <v>3022</v>
      </c>
      <c r="B1254">
        <v>1250</v>
      </c>
      <c r="C1254">
        <v>2250</v>
      </c>
      <c r="D1254" s="1" t="s">
        <v>1418</v>
      </c>
      <c r="G1254" t="s">
        <v>24</v>
      </c>
      <c r="I1254">
        <v>350</v>
      </c>
      <c r="J1254">
        <v>585</v>
      </c>
      <c r="K1254">
        <v>235</v>
      </c>
      <c r="L1254">
        <v>0.6714</v>
      </c>
      <c r="M1254" t="s">
        <v>3374</v>
      </c>
      <c r="N1254">
        <v>1254</v>
      </c>
    </row>
    <row r="1255" spans="1:14" x14ac:dyDescent="0.25">
      <c r="A1255" t="s">
        <v>3023</v>
      </c>
      <c r="B1255">
        <v>1251</v>
      </c>
      <c r="C1255">
        <v>2251</v>
      </c>
      <c r="D1255" s="1" t="s">
        <v>1419</v>
      </c>
      <c r="G1255" t="s">
        <v>24</v>
      </c>
      <c r="I1255">
        <v>390</v>
      </c>
      <c r="J1255">
        <v>595</v>
      </c>
      <c r="K1255">
        <v>205</v>
      </c>
      <c r="L1255">
        <v>0.52559999999999996</v>
      </c>
      <c r="M1255" t="s">
        <v>3374</v>
      </c>
      <c r="N1255">
        <v>1255</v>
      </c>
    </row>
    <row r="1256" spans="1:14" x14ac:dyDescent="0.25">
      <c r="A1256" t="s">
        <v>3024</v>
      </c>
      <c r="B1256">
        <v>1252</v>
      </c>
      <c r="C1256">
        <v>2252</v>
      </c>
      <c r="D1256" s="1" t="s">
        <v>1420</v>
      </c>
      <c r="E1256" t="s">
        <v>789</v>
      </c>
      <c r="G1256" t="s">
        <v>24</v>
      </c>
      <c r="I1256">
        <v>430</v>
      </c>
      <c r="J1256">
        <v>510</v>
      </c>
      <c r="K1256">
        <v>80</v>
      </c>
      <c r="L1256">
        <v>0.186</v>
      </c>
      <c r="M1256" t="s">
        <v>3374</v>
      </c>
      <c r="N1256">
        <v>1256</v>
      </c>
    </row>
    <row r="1257" spans="1:14" x14ac:dyDescent="0.25">
      <c r="A1257" t="s">
        <v>3025</v>
      </c>
      <c r="B1257">
        <v>1253</v>
      </c>
      <c r="C1257">
        <v>2253</v>
      </c>
      <c r="D1257" s="1" t="s">
        <v>1421</v>
      </c>
      <c r="E1257" t="s">
        <v>911</v>
      </c>
      <c r="G1257" t="s">
        <v>24</v>
      </c>
      <c r="I1257">
        <v>136</v>
      </c>
      <c r="J1257">
        <v>190</v>
      </c>
      <c r="K1257">
        <v>54</v>
      </c>
      <c r="L1257">
        <v>0.39710000000000001</v>
      </c>
      <c r="M1257" t="s">
        <v>3374</v>
      </c>
      <c r="N1257">
        <v>1257</v>
      </c>
    </row>
    <row r="1258" spans="1:14" x14ac:dyDescent="0.25">
      <c r="A1258" t="s">
        <v>3026</v>
      </c>
      <c r="B1258">
        <v>1254</v>
      </c>
      <c r="C1258">
        <v>2254</v>
      </c>
      <c r="D1258" s="1" t="s">
        <v>1422</v>
      </c>
      <c r="G1258" t="s">
        <v>24</v>
      </c>
      <c r="I1258">
        <v>91</v>
      </c>
      <c r="J1258">
        <v>145</v>
      </c>
      <c r="K1258">
        <v>54</v>
      </c>
      <c r="L1258">
        <v>0.59340000000000004</v>
      </c>
      <c r="M1258" t="s">
        <v>3374</v>
      </c>
      <c r="N1258">
        <v>1258</v>
      </c>
    </row>
    <row r="1259" spans="1:14" x14ac:dyDescent="0.25">
      <c r="A1259" t="s">
        <v>3027</v>
      </c>
      <c r="B1259">
        <v>1255</v>
      </c>
      <c r="C1259">
        <v>2255</v>
      </c>
      <c r="D1259" s="1" t="s">
        <v>1423</v>
      </c>
      <c r="E1259" t="s">
        <v>1337</v>
      </c>
      <c r="G1259" t="s">
        <v>24</v>
      </c>
      <c r="I1259">
        <v>700</v>
      </c>
      <c r="J1259">
        <v>880</v>
      </c>
      <c r="K1259">
        <v>180</v>
      </c>
      <c r="L1259">
        <v>0.2571</v>
      </c>
      <c r="M1259" t="s">
        <v>3374</v>
      </c>
      <c r="N1259">
        <v>1259</v>
      </c>
    </row>
    <row r="1260" spans="1:14" x14ac:dyDescent="0.25">
      <c r="A1260" t="s">
        <v>3028</v>
      </c>
      <c r="B1260">
        <v>1256</v>
      </c>
      <c r="C1260">
        <v>2256</v>
      </c>
      <c r="D1260" s="1" t="s">
        <v>1424</v>
      </c>
      <c r="E1260" t="s">
        <v>1425</v>
      </c>
      <c r="G1260" t="s">
        <v>24</v>
      </c>
      <c r="I1260">
        <v>1250</v>
      </c>
      <c r="J1260">
        <v>1450</v>
      </c>
      <c r="K1260">
        <v>200</v>
      </c>
      <c r="L1260">
        <v>0.16</v>
      </c>
      <c r="M1260" t="s">
        <v>3374</v>
      </c>
      <c r="N1260">
        <v>1260</v>
      </c>
    </row>
    <row r="1261" spans="1:14" x14ac:dyDescent="0.25">
      <c r="A1261" t="s">
        <v>3029</v>
      </c>
      <c r="B1261">
        <v>1257</v>
      </c>
      <c r="C1261">
        <v>2257</v>
      </c>
      <c r="D1261" s="1" t="s">
        <v>1426</v>
      </c>
      <c r="G1261" t="s">
        <v>24</v>
      </c>
      <c r="I1261">
        <v>133.33000000000001</v>
      </c>
      <c r="J1261">
        <v>175</v>
      </c>
      <c r="K1261">
        <v>41.67</v>
      </c>
      <c r="L1261">
        <v>0.3125</v>
      </c>
      <c r="M1261" t="s">
        <v>3374</v>
      </c>
      <c r="N1261">
        <v>1261</v>
      </c>
    </row>
    <row r="1262" spans="1:14" x14ac:dyDescent="0.25">
      <c r="A1262" t="s">
        <v>3030</v>
      </c>
      <c r="B1262">
        <v>1258</v>
      </c>
      <c r="C1262">
        <v>2258</v>
      </c>
      <c r="D1262" s="1" t="s">
        <v>1427</v>
      </c>
      <c r="E1262" t="s">
        <v>1428</v>
      </c>
      <c r="G1262" t="s">
        <v>24</v>
      </c>
      <c r="I1262">
        <v>115</v>
      </c>
      <c r="J1262">
        <v>150</v>
      </c>
      <c r="K1262">
        <v>35</v>
      </c>
      <c r="L1262">
        <v>0.30430000000000001</v>
      </c>
      <c r="M1262" t="s">
        <v>3374</v>
      </c>
      <c r="N1262">
        <v>1262</v>
      </c>
    </row>
    <row r="1263" spans="1:14" x14ac:dyDescent="0.25">
      <c r="A1263" t="s">
        <v>3031</v>
      </c>
      <c r="B1263">
        <v>1259</v>
      </c>
      <c r="C1263">
        <v>2259</v>
      </c>
      <c r="D1263" s="1" t="s">
        <v>1429</v>
      </c>
      <c r="E1263" t="s">
        <v>1428</v>
      </c>
      <c r="G1263" t="s">
        <v>24</v>
      </c>
      <c r="I1263">
        <v>125</v>
      </c>
      <c r="J1263">
        <v>160</v>
      </c>
      <c r="K1263">
        <v>35</v>
      </c>
      <c r="L1263">
        <v>0.28000000000000003</v>
      </c>
      <c r="M1263" t="s">
        <v>3374</v>
      </c>
      <c r="N1263">
        <v>1263</v>
      </c>
    </row>
    <row r="1264" spans="1:14" x14ac:dyDescent="0.25">
      <c r="A1264" t="s">
        <v>3032</v>
      </c>
      <c r="B1264">
        <v>1260</v>
      </c>
      <c r="C1264">
        <v>2260</v>
      </c>
      <c r="D1264" s="1" t="s">
        <v>1430</v>
      </c>
      <c r="G1264" t="s">
        <v>24</v>
      </c>
      <c r="I1264">
        <v>330</v>
      </c>
      <c r="J1264">
        <v>385</v>
      </c>
      <c r="K1264">
        <v>55</v>
      </c>
      <c r="L1264">
        <v>0.16669999999999999</v>
      </c>
      <c r="M1264" t="s">
        <v>3374</v>
      </c>
      <c r="N1264">
        <v>1264</v>
      </c>
    </row>
    <row r="1265" spans="1:14" x14ac:dyDescent="0.25">
      <c r="A1265" t="s">
        <v>3033</v>
      </c>
      <c r="B1265">
        <v>1261</v>
      </c>
      <c r="C1265">
        <v>2261</v>
      </c>
      <c r="D1265" s="1" t="s">
        <v>1431</v>
      </c>
      <c r="G1265" t="s">
        <v>24</v>
      </c>
      <c r="I1265">
        <v>94</v>
      </c>
      <c r="J1265">
        <v>155</v>
      </c>
      <c r="K1265">
        <v>61</v>
      </c>
      <c r="L1265">
        <v>0.64890000000000003</v>
      </c>
      <c r="M1265" t="s">
        <v>3374</v>
      </c>
      <c r="N1265">
        <v>1265</v>
      </c>
    </row>
    <row r="1266" spans="1:14" x14ac:dyDescent="0.25">
      <c r="A1266" t="s">
        <v>3034</v>
      </c>
      <c r="B1266">
        <v>1262</v>
      </c>
      <c r="C1266">
        <v>2262</v>
      </c>
      <c r="D1266" s="1" t="s">
        <v>1432</v>
      </c>
      <c r="G1266" t="s">
        <v>24</v>
      </c>
      <c r="I1266">
        <v>91</v>
      </c>
      <c r="J1266">
        <v>145</v>
      </c>
      <c r="K1266">
        <v>54</v>
      </c>
      <c r="L1266">
        <v>0.59340000000000004</v>
      </c>
      <c r="M1266" t="s">
        <v>3374</v>
      </c>
      <c r="N1266">
        <v>1266</v>
      </c>
    </row>
    <row r="1267" spans="1:14" x14ac:dyDescent="0.25">
      <c r="A1267" t="s">
        <v>3035</v>
      </c>
      <c r="B1267">
        <v>1263</v>
      </c>
      <c r="C1267">
        <v>2263</v>
      </c>
      <c r="D1267" s="1" t="s">
        <v>1433</v>
      </c>
      <c r="G1267" t="s">
        <v>24</v>
      </c>
      <c r="I1267">
        <v>67</v>
      </c>
      <c r="J1267">
        <v>125</v>
      </c>
      <c r="K1267">
        <v>58</v>
      </c>
      <c r="L1267">
        <v>0.86570000000000003</v>
      </c>
      <c r="M1267" t="s">
        <v>3374</v>
      </c>
      <c r="N1267">
        <v>1267</v>
      </c>
    </row>
    <row r="1268" spans="1:14" x14ac:dyDescent="0.25">
      <c r="A1268" t="s">
        <v>3036</v>
      </c>
      <c r="B1268">
        <v>1264</v>
      </c>
      <c r="C1268">
        <v>2264</v>
      </c>
      <c r="D1268" s="1" t="s">
        <v>1434</v>
      </c>
      <c r="G1268" t="s">
        <v>24</v>
      </c>
      <c r="I1268">
        <v>40</v>
      </c>
      <c r="J1268">
        <v>90</v>
      </c>
      <c r="K1268">
        <v>50</v>
      </c>
      <c r="L1268">
        <v>1.25</v>
      </c>
      <c r="M1268" t="s">
        <v>3374</v>
      </c>
      <c r="N1268">
        <v>1268</v>
      </c>
    </row>
    <row r="1269" spans="1:14" x14ac:dyDescent="0.25">
      <c r="A1269" t="s">
        <v>3037</v>
      </c>
      <c r="B1269">
        <v>1265</v>
      </c>
      <c r="C1269">
        <v>2265</v>
      </c>
      <c r="D1269" s="1" t="s">
        <v>1435</v>
      </c>
      <c r="G1269" t="s">
        <v>24</v>
      </c>
      <c r="I1269">
        <v>40</v>
      </c>
      <c r="J1269">
        <v>90</v>
      </c>
      <c r="K1269">
        <v>50</v>
      </c>
      <c r="L1269">
        <v>1.25</v>
      </c>
      <c r="M1269" t="s">
        <v>3374</v>
      </c>
      <c r="N1269">
        <v>1269</v>
      </c>
    </row>
    <row r="1270" spans="1:14" x14ac:dyDescent="0.25">
      <c r="A1270" t="s">
        <v>3038</v>
      </c>
      <c r="B1270">
        <v>1266</v>
      </c>
      <c r="C1270">
        <v>2266</v>
      </c>
      <c r="D1270" s="1" t="s">
        <v>1436</v>
      </c>
      <c r="G1270" t="s">
        <v>24</v>
      </c>
      <c r="I1270">
        <v>40</v>
      </c>
      <c r="J1270">
        <v>90</v>
      </c>
      <c r="K1270">
        <v>50</v>
      </c>
      <c r="L1270">
        <v>1.25</v>
      </c>
      <c r="M1270" t="s">
        <v>3374</v>
      </c>
      <c r="N1270">
        <v>1270</v>
      </c>
    </row>
    <row r="1271" spans="1:14" x14ac:dyDescent="0.25">
      <c r="A1271" t="s">
        <v>3039</v>
      </c>
      <c r="B1271">
        <v>1267</v>
      </c>
      <c r="C1271">
        <v>2267</v>
      </c>
      <c r="D1271" s="1" t="s">
        <v>1437</v>
      </c>
      <c r="G1271" t="s">
        <v>24</v>
      </c>
      <c r="I1271">
        <v>1628</v>
      </c>
      <c r="J1271">
        <v>1758</v>
      </c>
      <c r="K1271">
        <v>130</v>
      </c>
      <c r="L1271">
        <v>7.9899999999999999E-2</v>
      </c>
      <c r="M1271" t="s">
        <v>3374</v>
      </c>
      <c r="N1271">
        <v>1271</v>
      </c>
    </row>
    <row r="1272" spans="1:14" x14ac:dyDescent="0.25">
      <c r="A1272" t="s">
        <v>3040</v>
      </c>
      <c r="B1272">
        <v>1268</v>
      </c>
      <c r="C1272">
        <v>2268</v>
      </c>
      <c r="D1272" s="1" t="s">
        <v>1438</v>
      </c>
      <c r="E1272" t="s">
        <v>1439</v>
      </c>
      <c r="G1272" t="s">
        <v>24</v>
      </c>
      <c r="I1272">
        <v>35</v>
      </c>
      <c r="J1272">
        <v>80</v>
      </c>
      <c r="K1272">
        <v>45</v>
      </c>
      <c r="L1272">
        <v>1.2857000000000001</v>
      </c>
      <c r="M1272" t="s">
        <v>3374</v>
      </c>
      <c r="N1272">
        <v>1272</v>
      </c>
    </row>
    <row r="1273" spans="1:14" x14ac:dyDescent="0.25">
      <c r="A1273" t="s">
        <v>3041</v>
      </c>
      <c r="B1273">
        <v>1269</v>
      </c>
      <c r="C1273">
        <v>2269</v>
      </c>
      <c r="D1273" s="1" t="s">
        <v>1440</v>
      </c>
      <c r="E1273" t="s">
        <v>1439</v>
      </c>
      <c r="G1273" t="s">
        <v>24</v>
      </c>
      <c r="I1273">
        <v>30</v>
      </c>
      <c r="J1273">
        <v>75</v>
      </c>
      <c r="K1273">
        <v>45</v>
      </c>
      <c r="L1273">
        <v>1.5</v>
      </c>
      <c r="M1273" t="s">
        <v>3374</v>
      </c>
      <c r="N1273">
        <v>1273</v>
      </c>
    </row>
    <row r="1274" spans="1:14" x14ac:dyDescent="0.25">
      <c r="A1274" t="s">
        <v>3042</v>
      </c>
      <c r="B1274">
        <v>1270</v>
      </c>
      <c r="C1274">
        <v>2270</v>
      </c>
      <c r="D1274" s="1" t="s">
        <v>1441</v>
      </c>
      <c r="G1274" t="s">
        <v>24</v>
      </c>
      <c r="I1274">
        <v>18</v>
      </c>
      <c r="J1274">
        <v>70</v>
      </c>
      <c r="K1274">
        <v>52</v>
      </c>
      <c r="L1274">
        <v>2.8889</v>
      </c>
      <c r="M1274" t="s">
        <v>3374</v>
      </c>
      <c r="N1274">
        <v>1274</v>
      </c>
    </row>
    <row r="1275" spans="1:14" x14ac:dyDescent="0.25">
      <c r="A1275" t="s">
        <v>3043</v>
      </c>
      <c r="B1275">
        <v>1271</v>
      </c>
      <c r="C1275">
        <v>2271</v>
      </c>
      <c r="D1275" s="1" t="s">
        <v>1442</v>
      </c>
      <c r="G1275" t="s">
        <v>24</v>
      </c>
      <c r="I1275">
        <v>20</v>
      </c>
      <c r="J1275">
        <v>80</v>
      </c>
      <c r="K1275">
        <v>60</v>
      </c>
      <c r="L1275">
        <v>3</v>
      </c>
      <c r="M1275" t="s">
        <v>3374</v>
      </c>
      <c r="N1275">
        <v>1275</v>
      </c>
    </row>
    <row r="1276" spans="1:14" x14ac:dyDescent="0.25">
      <c r="A1276" t="s">
        <v>3044</v>
      </c>
      <c r="B1276">
        <v>1272</v>
      </c>
      <c r="C1276">
        <v>2272</v>
      </c>
      <c r="D1276" s="1" t="s">
        <v>1443</v>
      </c>
      <c r="E1276" t="s">
        <v>410</v>
      </c>
      <c r="G1276" t="s">
        <v>24</v>
      </c>
      <c r="I1276">
        <v>18</v>
      </c>
      <c r="J1276">
        <v>45</v>
      </c>
      <c r="K1276">
        <v>27</v>
      </c>
      <c r="L1276">
        <v>1.5</v>
      </c>
      <c r="M1276" t="s">
        <v>3374</v>
      </c>
      <c r="N1276">
        <v>1276</v>
      </c>
    </row>
    <row r="1277" spans="1:14" x14ac:dyDescent="0.25">
      <c r="A1277" t="s">
        <v>3045</v>
      </c>
      <c r="B1277">
        <v>1273</v>
      </c>
      <c r="C1277">
        <v>2273</v>
      </c>
      <c r="D1277" s="1" t="s">
        <v>1444</v>
      </c>
      <c r="E1277" t="s">
        <v>410</v>
      </c>
      <c r="G1277" t="s">
        <v>24</v>
      </c>
      <c r="I1277">
        <v>21</v>
      </c>
      <c r="J1277">
        <v>50</v>
      </c>
      <c r="K1277">
        <v>29</v>
      </c>
      <c r="L1277">
        <v>1.381</v>
      </c>
      <c r="M1277" t="s">
        <v>3374</v>
      </c>
      <c r="N1277">
        <v>1277</v>
      </c>
    </row>
    <row r="1278" spans="1:14" x14ac:dyDescent="0.25">
      <c r="A1278" t="s">
        <v>3046</v>
      </c>
      <c r="B1278">
        <v>1274</v>
      </c>
      <c r="C1278">
        <v>2274</v>
      </c>
      <c r="D1278" s="1" t="s">
        <v>1445</v>
      </c>
      <c r="G1278" t="s">
        <v>24</v>
      </c>
      <c r="I1278">
        <v>22</v>
      </c>
      <c r="J1278">
        <v>65</v>
      </c>
      <c r="K1278">
        <v>43</v>
      </c>
      <c r="L1278">
        <v>1.9544999999999999</v>
      </c>
      <c r="M1278" t="s">
        <v>3374</v>
      </c>
      <c r="N1278">
        <v>1278</v>
      </c>
    </row>
    <row r="1279" spans="1:14" x14ac:dyDescent="0.25">
      <c r="A1279" t="s">
        <v>3047</v>
      </c>
      <c r="B1279">
        <v>1275</v>
      </c>
      <c r="C1279">
        <v>2275</v>
      </c>
      <c r="D1279" s="1" t="s">
        <v>1446</v>
      </c>
      <c r="G1279" t="s">
        <v>24</v>
      </c>
      <c r="I1279">
        <v>200</v>
      </c>
      <c r="J1279">
        <v>285</v>
      </c>
      <c r="K1279">
        <v>85</v>
      </c>
      <c r="L1279">
        <v>0.42499999999999999</v>
      </c>
      <c r="M1279" t="s">
        <v>3374</v>
      </c>
      <c r="N1279">
        <v>1279</v>
      </c>
    </row>
    <row r="1280" spans="1:14" x14ac:dyDescent="0.25">
      <c r="A1280" t="s">
        <v>3048</v>
      </c>
      <c r="B1280">
        <v>1276</v>
      </c>
      <c r="C1280">
        <v>2276</v>
      </c>
      <c r="D1280" s="1" t="s">
        <v>1447</v>
      </c>
      <c r="E1280" t="s">
        <v>1448</v>
      </c>
      <c r="G1280" t="s">
        <v>24</v>
      </c>
      <c r="I1280">
        <v>305</v>
      </c>
      <c r="J1280">
        <v>365</v>
      </c>
      <c r="K1280">
        <v>60</v>
      </c>
      <c r="L1280">
        <v>0.19670000000000001</v>
      </c>
      <c r="M1280" t="s">
        <v>3374</v>
      </c>
      <c r="N1280">
        <v>1280</v>
      </c>
    </row>
    <row r="1281" spans="1:14" x14ac:dyDescent="0.25">
      <c r="A1281" t="s">
        <v>3049</v>
      </c>
      <c r="B1281">
        <v>1277</v>
      </c>
      <c r="C1281">
        <v>2277</v>
      </c>
      <c r="D1281" s="1" t="s">
        <v>1449</v>
      </c>
      <c r="E1281" t="s">
        <v>1448</v>
      </c>
      <c r="G1281" t="s">
        <v>24</v>
      </c>
      <c r="I1281">
        <v>370</v>
      </c>
      <c r="J1281">
        <v>430</v>
      </c>
      <c r="K1281">
        <v>60</v>
      </c>
      <c r="L1281">
        <v>0.16220000000000001</v>
      </c>
      <c r="M1281" t="s">
        <v>3374</v>
      </c>
      <c r="N1281">
        <v>1281</v>
      </c>
    </row>
    <row r="1282" spans="1:14" x14ac:dyDescent="0.25">
      <c r="A1282" t="s">
        <v>3050</v>
      </c>
      <c r="B1282">
        <v>1278</v>
      </c>
      <c r="C1282">
        <v>2278</v>
      </c>
      <c r="D1282" s="1" t="s">
        <v>1450</v>
      </c>
      <c r="G1282" t="s">
        <v>24</v>
      </c>
      <c r="I1282">
        <v>63.33</v>
      </c>
      <c r="J1282">
        <v>74</v>
      </c>
      <c r="K1282">
        <v>10.67</v>
      </c>
      <c r="L1282">
        <v>0.16850000000000001</v>
      </c>
      <c r="M1282" t="s">
        <v>3374</v>
      </c>
      <c r="N1282">
        <v>1282</v>
      </c>
    </row>
    <row r="1283" spans="1:14" x14ac:dyDescent="0.25">
      <c r="A1283" t="s">
        <v>3051</v>
      </c>
      <c r="B1283">
        <v>1279</v>
      </c>
      <c r="C1283">
        <v>2279</v>
      </c>
      <c r="D1283" s="1" t="s">
        <v>1451</v>
      </c>
      <c r="G1283" t="s">
        <v>24</v>
      </c>
      <c r="I1283">
        <v>126.16</v>
      </c>
      <c r="J1283">
        <v>134</v>
      </c>
      <c r="K1283">
        <v>7.84</v>
      </c>
      <c r="L1283">
        <v>6.2100000000000002E-2</v>
      </c>
      <c r="M1283" t="s">
        <v>3374</v>
      </c>
      <c r="N1283">
        <v>1283</v>
      </c>
    </row>
    <row r="1284" spans="1:14" x14ac:dyDescent="0.25">
      <c r="A1284" t="s">
        <v>3052</v>
      </c>
      <c r="B1284">
        <v>1280</v>
      </c>
      <c r="C1284">
        <v>2280</v>
      </c>
      <c r="D1284" s="1" t="s">
        <v>1452</v>
      </c>
      <c r="G1284" t="s">
        <v>24</v>
      </c>
      <c r="I1284">
        <v>140</v>
      </c>
      <c r="J1284">
        <v>175</v>
      </c>
      <c r="K1284">
        <v>35</v>
      </c>
      <c r="L1284">
        <v>0.25</v>
      </c>
      <c r="M1284" t="s">
        <v>3374</v>
      </c>
      <c r="N1284">
        <v>1284</v>
      </c>
    </row>
    <row r="1285" spans="1:14" x14ac:dyDescent="0.25">
      <c r="A1285" t="s">
        <v>3053</v>
      </c>
      <c r="B1285">
        <v>1281</v>
      </c>
      <c r="C1285">
        <v>2281</v>
      </c>
      <c r="D1285" s="1" t="s">
        <v>1453</v>
      </c>
      <c r="G1285" t="s">
        <v>24</v>
      </c>
      <c r="I1285">
        <v>36</v>
      </c>
      <c r="J1285">
        <v>48.5</v>
      </c>
      <c r="K1285">
        <v>12.5</v>
      </c>
      <c r="L1285">
        <v>0.34720000000000001</v>
      </c>
      <c r="M1285" t="s">
        <v>3374</v>
      </c>
      <c r="N1285">
        <v>1285</v>
      </c>
    </row>
    <row r="1286" spans="1:14" x14ac:dyDescent="0.25">
      <c r="A1286" t="s">
        <v>3054</v>
      </c>
      <c r="B1286">
        <v>1282</v>
      </c>
      <c r="C1286">
        <v>2282</v>
      </c>
      <c r="D1286" s="1" t="s">
        <v>1454</v>
      </c>
      <c r="E1286" t="s">
        <v>1455</v>
      </c>
      <c r="G1286" t="s">
        <v>24</v>
      </c>
      <c r="I1286">
        <v>220</v>
      </c>
      <c r="J1286">
        <v>285</v>
      </c>
      <c r="K1286">
        <v>65</v>
      </c>
      <c r="L1286">
        <v>0.29549999999999998</v>
      </c>
      <c r="M1286" t="s">
        <v>3374</v>
      </c>
      <c r="N1286">
        <v>1286</v>
      </c>
    </row>
    <row r="1287" spans="1:14" x14ac:dyDescent="0.25">
      <c r="A1287" t="s">
        <v>3055</v>
      </c>
      <c r="B1287">
        <v>1283</v>
      </c>
      <c r="C1287">
        <v>2283</v>
      </c>
      <c r="D1287" s="1" t="s">
        <v>1456</v>
      </c>
      <c r="G1287" t="s">
        <v>24</v>
      </c>
      <c r="I1287">
        <v>135</v>
      </c>
      <c r="J1287">
        <v>185</v>
      </c>
      <c r="K1287">
        <v>50</v>
      </c>
      <c r="L1287">
        <v>0.37040000000000001</v>
      </c>
      <c r="M1287" t="s">
        <v>3374</v>
      </c>
      <c r="N1287">
        <v>1287</v>
      </c>
    </row>
    <row r="1288" spans="1:14" x14ac:dyDescent="0.25">
      <c r="A1288" t="s">
        <v>3056</v>
      </c>
      <c r="B1288">
        <v>1284</v>
      </c>
      <c r="C1288">
        <v>2284</v>
      </c>
      <c r="D1288" s="1" t="s">
        <v>1457</v>
      </c>
      <c r="E1288" t="s">
        <v>84</v>
      </c>
      <c r="G1288" t="s">
        <v>24</v>
      </c>
      <c r="I1288">
        <v>471</v>
      </c>
      <c r="J1288">
        <v>675</v>
      </c>
      <c r="K1288">
        <v>204</v>
      </c>
      <c r="L1288">
        <v>0.43309999999999998</v>
      </c>
      <c r="M1288" t="s">
        <v>3374</v>
      </c>
      <c r="N1288">
        <v>1288</v>
      </c>
    </row>
    <row r="1289" spans="1:14" x14ac:dyDescent="0.25">
      <c r="A1289" t="s">
        <v>3057</v>
      </c>
      <c r="B1289">
        <v>1285</v>
      </c>
      <c r="C1289">
        <v>2285</v>
      </c>
      <c r="D1289" s="1" t="s">
        <v>1458</v>
      </c>
      <c r="E1289" t="s">
        <v>90</v>
      </c>
      <c r="G1289" t="s">
        <v>24</v>
      </c>
      <c r="I1289">
        <v>890</v>
      </c>
      <c r="J1289">
        <v>1040</v>
      </c>
      <c r="K1289">
        <v>150</v>
      </c>
      <c r="L1289">
        <v>0.16850000000000001</v>
      </c>
      <c r="M1289" t="s">
        <v>3374</v>
      </c>
      <c r="N1289">
        <v>1289</v>
      </c>
    </row>
    <row r="1290" spans="1:14" x14ac:dyDescent="0.25">
      <c r="A1290" t="s">
        <v>3058</v>
      </c>
      <c r="B1290">
        <v>1286</v>
      </c>
      <c r="C1290">
        <v>2286</v>
      </c>
      <c r="D1290" s="1" t="s">
        <v>1459</v>
      </c>
      <c r="E1290" t="s">
        <v>84</v>
      </c>
      <c r="G1290" t="s">
        <v>24</v>
      </c>
      <c r="I1290">
        <v>515</v>
      </c>
      <c r="J1290">
        <v>720</v>
      </c>
      <c r="K1290">
        <v>205</v>
      </c>
      <c r="L1290">
        <v>0.39810000000000001</v>
      </c>
      <c r="M1290" t="s">
        <v>3374</v>
      </c>
      <c r="N1290">
        <v>1290</v>
      </c>
    </row>
    <row r="1291" spans="1:14" x14ac:dyDescent="0.25">
      <c r="A1291" t="s">
        <v>3059</v>
      </c>
      <c r="B1291">
        <v>1287</v>
      </c>
      <c r="C1291">
        <v>2287</v>
      </c>
      <c r="D1291" s="1" t="s">
        <v>1460</v>
      </c>
      <c r="E1291" t="s">
        <v>84</v>
      </c>
      <c r="G1291" t="s">
        <v>24</v>
      </c>
      <c r="I1291">
        <v>140</v>
      </c>
      <c r="J1291">
        <v>195</v>
      </c>
      <c r="K1291">
        <v>55</v>
      </c>
      <c r="L1291">
        <v>0.39290000000000003</v>
      </c>
      <c r="M1291" t="s">
        <v>3374</v>
      </c>
      <c r="N1291">
        <v>1291</v>
      </c>
    </row>
    <row r="1292" spans="1:14" x14ac:dyDescent="0.25">
      <c r="A1292" t="s">
        <v>3060</v>
      </c>
      <c r="B1292">
        <v>1288</v>
      </c>
      <c r="C1292">
        <v>2288</v>
      </c>
      <c r="D1292" s="1" t="s">
        <v>1461</v>
      </c>
      <c r="E1292" t="s">
        <v>90</v>
      </c>
      <c r="G1292" t="s">
        <v>24</v>
      </c>
      <c r="I1292">
        <v>41</v>
      </c>
      <c r="J1292">
        <v>95</v>
      </c>
      <c r="K1292">
        <v>54</v>
      </c>
      <c r="L1292">
        <v>1.3170999999999999</v>
      </c>
      <c r="M1292" t="s">
        <v>3374</v>
      </c>
      <c r="N1292">
        <v>1292</v>
      </c>
    </row>
    <row r="1293" spans="1:14" x14ac:dyDescent="0.25">
      <c r="A1293" t="s">
        <v>3061</v>
      </c>
      <c r="B1293">
        <v>1289</v>
      </c>
      <c r="C1293">
        <v>2289</v>
      </c>
      <c r="D1293" s="1" t="s">
        <v>1462</v>
      </c>
      <c r="E1293" t="s">
        <v>1463</v>
      </c>
      <c r="G1293" t="s">
        <v>24</v>
      </c>
      <c r="I1293">
        <v>659</v>
      </c>
      <c r="J1293">
        <v>825</v>
      </c>
      <c r="K1293">
        <v>166</v>
      </c>
      <c r="L1293">
        <v>0.25190000000000001</v>
      </c>
      <c r="M1293" t="s">
        <v>3374</v>
      </c>
      <c r="N1293">
        <v>1293</v>
      </c>
    </row>
    <row r="1294" spans="1:14" x14ac:dyDescent="0.25">
      <c r="A1294" t="s">
        <v>3062</v>
      </c>
      <c r="B1294">
        <v>1290</v>
      </c>
      <c r="C1294">
        <v>2290</v>
      </c>
      <c r="D1294" s="1" t="s">
        <v>1464</v>
      </c>
      <c r="E1294" t="s">
        <v>84</v>
      </c>
      <c r="G1294" t="s">
        <v>24</v>
      </c>
      <c r="I1294">
        <v>49</v>
      </c>
      <c r="J1294">
        <v>95</v>
      </c>
      <c r="K1294">
        <v>46</v>
      </c>
      <c r="L1294">
        <v>0.93879999999999997</v>
      </c>
      <c r="M1294" t="s">
        <v>3374</v>
      </c>
      <c r="N1294">
        <v>1294</v>
      </c>
    </row>
    <row r="1295" spans="1:14" x14ac:dyDescent="0.25">
      <c r="A1295" t="s">
        <v>3063</v>
      </c>
      <c r="B1295">
        <v>1291</v>
      </c>
      <c r="C1295">
        <v>2291</v>
      </c>
      <c r="D1295" s="1" t="s">
        <v>1465</v>
      </c>
      <c r="E1295" t="s">
        <v>84</v>
      </c>
      <c r="G1295" t="s">
        <v>24</v>
      </c>
      <c r="I1295">
        <v>54</v>
      </c>
      <c r="J1295">
        <v>110</v>
      </c>
      <c r="K1295">
        <v>56</v>
      </c>
      <c r="L1295">
        <v>1.0369999999999999</v>
      </c>
      <c r="M1295" t="s">
        <v>3374</v>
      </c>
      <c r="N1295">
        <v>1295</v>
      </c>
    </row>
    <row r="1296" spans="1:14" x14ac:dyDescent="0.25">
      <c r="A1296" t="s">
        <v>3064</v>
      </c>
      <c r="B1296">
        <v>1292</v>
      </c>
      <c r="C1296">
        <v>2292</v>
      </c>
      <c r="D1296" s="1" t="s">
        <v>1466</v>
      </c>
      <c r="E1296" t="s">
        <v>1467</v>
      </c>
      <c r="G1296" t="s">
        <v>24</v>
      </c>
      <c r="I1296">
        <v>80</v>
      </c>
      <c r="J1296">
        <v>110</v>
      </c>
      <c r="K1296">
        <v>30</v>
      </c>
      <c r="L1296">
        <v>0.375</v>
      </c>
      <c r="M1296" t="s">
        <v>3374</v>
      </c>
      <c r="N1296">
        <v>1296</v>
      </c>
    </row>
    <row r="1297" spans="1:14" x14ac:dyDescent="0.25">
      <c r="A1297" t="s">
        <v>3065</v>
      </c>
      <c r="B1297">
        <v>1293</v>
      </c>
      <c r="C1297">
        <v>2293</v>
      </c>
      <c r="D1297" s="1" t="s">
        <v>1468</v>
      </c>
      <c r="E1297" t="s">
        <v>544</v>
      </c>
      <c r="G1297" t="s">
        <v>24</v>
      </c>
      <c r="I1297">
        <v>595</v>
      </c>
      <c r="J1297">
        <v>745</v>
      </c>
      <c r="K1297">
        <v>150</v>
      </c>
      <c r="L1297">
        <v>0.25209999999999999</v>
      </c>
      <c r="M1297" t="s">
        <v>3374</v>
      </c>
      <c r="N1297">
        <v>1297</v>
      </c>
    </row>
    <row r="1298" spans="1:14" x14ac:dyDescent="0.25">
      <c r="A1298" t="s">
        <v>3066</v>
      </c>
      <c r="B1298">
        <v>1294</v>
      </c>
      <c r="C1298">
        <v>2294</v>
      </c>
      <c r="D1298" s="1" t="s">
        <v>1469</v>
      </c>
      <c r="E1298" t="s">
        <v>1470</v>
      </c>
      <c r="G1298" t="s">
        <v>24</v>
      </c>
      <c r="I1298">
        <v>11</v>
      </c>
      <c r="J1298">
        <v>20</v>
      </c>
      <c r="K1298">
        <v>9</v>
      </c>
      <c r="L1298">
        <v>0.81820000000000004</v>
      </c>
      <c r="M1298" t="s">
        <v>3374</v>
      </c>
      <c r="N1298">
        <v>1298</v>
      </c>
    </row>
    <row r="1299" spans="1:14" x14ac:dyDescent="0.25">
      <c r="A1299" t="s">
        <v>3067</v>
      </c>
      <c r="B1299">
        <v>1295</v>
      </c>
      <c r="C1299">
        <v>2295</v>
      </c>
      <c r="D1299" s="1" t="s">
        <v>1471</v>
      </c>
      <c r="G1299" t="s">
        <v>24</v>
      </c>
      <c r="I1299">
        <v>730</v>
      </c>
      <c r="J1299">
        <v>1000</v>
      </c>
      <c r="K1299">
        <v>270</v>
      </c>
      <c r="L1299">
        <v>0.36990000000000001</v>
      </c>
      <c r="M1299" t="s">
        <v>3374</v>
      </c>
      <c r="N1299">
        <v>1299</v>
      </c>
    </row>
    <row r="1300" spans="1:14" x14ac:dyDescent="0.25">
      <c r="A1300" t="s">
        <v>3068</v>
      </c>
      <c r="B1300">
        <v>1296</v>
      </c>
      <c r="C1300">
        <v>2296</v>
      </c>
      <c r="D1300" s="1" t="s">
        <v>1472</v>
      </c>
      <c r="G1300" t="s">
        <v>24</v>
      </c>
      <c r="I1300">
        <v>1680</v>
      </c>
      <c r="J1300">
        <v>3180</v>
      </c>
      <c r="K1300">
        <v>1500</v>
      </c>
      <c r="L1300">
        <v>0.89290000000000003</v>
      </c>
      <c r="M1300" t="s">
        <v>3374</v>
      </c>
      <c r="N1300">
        <v>1300</v>
      </c>
    </row>
    <row r="1301" spans="1:14" x14ac:dyDescent="0.25">
      <c r="A1301" t="s">
        <v>3069</v>
      </c>
      <c r="B1301">
        <v>1297</v>
      </c>
      <c r="C1301">
        <v>2297</v>
      </c>
      <c r="D1301" s="1" t="s">
        <v>1473</v>
      </c>
      <c r="E1301" t="s">
        <v>1474</v>
      </c>
      <c r="G1301" t="s">
        <v>176</v>
      </c>
      <c r="I1301">
        <v>4548</v>
      </c>
      <c r="J1301">
        <v>4965</v>
      </c>
      <c r="K1301">
        <v>417</v>
      </c>
      <c r="L1301">
        <v>9.1700000000000004E-2</v>
      </c>
      <c r="M1301" t="s">
        <v>3374</v>
      </c>
      <c r="N1301">
        <v>1301</v>
      </c>
    </row>
    <row r="1302" spans="1:14" x14ac:dyDescent="0.25">
      <c r="A1302" t="s">
        <v>3070</v>
      </c>
      <c r="B1302">
        <v>1298</v>
      </c>
      <c r="C1302">
        <v>2298</v>
      </c>
      <c r="D1302" s="1" t="s">
        <v>1475</v>
      </c>
      <c r="E1302" t="s">
        <v>1474</v>
      </c>
      <c r="G1302" t="s">
        <v>176</v>
      </c>
      <c r="I1302">
        <v>3288</v>
      </c>
      <c r="J1302">
        <v>3638</v>
      </c>
      <c r="K1302">
        <v>350</v>
      </c>
      <c r="L1302">
        <v>0.10639999999999999</v>
      </c>
      <c r="M1302" t="s">
        <v>3374</v>
      </c>
      <c r="N1302">
        <v>1302</v>
      </c>
    </row>
    <row r="1303" spans="1:14" x14ac:dyDescent="0.25">
      <c r="A1303" t="s">
        <v>3071</v>
      </c>
      <c r="B1303">
        <v>1299</v>
      </c>
      <c r="C1303">
        <v>2299</v>
      </c>
      <c r="D1303" s="1" t="s">
        <v>1476</v>
      </c>
      <c r="E1303" t="s">
        <v>1474</v>
      </c>
      <c r="G1303" t="s">
        <v>176</v>
      </c>
      <c r="I1303">
        <v>2398</v>
      </c>
      <c r="J1303">
        <v>2850</v>
      </c>
      <c r="K1303">
        <v>452</v>
      </c>
      <c r="L1303">
        <v>0.1885</v>
      </c>
      <c r="M1303" t="s">
        <v>3374</v>
      </c>
      <c r="N1303">
        <v>1303</v>
      </c>
    </row>
    <row r="1304" spans="1:14" x14ac:dyDescent="0.25">
      <c r="A1304" t="s">
        <v>3072</v>
      </c>
      <c r="B1304">
        <v>1300</v>
      </c>
      <c r="C1304">
        <v>2300</v>
      </c>
      <c r="D1304" s="1" t="s">
        <v>1477</v>
      </c>
      <c r="E1304" t="s">
        <v>459</v>
      </c>
      <c r="G1304" t="s">
        <v>24</v>
      </c>
      <c r="I1304">
        <v>25</v>
      </c>
      <c r="J1304">
        <v>50</v>
      </c>
      <c r="K1304">
        <v>25</v>
      </c>
      <c r="L1304">
        <v>1</v>
      </c>
      <c r="M1304" t="s">
        <v>3374</v>
      </c>
      <c r="N1304">
        <v>1304</v>
      </c>
    </row>
    <row r="1305" spans="1:14" x14ac:dyDescent="0.25">
      <c r="A1305" t="s">
        <v>3073</v>
      </c>
      <c r="B1305">
        <v>1301</v>
      </c>
      <c r="C1305">
        <v>2301</v>
      </c>
      <c r="D1305" s="1" t="s">
        <v>1478</v>
      </c>
      <c r="E1305" t="s">
        <v>1479</v>
      </c>
      <c r="G1305" t="s">
        <v>24</v>
      </c>
      <c r="I1305">
        <v>200</v>
      </c>
      <c r="J1305">
        <v>290</v>
      </c>
      <c r="K1305">
        <v>90</v>
      </c>
      <c r="L1305">
        <v>0.45</v>
      </c>
      <c r="M1305" t="s">
        <v>3374</v>
      </c>
      <c r="N1305">
        <v>1305</v>
      </c>
    </row>
    <row r="1306" spans="1:14" x14ac:dyDescent="0.25">
      <c r="A1306" t="s">
        <v>3074</v>
      </c>
      <c r="B1306">
        <v>1302</v>
      </c>
      <c r="C1306">
        <v>2302</v>
      </c>
      <c r="D1306" s="1" t="s">
        <v>1480</v>
      </c>
      <c r="E1306" t="s">
        <v>1479</v>
      </c>
      <c r="G1306" t="s">
        <v>24</v>
      </c>
      <c r="I1306">
        <v>250</v>
      </c>
      <c r="J1306">
        <v>340</v>
      </c>
      <c r="K1306">
        <v>90</v>
      </c>
      <c r="L1306">
        <v>0.36</v>
      </c>
      <c r="M1306" t="s">
        <v>3374</v>
      </c>
      <c r="N1306">
        <v>1306</v>
      </c>
    </row>
    <row r="1307" spans="1:14" x14ac:dyDescent="0.25">
      <c r="A1307" t="s">
        <v>3075</v>
      </c>
      <c r="B1307">
        <v>1303</v>
      </c>
      <c r="C1307">
        <v>2303</v>
      </c>
      <c r="D1307" s="1" t="s">
        <v>1481</v>
      </c>
      <c r="E1307" t="s">
        <v>1482</v>
      </c>
      <c r="G1307" t="s">
        <v>24</v>
      </c>
      <c r="I1307">
        <v>96</v>
      </c>
      <c r="J1307">
        <v>210</v>
      </c>
      <c r="K1307">
        <v>114</v>
      </c>
      <c r="L1307">
        <v>1.1875</v>
      </c>
      <c r="M1307" t="s">
        <v>3374</v>
      </c>
      <c r="N1307">
        <v>1307</v>
      </c>
    </row>
    <row r="1308" spans="1:14" x14ac:dyDescent="0.25">
      <c r="A1308" t="s">
        <v>3076</v>
      </c>
      <c r="B1308">
        <v>1304</v>
      </c>
      <c r="C1308">
        <v>2304</v>
      </c>
      <c r="D1308" s="1" t="s">
        <v>1483</v>
      </c>
      <c r="G1308" t="s">
        <v>24</v>
      </c>
      <c r="I1308">
        <v>13.5</v>
      </c>
      <c r="J1308">
        <v>25</v>
      </c>
      <c r="K1308">
        <v>11.5</v>
      </c>
      <c r="L1308">
        <v>0.85189999999999999</v>
      </c>
      <c r="M1308" t="s">
        <v>3374</v>
      </c>
      <c r="N1308">
        <v>1308</v>
      </c>
    </row>
    <row r="1309" spans="1:14" x14ac:dyDescent="0.25">
      <c r="A1309" t="s">
        <v>3077</v>
      </c>
      <c r="B1309">
        <v>1305</v>
      </c>
      <c r="C1309">
        <v>2305</v>
      </c>
      <c r="D1309" s="1" t="s">
        <v>1484</v>
      </c>
      <c r="E1309" t="s">
        <v>1485</v>
      </c>
      <c r="G1309" t="s">
        <v>24</v>
      </c>
      <c r="I1309">
        <v>54</v>
      </c>
      <c r="J1309">
        <v>75</v>
      </c>
      <c r="K1309">
        <v>21</v>
      </c>
      <c r="L1309">
        <v>0.38890000000000002</v>
      </c>
      <c r="M1309" t="s">
        <v>3374</v>
      </c>
      <c r="N1309">
        <v>1309</v>
      </c>
    </row>
    <row r="1310" spans="1:14" x14ac:dyDescent="0.25">
      <c r="A1310" t="s">
        <v>3078</v>
      </c>
      <c r="B1310">
        <v>1306</v>
      </c>
      <c r="C1310">
        <v>2306</v>
      </c>
      <c r="D1310" s="1" t="s">
        <v>1486</v>
      </c>
      <c r="E1310" t="s">
        <v>1485</v>
      </c>
      <c r="G1310" t="s">
        <v>24</v>
      </c>
      <c r="I1310">
        <v>26</v>
      </c>
      <c r="J1310">
        <v>65</v>
      </c>
      <c r="K1310">
        <v>39</v>
      </c>
      <c r="L1310">
        <v>1.5</v>
      </c>
      <c r="M1310" t="s">
        <v>3374</v>
      </c>
      <c r="N1310">
        <v>1310</v>
      </c>
    </row>
    <row r="1311" spans="1:14" x14ac:dyDescent="0.25">
      <c r="A1311" t="s">
        <v>3079</v>
      </c>
      <c r="B1311">
        <v>1307</v>
      </c>
      <c r="C1311">
        <v>2307</v>
      </c>
      <c r="D1311" s="1" t="s">
        <v>1487</v>
      </c>
      <c r="E1311" t="s">
        <v>1485</v>
      </c>
      <c r="G1311" t="s">
        <v>24</v>
      </c>
      <c r="I1311">
        <v>71.5</v>
      </c>
      <c r="J1311">
        <v>125</v>
      </c>
      <c r="K1311">
        <v>53.5</v>
      </c>
      <c r="L1311">
        <v>0.74829999999999997</v>
      </c>
      <c r="M1311" t="s">
        <v>3374</v>
      </c>
      <c r="N1311">
        <v>1311</v>
      </c>
    </row>
    <row r="1312" spans="1:14" x14ac:dyDescent="0.25">
      <c r="A1312" t="s">
        <v>3080</v>
      </c>
      <c r="B1312">
        <v>1308</v>
      </c>
      <c r="C1312">
        <v>2308</v>
      </c>
      <c r="D1312" s="1" t="s">
        <v>1488</v>
      </c>
      <c r="E1312" t="s">
        <v>1485</v>
      </c>
      <c r="G1312" t="s">
        <v>24</v>
      </c>
      <c r="I1312">
        <v>26</v>
      </c>
      <c r="J1312">
        <v>65</v>
      </c>
      <c r="K1312">
        <v>39</v>
      </c>
      <c r="L1312">
        <v>1.5</v>
      </c>
      <c r="M1312" t="s">
        <v>3374</v>
      </c>
      <c r="N1312">
        <v>1312</v>
      </c>
    </row>
    <row r="1313" spans="1:14" x14ac:dyDescent="0.25">
      <c r="A1313" t="s">
        <v>3081</v>
      </c>
      <c r="B1313">
        <v>1309</v>
      </c>
      <c r="C1313">
        <v>2309</v>
      </c>
      <c r="D1313" s="1" t="s">
        <v>1489</v>
      </c>
      <c r="E1313" t="s">
        <v>1485</v>
      </c>
      <c r="G1313" t="s">
        <v>24</v>
      </c>
      <c r="I1313">
        <v>71.5</v>
      </c>
      <c r="J1313">
        <v>125</v>
      </c>
      <c r="K1313">
        <v>53.5</v>
      </c>
      <c r="L1313">
        <v>0.74829999999999997</v>
      </c>
      <c r="M1313" t="s">
        <v>3374</v>
      </c>
      <c r="N1313">
        <v>1313</v>
      </c>
    </row>
    <row r="1314" spans="1:14" x14ac:dyDescent="0.25">
      <c r="A1314" t="s">
        <v>3082</v>
      </c>
      <c r="B1314">
        <v>1310</v>
      </c>
      <c r="C1314">
        <v>2310</v>
      </c>
      <c r="D1314" s="1" t="s">
        <v>1490</v>
      </c>
      <c r="G1314" t="s">
        <v>24</v>
      </c>
      <c r="I1314">
        <v>255</v>
      </c>
      <c r="J1314">
        <v>270</v>
      </c>
      <c r="K1314">
        <v>15</v>
      </c>
      <c r="L1314">
        <v>5.8799999999999998E-2</v>
      </c>
      <c r="M1314" t="s">
        <v>3374</v>
      </c>
      <c r="N1314">
        <v>1314</v>
      </c>
    </row>
    <row r="1315" spans="1:14" x14ac:dyDescent="0.25">
      <c r="A1315" t="s">
        <v>3083</v>
      </c>
      <c r="B1315">
        <v>1311</v>
      </c>
      <c r="C1315">
        <v>2311</v>
      </c>
      <c r="D1315" s="1" t="s">
        <v>1491</v>
      </c>
      <c r="G1315" t="s">
        <v>176</v>
      </c>
      <c r="I1315">
        <v>1680</v>
      </c>
      <c r="J1315">
        <v>1980</v>
      </c>
      <c r="K1315">
        <v>300</v>
      </c>
      <c r="L1315">
        <v>0.17860000000000001</v>
      </c>
      <c r="M1315" t="s">
        <v>3374</v>
      </c>
      <c r="N1315">
        <v>1315</v>
      </c>
    </row>
    <row r="1316" spans="1:14" x14ac:dyDescent="0.25">
      <c r="A1316" t="s">
        <v>3084</v>
      </c>
      <c r="B1316">
        <v>1312</v>
      </c>
      <c r="C1316">
        <v>2312</v>
      </c>
      <c r="D1316" s="1" t="s">
        <v>1492</v>
      </c>
      <c r="G1316" t="s">
        <v>176</v>
      </c>
      <c r="I1316">
        <v>1430</v>
      </c>
      <c r="J1316">
        <v>1730</v>
      </c>
      <c r="K1316">
        <v>300</v>
      </c>
      <c r="L1316">
        <v>0.20979999999999999</v>
      </c>
      <c r="M1316" t="s">
        <v>3374</v>
      </c>
      <c r="N1316">
        <v>1316</v>
      </c>
    </row>
    <row r="1317" spans="1:14" x14ac:dyDescent="0.25">
      <c r="A1317" t="s">
        <v>3085</v>
      </c>
      <c r="B1317">
        <v>1313</v>
      </c>
      <c r="C1317">
        <v>2313</v>
      </c>
      <c r="D1317" s="1" t="s">
        <v>1493</v>
      </c>
      <c r="G1317" t="s">
        <v>608</v>
      </c>
      <c r="I1317">
        <v>1350</v>
      </c>
      <c r="J1317">
        <v>1650</v>
      </c>
      <c r="K1317">
        <v>300</v>
      </c>
      <c r="L1317">
        <v>0.22220000000000001</v>
      </c>
      <c r="M1317" t="s">
        <v>3375</v>
      </c>
      <c r="N1317">
        <v>1317</v>
      </c>
    </row>
    <row r="1318" spans="1:14" x14ac:dyDescent="0.25">
      <c r="A1318" t="s">
        <v>3086</v>
      </c>
      <c r="B1318">
        <v>1314</v>
      </c>
      <c r="C1318">
        <v>2314</v>
      </c>
      <c r="D1318" s="1" t="s">
        <v>1494</v>
      </c>
      <c r="G1318" t="s">
        <v>176</v>
      </c>
      <c r="I1318">
        <v>1450</v>
      </c>
      <c r="J1318">
        <v>1600</v>
      </c>
      <c r="K1318">
        <v>150</v>
      </c>
      <c r="L1318">
        <v>0.10340000000000001</v>
      </c>
      <c r="M1318" t="s">
        <v>3375</v>
      </c>
      <c r="N1318">
        <v>1318</v>
      </c>
    </row>
    <row r="1319" spans="1:14" x14ac:dyDescent="0.25">
      <c r="A1319" t="s">
        <v>3087</v>
      </c>
      <c r="B1319">
        <v>1315</v>
      </c>
      <c r="C1319">
        <v>2315</v>
      </c>
      <c r="D1319" s="1" t="s">
        <v>1495</v>
      </c>
      <c r="G1319" t="s">
        <v>24</v>
      </c>
      <c r="I1319">
        <v>35</v>
      </c>
      <c r="J1319">
        <v>55</v>
      </c>
      <c r="K1319">
        <v>20</v>
      </c>
      <c r="L1319">
        <v>0.57140000000000002</v>
      </c>
      <c r="M1319" t="s">
        <v>3375</v>
      </c>
      <c r="N1319">
        <v>1319</v>
      </c>
    </row>
    <row r="1320" spans="1:14" x14ac:dyDescent="0.25">
      <c r="A1320" t="s">
        <v>3088</v>
      </c>
      <c r="B1320">
        <v>1316</v>
      </c>
      <c r="C1320">
        <v>2316</v>
      </c>
      <c r="D1320" s="1" t="s">
        <v>1496</v>
      </c>
      <c r="G1320" t="s">
        <v>24</v>
      </c>
      <c r="I1320">
        <v>650</v>
      </c>
      <c r="J1320">
        <v>725</v>
      </c>
      <c r="K1320">
        <v>75</v>
      </c>
      <c r="L1320">
        <v>0.1154</v>
      </c>
      <c r="M1320" t="s">
        <v>3375</v>
      </c>
      <c r="N1320">
        <v>1320</v>
      </c>
    </row>
    <row r="1321" spans="1:14" x14ac:dyDescent="0.25">
      <c r="A1321" t="s">
        <v>3089</v>
      </c>
      <c r="B1321">
        <v>1317</v>
      </c>
      <c r="C1321">
        <v>2317</v>
      </c>
      <c r="D1321" s="1" t="s">
        <v>1497</v>
      </c>
      <c r="E1321" t="s">
        <v>1498</v>
      </c>
      <c r="G1321" t="s">
        <v>24</v>
      </c>
      <c r="I1321">
        <v>37.090000000000003</v>
      </c>
      <c r="J1321">
        <v>75</v>
      </c>
      <c r="K1321">
        <v>37.909999999999997</v>
      </c>
      <c r="L1321">
        <v>1.0221</v>
      </c>
      <c r="M1321" t="s">
        <v>3375</v>
      </c>
      <c r="N1321">
        <v>1321</v>
      </c>
    </row>
    <row r="1322" spans="1:14" x14ac:dyDescent="0.25">
      <c r="A1322" t="s">
        <v>3090</v>
      </c>
      <c r="B1322">
        <v>1318</v>
      </c>
      <c r="C1322">
        <v>2318</v>
      </c>
      <c r="D1322" s="1" t="s">
        <v>1499</v>
      </c>
      <c r="E1322" t="s">
        <v>1498</v>
      </c>
      <c r="G1322" t="s">
        <v>24</v>
      </c>
      <c r="I1322">
        <v>29.59</v>
      </c>
      <c r="J1322">
        <v>65</v>
      </c>
      <c r="K1322">
        <v>35.409999999999997</v>
      </c>
      <c r="L1322">
        <v>1.1967000000000001</v>
      </c>
      <c r="M1322" t="s">
        <v>3375</v>
      </c>
      <c r="N1322">
        <v>1322</v>
      </c>
    </row>
    <row r="1323" spans="1:14" x14ac:dyDescent="0.25">
      <c r="A1323" t="s">
        <v>3091</v>
      </c>
      <c r="B1323">
        <v>1319</v>
      </c>
      <c r="C1323">
        <v>2319</v>
      </c>
      <c r="D1323" s="1" t="s">
        <v>1500</v>
      </c>
      <c r="E1323" t="s">
        <v>1498</v>
      </c>
      <c r="G1323" t="s">
        <v>24</v>
      </c>
      <c r="I1323">
        <v>68.63</v>
      </c>
      <c r="J1323">
        <v>95</v>
      </c>
      <c r="K1323">
        <v>26.37</v>
      </c>
      <c r="L1323">
        <v>0.38419999999999999</v>
      </c>
      <c r="M1323" t="s">
        <v>3375</v>
      </c>
      <c r="N1323">
        <v>1323</v>
      </c>
    </row>
    <row r="1324" spans="1:14" x14ac:dyDescent="0.25">
      <c r="A1324" t="s">
        <v>3092</v>
      </c>
      <c r="B1324">
        <v>1320</v>
      </c>
      <c r="C1324">
        <v>2320</v>
      </c>
      <c r="D1324" s="1" t="s">
        <v>1501</v>
      </c>
      <c r="E1324" t="s">
        <v>1498</v>
      </c>
      <c r="G1324" t="s">
        <v>24</v>
      </c>
      <c r="I1324">
        <v>50.38</v>
      </c>
      <c r="J1324">
        <v>80</v>
      </c>
      <c r="K1324">
        <v>29.62</v>
      </c>
      <c r="L1324">
        <v>0.58789999999999998</v>
      </c>
      <c r="M1324" t="s">
        <v>3375</v>
      </c>
      <c r="N1324">
        <v>1324</v>
      </c>
    </row>
    <row r="1325" spans="1:14" x14ac:dyDescent="0.25">
      <c r="A1325" t="s">
        <v>3093</v>
      </c>
      <c r="B1325">
        <v>1321</v>
      </c>
      <c r="C1325">
        <v>2321</v>
      </c>
      <c r="D1325" s="1" t="s">
        <v>1502</v>
      </c>
      <c r="E1325" t="s">
        <v>1498</v>
      </c>
      <c r="G1325" t="s">
        <v>24</v>
      </c>
      <c r="I1325">
        <v>107.13</v>
      </c>
      <c r="J1325">
        <v>130</v>
      </c>
      <c r="K1325">
        <v>22.87</v>
      </c>
      <c r="L1325">
        <v>0.2135</v>
      </c>
      <c r="M1325" t="s">
        <v>3375</v>
      </c>
      <c r="N1325">
        <v>1325</v>
      </c>
    </row>
    <row r="1326" spans="1:14" x14ac:dyDescent="0.25">
      <c r="A1326" t="s">
        <v>3094</v>
      </c>
      <c r="B1326">
        <v>1322</v>
      </c>
      <c r="C1326">
        <v>2322</v>
      </c>
      <c r="D1326" s="1" t="s">
        <v>1503</v>
      </c>
      <c r="E1326" t="s">
        <v>1498</v>
      </c>
      <c r="G1326" t="s">
        <v>24</v>
      </c>
      <c r="I1326">
        <v>82.66</v>
      </c>
      <c r="J1326">
        <v>112</v>
      </c>
      <c r="K1326">
        <v>29.34</v>
      </c>
      <c r="L1326">
        <v>0.35489999999999999</v>
      </c>
      <c r="M1326" t="s">
        <v>3375</v>
      </c>
      <c r="N1326">
        <v>1326</v>
      </c>
    </row>
    <row r="1327" spans="1:14" x14ac:dyDescent="0.25">
      <c r="A1327" t="s">
        <v>3095</v>
      </c>
      <c r="B1327">
        <v>1323</v>
      </c>
      <c r="C1327">
        <v>2323</v>
      </c>
      <c r="D1327" s="1" t="s">
        <v>1504</v>
      </c>
      <c r="E1327" t="s">
        <v>1498</v>
      </c>
      <c r="G1327" t="s">
        <v>24</v>
      </c>
      <c r="I1327">
        <v>36.57</v>
      </c>
      <c r="J1327">
        <v>65</v>
      </c>
      <c r="K1327">
        <v>28.43</v>
      </c>
      <c r="L1327">
        <v>0.77739999999999998</v>
      </c>
      <c r="M1327" t="s">
        <v>3375</v>
      </c>
      <c r="N1327">
        <v>1327</v>
      </c>
    </row>
    <row r="1328" spans="1:14" x14ac:dyDescent="0.25">
      <c r="A1328" t="s">
        <v>3096</v>
      </c>
      <c r="B1328">
        <v>1324</v>
      </c>
      <c r="C1328">
        <v>2324</v>
      </c>
      <c r="D1328" s="1" t="s">
        <v>1505</v>
      </c>
      <c r="E1328" t="s">
        <v>1498</v>
      </c>
      <c r="G1328" t="s">
        <v>24</v>
      </c>
      <c r="I1328">
        <v>17.39</v>
      </c>
      <c r="J1328">
        <v>45</v>
      </c>
      <c r="K1328">
        <v>27.61</v>
      </c>
      <c r="L1328">
        <v>1.5876999999999999</v>
      </c>
      <c r="M1328" t="s">
        <v>3375</v>
      </c>
      <c r="N1328">
        <v>1328</v>
      </c>
    </row>
    <row r="1329" spans="1:14" x14ac:dyDescent="0.25">
      <c r="A1329" t="s">
        <v>3097</v>
      </c>
      <c r="B1329">
        <v>1325</v>
      </c>
      <c r="C1329">
        <v>2325</v>
      </c>
      <c r="D1329" s="1" t="s">
        <v>1506</v>
      </c>
      <c r="E1329" t="s">
        <v>1498</v>
      </c>
      <c r="G1329" t="s">
        <v>24</v>
      </c>
      <c r="I1329">
        <v>69.56</v>
      </c>
      <c r="J1329">
        <v>100</v>
      </c>
      <c r="K1329">
        <v>30.44</v>
      </c>
      <c r="L1329">
        <v>0.43759999999999999</v>
      </c>
      <c r="M1329" t="s">
        <v>3375</v>
      </c>
      <c r="N1329">
        <v>1329</v>
      </c>
    </row>
    <row r="1330" spans="1:14" x14ac:dyDescent="0.25">
      <c r="A1330" t="s">
        <v>3098</v>
      </c>
      <c r="B1330">
        <v>1326</v>
      </c>
      <c r="C1330">
        <v>2326</v>
      </c>
      <c r="D1330" s="1" t="s">
        <v>1507</v>
      </c>
      <c r="E1330" t="s">
        <v>1498</v>
      </c>
      <c r="G1330" t="s">
        <v>24</v>
      </c>
      <c r="I1330">
        <v>261.37</v>
      </c>
      <c r="J1330">
        <v>295</v>
      </c>
      <c r="K1330">
        <v>33.630000000000003</v>
      </c>
      <c r="L1330">
        <v>0.12870000000000001</v>
      </c>
      <c r="M1330" t="s">
        <v>3375</v>
      </c>
      <c r="N1330">
        <v>1330</v>
      </c>
    </row>
    <row r="1331" spans="1:14" x14ac:dyDescent="0.25">
      <c r="A1331" t="s">
        <v>3099</v>
      </c>
      <c r="B1331">
        <v>1327</v>
      </c>
      <c r="C1331">
        <v>2327</v>
      </c>
      <c r="D1331" s="1" t="s">
        <v>1508</v>
      </c>
      <c r="E1331" t="s">
        <v>1498</v>
      </c>
      <c r="G1331" t="s">
        <v>24</v>
      </c>
      <c r="I1331">
        <v>45.26</v>
      </c>
      <c r="J1331">
        <v>75</v>
      </c>
      <c r="K1331">
        <v>29.74</v>
      </c>
      <c r="L1331">
        <v>0.65710000000000002</v>
      </c>
      <c r="M1331" t="s">
        <v>3375</v>
      </c>
      <c r="N1331">
        <v>1331</v>
      </c>
    </row>
    <row r="1332" spans="1:14" x14ac:dyDescent="0.25">
      <c r="A1332" t="s">
        <v>3100</v>
      </c>
      <c r="B1332">
        <v>1328</v>
      </c>
      <c r="C1332">
        <v>2328</v>
      </c>
      <c r="D1332" s="1" t="s">
        <v>1509</v>
      </c>
      <c r="E1332" t="s">
        <v>1498</v>
      </c>
      <c r="G1332" t="s">
        <v>24</v>
      </c>
      <c r="I1332">
        <v>107.79</v>
      </c>
      <c r="J1332">
        <v>137</v>
      </c>
      <c r="K1332">
        <v>29.21</v>
      </c>
      <c r="L1332">
        <v>0.27100000000000002</v>
      </c>
      <c r="M1332" t="s">
        <v>3375</v>
      </c>
      <c r="N1332">
        <v>1332</v>
      </c>
    </row>
    <row r="1333" spans="1:14" x14ac:dyDescent="0.25">
      <c r="A1333" t="s">
        <v>3101</v>
      </c>
      <c r="B1333">
        <v>1329</v>
      </c>
      <c r="C1333">
        <v>2329</v>
      </c>
      <c r="D1333" s="1" t="s">
        <v>1510</v>
      </c>
      <c r="E1333" t="s">
        <v>1498</v>
      </c>
      <c r="G1333" t="s">
        <v>24</v>
      </c>
      <c r="I1333">
        <v>145.77000000000001</v>
      </c>
      <c r="J1333">
        <v>175</v>
      </c>
      <c r="K1333">
        <v>29.23</v>
      </c>
      <c r="L1333">
        <v>0.20050000000000001</v>
      </c>
      <c r="M1333" t="s">
        <v>3375</v>
      </c>
      <c r="N1333">
        <v>1333</v>
      </c>
    </row>
    <row r="1334" spans="1:14" x14ac:dyDescent="0.25">
      <c r="A1334" t="s">
        <v>3102</v>
      </c>
      <c r="B1334">
        <v>1330</v>
      </c>
      <c r="C1334">
        <v>2330</v>
      </c>
      <c r="D1334" s="1" t="s">
        <v>1511</v>
      </c>
      <c r="E1334" t="s">
        <v>1498</v>
      </c>
      <c r="G1334" t="s">
        <v>24</v>
      </c>
      <c r="I1334">
        <v>27</v>
      </c>
      <c r="J1334">
        <v>60</v>
      </c>
      <c r="K1334">
        <v>33</v>
      </c>
      <c r="L1334">
        <v>1.2222</v>
      </c>
      <c r="M1334" t="s">
        <v>3375</v>
      </c>
      <c r="N1334">
        <v>1334</v>
      </c>
    </row>
    <row r="1335" spans="1:14" x14ac:dyDescent="0.25">
      <c r="A1335" t="s">
        <v>3103</v>
      </c>
      <c r="B1335">
        <v>1331</v>
      </c>
      <c r="C1335">
        <v>2331</v>
      </c>
      <c r="D1335" s="1" t="s">
        <v>1512</v>
      </c>
      <c r="E1335" t="s">
        <v>1513</v>
      </c>
      <c r="G1335" t="s">
        <v>24</v>
      </c>
      <c r="I1335">
        <v>460</v>
      </c>
      <c r="J1335">
        <v>560</v>
      </c>
      <c r="K1335">
        <v>100</v>
      </c>
      <c r="L1335">
        <v>0.21740000000000001</v>
      </c>
      <c r="M1335" t="s">
        <v>3375</v>
      </c>
      <c r="N1335">
        <v>1335</v>
      </c>
    </row>
    <row r="1336" spans="1:14" x14ac:dyDescent="0.25">
      <c r="A1336" t="s">
        <v>3104</v>
      </c>
      <c r="B1336">
        <v>1332</v>
      </c>
      <c r="C1336">
        <v>2332</v>
      </c>
      <c r="D1336" s="1" t="s">
        <v>1514</v>
      </c>
      <c r="G1336" t="s">
        <v>24</v>
      </c>
      <c r="I1336">
        <v>63</v>
      </c>
      <c r="J1336">
        <v>85</v>
      </c>
      <c r="K1336">
        <v>22</v>
      </c>
      <c r="L1336">
        <v>0.34920000000000001</v>
      </c>
      <c r="M1336" t="s">
        <v>3375</v>
      </c>
      <c r="N1336">
        <v>1336</v>
      </c>
    </row>
    <row r="1337" spans="1:14" x14ac:dyDescent="0.25">
      <c r="A1337" t="s">
        <v>3105</v>
      </c>
      <c r="B1337">
        <v>1333</v>
      </c>
      <c r="C1337">
        <v>2333</v>
      </c>
      <c r="D1337" s="1" t="s">
        <v>1515</v>
      </c>
      <c r="G1337" t="s">
        <v>24</v>
      </c>
      <c r="I1337">
        <v>39</v>
      </c>
      <c r="J1337">
        <v>75</v>
      </c>
      <c r="K1337">
        <v>36</v>
      </c>
      <c r="L1337">
        <v>0.92310000000000003</v>
      </c>
      <c r="M1337" t="s">
        <v>3375</v>
      </c>
      <c r="N1337">
        <v>1337</v>
      </c>
    </row>
    <row r="1338" spans="1:14" x14ac:dyDescent="0.25">
      <c r="A1338" t="s">
        <v>3106</v>
      </c>
      <c r="B1338">
        <v>1334</v>
      </c>
      <c r="C1338">
        <v>2334</v>
      </c>
      <c r="D1338" s="1" t="s">
        <v>1516</v>
      </c>
      <c r="G1338" t="s">
        <v>24</v>
      </c>
      <c r="I1338">
        <v>736.5</v>
      </c>
      <c r="J1338">
        <v>846</v>
      </c>
      <c r="K1338">
        <v>109.5</v>
      </c>
      <c r="L1338">
        <v>0.1487</v>
      </c>
      <c r="M1338" t="s">
        <v>3375</v>
      </c>
      <c r="N1338">
        <v>1338</v>
      </c>
    </row>
    <row r="1339" spans="1:14" x14ac:dyDescent="0.25">
      <c r="A1339" t="s">
        <v>3107</v>
      </c>
      <c r="B1339">
        <v>1335</v>
      </c>
      <c r="C1339">
        <v>2335</v>
      </c>
      <c r="D1339" s="1" t="s">
        <v>1517</v>
      </c>
      <c r="G1339" t="s">
        <v>24</v>
      </c>
      <c r="I1339">
        <v>386.25</v>
      </c>
      <c r="J1339">
        <v>536.25</v>
      </c>
      <c r="K1339">
        <v>150</v>
      </c>
      <c r="L1339">
        <v>0.38829999999999998</v>
      </c>
      <c r="M1339" t="s">
        <v>3375</v>
      </c>
      <c r="N1339">
        <v>1339</v>
      </c>
    </row>
    <row r="1340" spans="1:14" x14ac:dyDescent="0.25">
      <c r="A1340" t="s">
        <v>3108</v>
      </c>
      <c r="B1340">
        <v>1336</v>
      </c>
      <c r="C1340">
        <v>2336</v>
      </c>
      <c r="D1340" s="1" t="s">
        <v>1518</v>
      </c>
      <c r="G1340" t="s">
        <v>93</v>
      </c>
      <c r="I1340">
        <v>2080</v>
      </c>
      <c r="J1340">
        <v>2680</v>
      </c>
      <c r="K1340">
        <v>600</v>
      </c>
      <c r="L1340">
        <v>0.28849999999999998</v>
      </c>
      <c r="M1340" t="s">
        <v>3375</v>
      </c>
      <c r="N1340">
        <v>1340</v>
      </c>
    </row>
    <row r="1341" spans="1:14" x14ac:dyDescent="0.25">
      <c r="A1341" t="s">
        <v>3109</v>
      </c>
      <c r="B1341">
        <v>1337</v>
      </c>
      <c r="C1341">
        <v>2337</v>
      </c>
      <c r="D1341" s="1" t="s">
        <v>1519</v>
      </c>
      <c r="G1341" t="s">
        <v>24</v>
      </c>
      <c r="I1341">
        <v>386.25</v>
      </c>
      <c r="J1341">
        <v>488</v>
      </c>
      <c r="K1341">
        <v>101.75</v>
      </c>
      <c r="L1341">
        <v>0.26340000000000002</v>
      </c>
      <c r="M1341" t="s">
        <v>3375</v>
      </c>
      <c r="N1341">
        <v>1341</v>
      </c>
    </row>
    <row r="1342" spans="1:14" x14ac:dyDescent="0.25">
      <c r="A1342" t="s">
        <v>3110</v>
      </c>
      <c r="B1342">
        <v>1338</v>
      </c>
      <c r="C1342">
        <v>2338</v>
      </c>
      <c r="D1342" s="1" t="s">
        <v>1520</v>
      </c>
      <c r="G1342" t="s">
        <v>24</v>
      </c>
      <c r="I1342">
        <v>141</v>
      </c>
      <c r="J1342">
        <v>245</v>
      </c>
      <c r="K1342">
        <v>104</v>
      </c>
      <c r="L1342">
        <v>0.73760000000000003</v>
      </c>
      <c r="M1342" t="s">
        <v>3375</v>
      </c>
      <c r="N1342">
        <v>1342</v>
      </c>
    </row>
    <row r="1343" spans="1:14" x14ac:dyDescent="0.25">
      <c r="A1343" t="s">
        <v>3111</v>
      </c>
      <c r="B1343">
        <v>1339</v>
      </c>
      <c r="C1343">
        <v>2339</v>
      </c>
      <c r="D1343" s="1" t="s">
        <v>1521</v>
      </c>
      <c r="G1343" t="s">
        <v>24</v>
      </c>
      <c r="I1343">
        <v>78</v>
      </c>
      <c r="J1343">
        <v>98</v>
      </c>
      <c r="K1343">
        <v>20</v>
      </c>
      <c r="L1343">
        <v>0.25640000000000002</v>
      </c>
      <c r="M1343" t="s">
        <v>3375</v>
      </c>
      <c r="N1343">
        <v>1343</v>
      </c>
    </row>
    <row r="1344" spans="1:14" x14ac:dyDescent="0.25">
      <c r="A1344" t="s">
        <v>3112</v>
      </c>
      <c r="B1344">
        <v>1340</v>
      </c>
      <c r="C1344">
        <v>2340</v>
      </c>
      <c r="D1344" s="1" t="s">
        <v>1522</v>
      </c>
      <c r="G1344" t="s">
        <v>24</v>
      </c>
      <c r="I1344">
        <v>190</v>
      </c>
      <c r="J1344">
        <v>250</v>
      </c>
      <c r="K1344">
        <v>60</v>
      </c>
      <c r="L1344">
        <v>0.31580000000000003</v>
      </c>
      <c r="M1344" t="s">
        <v>3375</v>
      </c>
      <c r="N1344">
        <v>1344</v>
      </c>
    </row>
    <row r="1345" spans="1:14" x14ac:dyDescent="0.25">
      <c r="A1345" t="s">
        <v>3113</v>
      </c>
      <c r="B1345">
        <v>1341</v>
      </c>
      <c r="C1345">
        <v>2341</v>
      </c>
      <c r="D1345" s="1" t="s">
        <v>1523</v>
      </c>
      <c r="G1345" t="s">
        <v>24</v>
      </c>
      <c r="I1345">
        <v>9</v>
      </c>
      <c r="J1345">
        <v>13</v>
      </c>
      <c r="K1345">
        <v>4</v>
      </c>
      <c r="L1345">
        <v>0.44440000000000002</v>
      </c>
      <c r="M1345" t="s">
        <v>3375</v>
      </c>
      <c r="N1345">
        <v>1345</v>
      </c>
    </row>
    <row r="1346" spans="1:14" x14ac:dyDescent="0.25">
      <c r="A1346" t="s">
        <v>3114</v>
      </c>
      <c r="B1346">
        <v>1342</v>
      </c>
      <c r="C1346">
        <v>2342</v>
      </c>
      <c r="D1346" s="1" t="s">
        <v>1524</v>
      </c>
      <c r="G1346" t="s">
        <v>24</v>
      </c>
      <c r="I1346">
        <v>0.36</v>
      </c>
      <c r="J1346">
        <v>1</v>
      </c>
      <c r="K1346">
        <v>0.64</v>
      </c>
      <c r="L1346">
        <v>1.7778</v>
      </c>
      <c r="M1346" t="s">
        <v>3375</v>
      </c>
      <c r="N1346">
        <v>1346</v>
      </c>
    </row>
    <row r="1347" spans="1:14" x14ac:dyDescent="0.25">
      <c r="A1347" t="s">
        <v>3115</v>
      </c>
      <c r="B1347">
        <v>1343</v>
      </c>
      <c r="C1347">
        <v>2343</v>
      </c>
      <c r="D1347" s="1" t="s">
        <v>1525</v>
      </c>
      <c r="G1347" t="s">
        <v>24</v>
      </c>
      <c r="I1347">
        <v>21</v>
      </c>
      <c r="J1347">
        <v>45</v>
      </c>
      <c r="K1347">
        <v>24</v>
      </c>
      <c r="L1347">
        <v>1.1429</v>
      </c>
      <c r="M1347" t="s">
        <v>3375</v>
      </c>
      <c r="N1347">
        <v>1347</v>
      </c>
    </row>
    <row r="1348" spans="1:14" x14ac:dyDescent="0.25">
      <c r="A1348" t="s">
        <v>3116</v>
      </c>
      <c r="B1348">
        <v>1344</v>
      </c>
      <c r="C1348">
        <v>2344</v>
      </c>
      <c r="D1348" s="1" t="s">
        <v>1526</v>
      </c>
      <c r="F1348" t="s">
        <v>837</v>
      </c>
      <c r="G1348" t="s">
        <v>24</v>
      </c>
      <c r="I1348">
        <v>88</v>
      </c>
      <c r="J1348">
        <v>120</v>
      </c>
      <c r="K1348">
        <v>32</v>
      </c>
      <c r="L1348">
        <v>0.36359999999999998</v>
      </c>
      <c r="M1348" t="s">
        <v>3375</v>
      </c>
      <c r="N1348">
        <v>1348</v>
      </c>
    </row>
    <row r="1349" spans="1:14" x14ac:dyDescent="0.25">
      <c r="A1349" t="s">
        <v>3117</v>
      </c>
      <c r="B1349">
        <v>1345</v>
      </c>
      <c r="C1349">
        <v>2345</v>
      </c>
      <c r="D1349" s="1" t="s">
        <v>1527</v>
      </c>
      <c r="G1349" t="s">
        <v>24</v>
      </c>
      <c r="I1349">
        <v>288</v>
      </c>
      <c r="J1349">
        <v>388</v>
      </c>
      <c r="K1349">
        <v>100</v>
      </c>
      <c r="L1349">
        <v>0.34720000000000001</v>
      </c>
      <c r="M1349" t="s">
        <v>3375</v>
      </c>
      <c r="N1349">
        <v>1349</v>
      </c>
    </row>
    <row r="1350" spans="1:14" x14ac:dyDescent="0.25">
      <c r="A1350" t="s">
        <v>3118</v>
      </c>
      <c r="B1350">
        <v>1346</v>
      </c>
      <c r="C1350">
        <v>2346</v>
      </c>
      <c r="D1350" s="1" t="s">
        <v>1528</v>
      </c>
      <c r="G1350" t="s">
        <v>176</v>
      </c>
      <c r="I1350">
        <v>5300</v>
      </c>
      <c r="J1350">
        <v>5800</v>
      </c>
      <c r="K1350">
        <v>500</v>
      </c>
      <c r="L1350">
        <v>9.4299999999999995E-2</v>
      </c>
      <c r="M1350" t="s">
        <v>3375</v>
      </c>
      <c r="N1350">
        <v>1350</v>
      </c>
    </row>
    <row r="1351" spans="1:14" x14ac:dyDescent="0.25">
      <c r="A1351" t="s">
        <v>3119</v>
      </c>
      <c r="B1351">
        <v>1347</v>
      </c>
      <c r="C1351">
        <v>2347</v>
      </c>
      <c r="D1351" s="1" t="s">
        <v>1529</v>
      </c>
      <c r="G1351" t="s">
        <v>24</v>
      </c>
      <c r="I1351">
        <v>30</v>
      </c>
      <c r="J1351">
        <v>45</v>
      </c>
      <c r="K1351">
        <v>15</v>
      </c>
      <c r="L1351">
        <v>0.5</v>
      </c>
      <c r="M1351" t="s">
        <v>3375</v>
      </c>
      <c r="N1351">
        <v>1351</v>
      </c>
    </row>
    <row r="1352" spans="1:14" x14ac:dyDescent="0.25">
      <c r="A1352" t="s">
        <v>3120</v>
      </c>
      <c r="B1352">
        <v>1348</v>
      </c>
      <c r="C1352">
        <v>2348</v>
      </c>
      <c r="D1352" s="1" t="s">
        <v>1530</v>
      </c>
      <c r="G1352" t="s">
        <v>24</v>
      </c>
      <c r="I1352">
        <v>288</v>
      </c>
      <c r="J1352">
        <v>388</v>
      </c>
      <c r="K1352">
        <v>100</v>
      </c>
      <c r="L1352">
        <v>0.34720000000000001</v>
      </c>
      <c r="M1352" t="s">
        <v>3375</v>
      </c>
      <c r="N1352">
        <v>1352</v>
      </c>
    </row>
    <row r="1353" spans="1:14" x14ac:dyDescent="0.25">
      <c r="A1353" t="s">
        <v>3121</v>
      </c>
      <c r="B1353">
        <v>1349</v>
      </c>
      <c r="C1353">
        <v>2349</v>
      </c>
      <c r="D1353" s="1" t="s">
        <v>1531</v>
      </c>
      <c r="E1353" t="s">
        <v>1532</v>
      </c>
      <c r="G1353" t="s">
        <v>24</v>
      </c>
      <c r="I1353">
        <v>48</v>
      </c>
      <c r="J1353">
        <v>80</v>
      </c>
      <c r="K1353">
        <v>32</v>
      </c>
      <c r="L1353">
        <v>0.66669999999999996</v>
      </c>
      <c r="M1353" t="s">
        <v>3375</v>
      </c>
      <c r="N1353">
        <v>1353</v>
      </c>
    </row>
    <row r="1354" spans="1:14" x14ac:dyDescent="0.25">
      <c r="A1354" t="s">
        <v>3122</v>
      </c>
      <c r="B1354">
        <v>1350</v>
      </c>
      <c r="C1354">
        <v>2350</v>
      </c>
      <c r="D1354" s="1" t="s">
        <v>1533</v>
      </c>
      <c r="E1354" t="s">
        <v>1532</v>
      </c>
      <c r="G1354" t="s">
        <v>24</v>
      </c>
      <c r="I1354">
        <v>41.8</v>
      </c>
      <c r="J1354">
        <v>70</v>
      </c>
      <c r="K1354">
        <v>28.2</v>
      </c>
      <c r="L1354">
        <v>0.67459999999999998</v>
      </c>
      <c r="M1354" t="s">
        <v>3375</v>
      </c>
      <c r="N1354">
        <v>1354</v>
      </c>
    </row>
    <row r="1355" spans="1:14" x14ac:dyDescent="0.25">
      <c r="A1355" t="s">
        <v>3123</v>
      </c>
      <c r="B1355">
        <v>1351</v>
      </c>
      <c r="C1355">
        <v>2351</v>
      </c>
      <c r="D1355" s="1" t="s">
        <v>1534</v>
      </c>
      <c r="E1355" t="s">
        <v>1532</v>
      </c>
      <c r="G1355" t="s">
        <v>24</v>
      </c>
      <c r="I1355">
        <v>80</v>
      </c>
      <c r="J1355">
        <v>110</v>
      </c>
      <c r="K1355">
        <v>30</v>
      </c>
      <c r="L1355">
        <v>0.375</v>
      </c>
      <c r="M1355" t="s">
        <v>3375</v>
      </c>
      <c r="N1355">
        <v>1355</v>
      </c>
    </row>
    <row r="1356" spans="1:14" x14ac:dyDescent="0.25">
      <c r="A1356" t="s">
        <v>3124</v>
      </c>
      <c r="B1356">
        <v>1352</v>
      </c>
      <c r="C1356">
        <v>2352</v>
      </c>
      <c r="D1356" s="1" t="s">
        <v>1535</v>
      </c>
      <c r="E1356" t="s">
        <v>1536</v>
      </c>
      <c r="G1356" t="s">
        <v>24</v>
      </c>
      <c r="I1356">
        <v>92</v>
      </c>
      <c r="J1356">
        <v>125</v>
      </c>
      <c r="K1356">
        <v>33</v>
      </c>
      <c r="L1356">
        <v>0.35870000000000002</v>
      </c>
      <c r="M1356" t="s">
        <v>3375</v>
      </c>
      <c r="N1356">
        <v>1356</v>
      </c>
    </row>
    <row r="1357" spans="1:14" x14ac:dyDescent="0.25">
      <c r="A1357" t="s">
        <v>3125</v>
      </c>
      <c r="B1357">
        <v>1353</v>
      </c>
      <c r="C1357">
        <v>2353</v>
      </c>
      <c r="D1357" s="1" t="s">
        <v>1537</v>
      </c>
      <c r="E1357" t="s">
        <v>683</v>
      </c>
      <c r="G1357" t="s">
        <v>24</v>
      </c>
      <c r="I1357">
        <v>53</v>
      </c>
      <c r="J1357">
        <v>85</v>
      </c>
      <c r="K1357">
        <v>32</v>
      </c>
      <c r="L1357">
        <v>0.6038</v>
      </c>
      <c r="M1357" t="s">
        <v>3375</v>
      </c>
      <c r="N1357">
        <v>1357</v>
      </c>
    </row>
    <row r="1358" spans="1:14" x14ac:dyDescent="0.25">
      <c r="A1358" t="s">
        <v>3126</v>
      </c>
      <c r="B1358">
        <v>1354</v>
      </c>
      <c r="C1358">
        <v>2354</v>
      </c>
      <c r="D1358" s="1" t="s">
        <v>1538</v>
      </c>
      <c r="E1358" t="s">
        <v>462</v>
      </c>
      <c r="G1358" t="s">
        <v>24</v>
      </c>
      <c r="I1358">
        <v>68</v>
      </c>
      <c r="J1358">
        <v>105</v>
      </c>
      <c r="K1358">
        <v>37</v>
      </c>
      <c r="L1358">
        <v>0.54410000000000003</v>
      </c>
      <c r="M1358" t="s">
        <v>3375</v>
      </c>
      <c r="N1358">
        <v>1358</v>
      </c>
    </row>
    <row r="1359" spans="1:14" x14ac:dyDescent="0.25">
      <c r="A1359" t="s">
        <v>3127</v>
      </c>
      <c r="B1359">
        <v>1355</v>
      </c>
      <c r="C1359">
        <v>2355</v>
      </c>
      <c r="D1359" s="1" t="s">
        <v>1539</v>
      </c>
      <c r="G1359" t="s">
        <v>24</v>
      </c>
      <c r="I1359">
        <v>8450</v>
      </c>
      <c r="J1359">
        <v>8950</v>
      </c>
      <c r="K1359">
        <v>500</v>
      </c>
      <c r="L1359">
        <v>5.9200000000000003E-2</v>
      </c>
      <c r="M1359" t="s">
        <v>3375</v>
      </c>
      <c r="N1359">
        <v>1359</v>
      </c>
    </row>
    <row r="1360" spans="1:14" x14ac:dyDescent="0.25">
      <c r="A1360" t="s">
        <v>3128</v>
      </c>
      <c r="B1360">
        <v>1356</v>
      </c>
      <c r="C1360">
        <v>2356</v>
      </c>
      <c r="D1360" s="1" t="s">
        <v>1540</v>
      </c>
      <c r="G1360" t="s">
        <v>24</v>
      </c>
      <c r="I1360">
        <v>67</v>
      </c>
      <c r="J1360">
        <v>120</v>
      </c>
      <c r="K1360">
        <v>53</v>
      </c>
      <c r="L1360">
        <v>0.79100000000000004</v>
      </c>
      <c r="M1360" t="s">
        <v>3375</v>
      </c>
      <c r="N1360">
        <v>1360</v>
      </c>
    </row>
    <row r="1361" spans="1:14" x14ac:dyDescent="0.25">
      <c r="A1361" t="s">
        <v>3129</v>
      </c>
      <c r="B1361">
        <v>1357</v>
      </c>
      <c r="C1361">
        <v>2357</v>
      </c>
      <c r="D1361" s="1" t="s">
        <v>1541</v>
      </c>
      <c r="G1361" t="s">
        <v>24</v>
      </c>
      <c r="I1361">
        <v>25</v>
      </c>
      <c r="J1361">
        <v>50</v>
      </c>
      <c r="K1361">
        <v>25</v>
      </c>
      <c r="L1361">
        <v>1</v>
      </c>
      <c r="M1361" t="s">
        <v>3375</v>
      </c>
      <c r="N1361">
        <v>1361</v>
      </c>
    </row>
    <row r="1362" spans="1:14" x14ac:dyDescent="0.25">
      <c r="A1362" t="s">
        <v>3130</v>
      </c>
      <c r="B1362">
        <v>1358</v>
      </c>
      <c r="C1362">
        <v>2358</v>
      </c>
      <c r="D1362" s="1" t="s">
        <v>1542</v>
      </c>
      <c r="G1362" t="s">
        <v>24</v>
      </c>
      <c r="I1362">
        <v>282</v>
      </c>
      <c r="J1362">
        <v>385</v>
      </c>
      <c r="K1362">
        <v>103</v>
      </c>
      <c r="L1362">
        <v>0.36520000000000002</v>
      </c>
      <c r="M1362" t="s">
        <v>3375</v>
      </c>
      <c r="N1362">
        <v>1362</v>
      </c>
    </row>
    <row r="1363" spans="1:14" x14ac:dyDescent="0.25">
      <c r="A1363" t="s">
        <v>3131</v>
      </c>
      <c r="B1363">
        <v>1359</v>
      </c>
      <c r="C1363">
        <v>2359</v>
      </c>
      <c r="D1363" s="1" t="s">
        <v>1543</v>
      </c>
      <c r="E1363" t="s">
        <v>1544</v>
      </c>
      <c r="G1363" t="s">
        <v>24</v>
      </c>
      <c r="I1363">
        <v>285</v>
      </c>
      <c r="J1363">
        <v>385</v>
      </c>
      <c r="K1363">
        <v>100</v>
      </c>
      <c r="L1363">
        <v>0.35089999999999999</v>
      </c>
      <c r="M1363" t="s">
        <v>3375</v>
      </c>
      <c r="N1363">
        <v>1363</v>
      </c>
    </row>
    <row r="1364" spans="1:14" x14ac:dyDescent="0.25">
      <c r="A1364" t="s">
        <v>3132</v>
      </c>
      <c r="B1364">
        <v>1360</v>
      </c>
      <c r="C1364">
        <v>2360</v>
      </c>
      <c r="D1364" s="1" t="s">
        <v>1545</v>
      </c>
      <c r="E1364" t="s">
        <v>1544</v>
      </c>
      <c r="G1364" t="s">
        <v>24</v>
      </c>
      <c r="I1364">
        <v>228</v>
      </c>
      <c r="J1364">
        <v>330</v>
      </c>
      <c r="K1364">
        <v>102</v>
      </c>
      <c r="L1364">
        <v>0.44740000000000002</v>
      </c>
      <c r="M1364" t="s">
        <v>3375</v>
      </c>
      <c r="N1364">
        <v>1364</v>
      </c>
    </row>
    <row r="1365" spans="1:14" x14ac:dyDescent="0.25">
      <c r="A1365" t="s">
        <v>3133</v>
      </c>
      <c r="B1365">
        <v>1361</v>
      </c>
      <c r="C1365">
        <v>2361</v>
      </c>
      <c r="D1365" s="1" t="s">
        <v>1546</v>
      </c>
      <c r="G1365" t="s">
        <v>24</v>
      </c>
      <c r="I1365">
        <v>14.78</v>
      </c>
      <c r="J1365">
        <v>65</v>
      </c>
      <c r="K1365">
        <v>50.22</v>
      </c>
      <c r="L1365">
        <v>3.3978000000000002</v>
      </c>
      <c r="M1365" t="s">
        <v>3375</v>
      </c>
      <c r="N1365">
        <v>1365</v>
      </c>
    </row>
    <row r="1366" spans="1:14" x14ac:dyDescent="0.25">
      <c r="A1366" t="s">
        <v>3134</v>
      </c>
      <c r="B1366">
        <v>1362</v>
      </c>
      <c r="C1366">
        <v>2362</v>
      </c>
      <c r="D1366" s="1" t="s">
        <v>1547</v>
      </c>
      <c r="G1366" t="s">
        <v>24</v>
      </c>
      <c r="I1366">
        <v>57.75</v>
      </c>
      <c r="J1366">
        <v>75</v>
      </c>
      <c r="K1366">
        <v>17.25</v>
      </c>
      <c r="L1366">
        <v>0.29870000000000002</v>
      </c>
      <c r="M1366" t="s">
        <v>3375</v>
      </c>
      <c r="N1366">
        <v>1366</v>
      </c>
    </row>
    <row r="1367" spans="1:14" x14ac:dyDescent="0.25">
      <c r="A1367" t="s">
        <v>3135</v>
      </c>
      <c r="B1367">
        <v>1363</v>
      </c>
      <c r="C1367">
        <v>2363</v>
      </c>
      <c r="D1367" s="1" t="s">
        <v>1548</v>
      </c>
      <c r="G1367" t="s">
        <v>24</v>
      </c>
      <c r="I1367">
        <v>150.4</v>
      </c>
      <c r="J1367">
        <v>195</v>
      </c>
      <c r="K1367">
        <v>44.6</v>
      </c>
      <c r="L1367">
        <v>0.29649999999999999</v>
      </c>
      <c r="M1367" t="s">
        <v>3375</v>
      </c>
      <c r="N1367">
        <v>1367</v>
      </c>
    </row>
    <row r="1368" spans="1:14" x14ac:dyDescent="0.25">
      <c r="A1368" t="s">
        <v>3136</v>
      </c>
      <c r="B1368">
        <v>1364</v>
      </c>
      <c r="C1368">
        <v>2364</v>
      </c>
      <c r="D1368" s="1" t="s">
        <v>1549</v>
      </c>
      <c r="G1368" t="s">
        <v>24</v>
      </c>
      <c r="I1368">
        <v>440.45</v>
      </c>
      <c r="J1368">
        <v>575</v>
      </c>
      <c r="K1368">
        <v>134.55000000000001</v>
      </c>
      <c r="L1368">
        <v>0.30549999999999999</v>
      </c>
      <c r="M1368" t="s">
        <v>3375</v>
      </c>
      <c r="N1368">
        <v>1368</v>
      </c>
    </row>
    <row r="1369" spans="1:14" x14ac:dyDescent="0.25">
      <c r="A1369" t="s">
        <v>3137</v>
      </c>
      <c r="B1369">
        <v>1365</v>
      </c>
      <c r="C1369">
        <v>2365</v>
      </c>
      <c r="D1369" s="1" t="s">
        <v>1550</v>
      </c>
      <c r="E1369" t="s">
        <v>1498</v>
      </c>
      <c r="G1369" t="s">
        <v>24</v>
      </c>
      <c r="I1369">
        <v>27.87</v>
      </c>
      <c r="J1369">
        <v>50</v>
      </c>
      <c r="K1369">
        <v>22.13</v>
      </c>
      <c r="L1369">
        <v>0.79400000000000004</v>
      </c>
      <c r="M1369" t="s">
        <v>3375</v>
      </c>
      <c r="N1369">
        <v>1369</v>
      </c>
    </row>
    <row r="1370" spans="1:14" x14ac:dyDescent="0.25">
      <c r="A1370" t="s">
        <v>3138</v>
      </c>
      <c r="B1370">
        <v>1366</v>
      </c>
      <c r="C1370">
        <v>2366</v>
      </c>
      <c r="D1370" s="1" t="s">
        <v>1551</v>
      </c>
      <c r="E1370" t="s">
        <v>1498</v>
      </c>
      <c r="G1370" t="s">
        <v>24</v>
      </c>
      <c r="I1370">
        <v>107.94</v>
      </c>
      <c r="J1370">
        <v>165</v>
      </c>
      <c r="K1370">
        <v>57.06</v>
      </c>
      <c r="L1370">
        <v>0.52859999999999996</v>
      </c>
      <c r="M1370" t="s">
        <v>3375</v>
      </c>
      <c r="N1370">
        <v>1370</v>
      </c>
    </row>
    <row r="1371" spans="1:14" x14ac:dyDescent="0.25">
      <c r="A1371" t="s">
        <v>3139</v>
      </c>
      <c r="B1371">
        <v>1367</v>
      </c>
      <c r="C1371">
        <v>2367</v>
      </c>
      <c r="D1371" s="1" t="s">
        <v>1552</v>
      </c>
      <c r="E1371" t="s">
        <v>1498</v>
      </c>
      <c r="G1371" t="s">
        <v>24</v>
      </c>
      <c r="I1371">
        <v>158.31</v>
      </c>
      <c r="J1371">
        <v>195</v>
      </c>
      <c r="K1371">
        <v>36.69</v>
      </c>
      <c r="L1371">
        <v>0.23180000000000001</v>
      </c>
      <c r="M1371" t="s">
        <v>3375</v>
      </c>
      <c r="N1371">
        <v>1371</v>
      </c>
    </row>
    <row r="1372" spans="1:14" x14ac:dyDescent="0.25">
      <c r="A1372" t="s">
        <v>3140</v>
      </c>
      <c r="B1372">
        <v>1368</v>
      </c>
      <c r="C1372">
        <v>2368</v>
      </c>
      <c r="D1372" s="1" t="s">
        <v>1553</v>
      </c>
      <c r="E1372" t="s">
        <v>1554</v>
      </c>
      <c r="G1372" t="s">
        <v>24</v>
      </c>
      <c r="I1372">
        <v>860</v>
      </c>
      <c r="J1372">
        <v>980</v>
      </c>
      <c r="K1372">
        <v>120</v>
      </c>
      <c r="L1372">
        <v>0.13950000000000001</v>
      </c>
      <c r="M1372" t="s">
        <v>3375</v>
      </c>
      <c r="N1372">
        <v>1372</v>
      </c>
    </row>
    <row r="1373" spans="1:14" x14ac:dyDescent="0.25">
      <c r="A1373" t="s">
        <v>3141</v>
      </c>
      <c r="B1373">
        <v>1369</v>
      </c>
      <c r="C1373">
        <v>2369</v>
      </c>
      <c r="D1373" s="1" t="s">
        <v>1555</v>
      </c>
      <c r="E1373" t="s">
        <v>1556</v>
      </c>
      <c r="G1373" t="s">
        <v>24</v>
      </c>
      <c r="I1373">
        <v>720</v>
      </c>
      <c r="J1373">
        <v>820</v>
      </c>
      <c r="K1373">
        <v>100</v>
      </c>
      <c r="L1373">
        <v>0.1389</v>
      </c>
      <c r="M1373" t="s">
        <v>3375</v>
      </c>
      <c r="N1373">
        <v>1373</v>
      </c>
    </row>
    <row r="1374" spans="1:14" x14ac:dyDescent="0.25">
      <c r="A1374" t="s">
        <v>3142</v>
      </c>
      <c r="B1374">
        <v>1370</v>
      </c>
      <c r="C1374">
        <v>2370</v>
      </c>
      <c r="D1374" s="1" t="s">
        <v>1557</v>
      </c>
      <c r="G1374" t="s">
        <v>24</v>
      </c>
      <c r="I1374">
        <v>850</v>
      </c>
      <c r="J1374">
        <v>930</v>
      </c>
      <c r="K1374">
        <v>80</v>
      </c>
      <c r="L1374">
        <v>9.4100000000000003E-2</v>
      </c>
      <c r="M1374" t="s">
        <v>3375</v>
      </c>
      <c r="N1374">
        <v>1374</v>
      </c>
    </row>
    <row r="1375" spans="1:14" x14ac:dyDescent="0.25">
      <c r="A1375" t="s">
        <v>3143</v>
      </c>
      <c r="B1375">
        <v>1371</v>
      </c>
      <c r="C1375">
        <v>2371</v>
      </c>
      <c r="D1375" s="1" t="s">
        <v>1558</v>
      </c>
      <c r="E1375" t="s">
        <v>1559</v>
      </c>
      <c r="G1375" t="s">
        <v>24</v>
      </c>
      <c r="I1375">
        <v>256</v>
      </c>
      <c r="J1375">
        <v>325</v>
      </c>
      <c r="K1375">
        <v>69</v>
      </c>
      <c r="L1375">
        <v>0.26950000000000002</v>
      </c>
      <c r="M1375" t="s">
        <v>3375</v>
      </c>
      <c r="N1375">
        <v>1375</v>
      </c>
    </row>
    <row r="1376" spans="1:14" x14ac:dyDescent="0.25">
      <c r="A1376" t="s">
        <v>3144</v>
      </c>
      <c r="B1376">
        <v>1372</v>
      </c>
      <c r="C1376">
        <v>2372</v>
      </c>
      <c r="D1376" s="1" t="s">
        <v>1560</v>
      </c>
      <c r="E1376" t="s">
        <v>1559</v>
      </c>
      <c r="G1376" t="s">
        <v>24</v>
      </c>
      <c r="I1376">
        <v>97.5</v>
      </c>
      <c r="J1376">
        <v>160</v>
      </c>
      <c r="K1376">
        <v>62.5</v>
      </c>
      <c r="L1376">
        <v>0.64100000000000001</v>
      </c>
      <c r="M1376" t="s">
        <v>3375</v>
      </c>
      <c r="N1376">
        <v>1376</v>
      </c>
    </row>
    <row r="1377" spans="1:14" x14ac:dyDescent="0.25">
      <c r="A1377" t="s">
        <v>3145</v>
      </c>
      <c r="B1377">
        <v>1373</v>
      </c>
      <c r="C1377">
        <v>2373</v>
      </c>
      <c r="D1377" s="1" t="s">
        <v>1561</v>
      </c>
      <c r="G1377" t="s">
        <v>24</v>
      </c>
      <c r="I1377">
        <v>93</v>
      </c>
      <c r="J1377">
        <v>148</v>
      </c>
      <c r="K1377">
        <v>55</v>
      </c>
      <c r="L1377">
        <v>0.59140000000000004</v>
      </c>
      <c r="M1377" t="s">
        <v>3375</v>
      </c>
      <c r="N1377">
        <v>1377</v>
      </c>
    </row>
    <row r="1378" spans="1:14" x14ac:dyDescent="0.25">
      <c r="A1378" t="s">
        <v>3146</v>
      </c>
      <c r="B1378">
        <v>1374</v>
      </c>
      <c r="C1378">
        <v>2374</v>
      </c>
      <c r="D1378" s="1" t="s">
        <v>1562</v>
      </c>
      <c r="G1378" t="s">
        <v>24</v>
      </c>
      <c r="I1378">
        <v>145</v>
      </c>
      <c r="J1378">
        <v>350</v>
      </c>
      <c r="K1378">
        <v>205</v>
      </c>
      <c r="L1378">
        <v>1.4137999999999999</v>
      </c>
      <c r="M1378" t="s">
        <v>3375</v>
      </c>
      <c r="N1378">
        <v>1378</v>
      </c>
    </row>
    <row r="1379" spans="1:14" x14ac:dyDescent="0.25">
      <c r="A1379" t="s">
        <v>3147</v>
      </c>
      <c r="B1379">
        <v>1375</v>
      </c>
      <c r="C1379">
        <v>2375</v>
      </c>
      <c r="D1379" s="1" t="s">
        <v>1563</v>
      </c>
      <c r="G1379" t="s">
        <v>24</v>
      </c>
      <c r="I1379">
        <v>85</v>
      </c>
      <c r="J1379">
        <v>105</v>
      </c>
      <c r="K1379">
        <v>20</v>
      </c>
      <c r="L1379">
        <v>0.23530000000000001</v>
      </c>
      <c r="M1379" t="s">
        <v>3375</v>
      </c>
      <c r="N1379">
        <v>1379</v>
      </c>
    </row>
    <row r="1380" spans="1:14" x14ac:dyDescent="0.25">
      <c r="A1380" t="s">
        <v>3148</v>
      </c>
      <c r="B1380">
        <v>1376</v>
      </c>
      <c r="C1380">
        <v>2376</v>
      </c>
      <c r="D1380" s="1" t="s">
        <v>1564</v>
      </c>
      <c r="G1380" t="s">
        <v>176</v>
      </c>
      <c r="I1380">
        <v>1500</v>
      </c>
      <c r="J1380">
        <v>1800</v>
      </c>
      <c r="K1380">
        <v>300</v>
      </c>
      <c r="L1380">
        <v>0.2</v>
      </c>
      <c r="M1380" t="s">
        <v>3375</v>
      </c>
      <c r="N1380">
        <v>1380</v>
      </c>
    </row>
    <row r="1381" spans="1:14" x14ac:dyDescent="0.25">
      <c r="A1381" t="s">
        <v>3149</v>
      </c>
      <c r="B1381">
        <v>1377</v>
      </c>
      <c r="C1381">
        <v>2377</v>
      </c>
      <c r="D1381" s="1" t="s">
        <v>1565</v>
      </c>
      <c r="G1381" t="s">
        <v>24</v>
      </c>
      <c r="I1381">
        <v>25</v>
      </c>
      <c r="J1381">
        <v>45</v>
      </c>
      <c r="K1381">
        <v>20</v>
      </c>
      <c r="L1381">
        <v>0.8</v>
      </c>
      <c r="M1381" t="s">
        <v>3375</v>
      </c>
      <c r="N1381">
        <v>1381</v>
      </c>
    </row>
    <row r="1382" spans="1:14" x14ac:dyDescent="0.25">
      <c r="A1382" t="s">
        <v>3150</v>
      </c>
      <c r="B1382">
        <v>1378</v>
      </c>
      <c r="C1382">
        <v>2378</v>
      </c>
      <c r="D1382" s="1" t="s">
        <v>1566</v>
      </c>
      <c r="E1382" t="s">
        <v>1567</v>
      </c>
      <c r="G1382" t="s">
        <v>24</v>
      </c>
      <c r="I1382">
        <v>223</v>
      </c>
      <c r="J1382">
        <v>273</v>
      </c>
      <c r="K1382">
        <v>50</v>
      </c>
      <c r="L1382">
        <v>0.22420000000000001</v>
      </c>
      <c r="M1382" t="s">
        <v>3375</v>
      </c>
      <c r="N1382">
        <v>1382</v>
      </c>
    </row>
    <row r="1383" spans="1:14" x14ac:dyDescent="0.25">
      <c r="A1383" t="s">
        <v>3151</v>
      </c>
      <c r="B1383">
        <v>1379</v>
      </c>
      <c r="C1383">
        <v>2379</v>
      </c>
      <c r="D1383" s="1" t="s">
        <v>1568</v>
      </c>
      <c r="E1383" t="s">
        <v>1567</v>
      </c>
      <c r="G1383" t="s">
        <v>24</v>
      </c>
      <c r="I1383">
        <v>636</v>
      </c>
      <c r="J1383">
        <v>686</v>
      </c>
      <c r="K1383">
        <v>50</v>
      </c>
      <c r="L1383">
        <v>7.8600000000000003E-2</v>
      </c>
      <c r="M1383" t="s">
        <v>3375</v>
      </c>
      <c r="N1383">
        <v>1383</v>
      </c>
    </row>
    <row r="1384" spans="1:14" x14ac:dyDescent="0.25">
      <c r="A1384" t="s">
        <v>3152</v>
      </c>
      <c r="B1384">
        <v>1380</v>
      </c>
      <c r="C1384">
        <v>2380</v>
      </c>
      <c r="D1384" s="1" t="s">
        <v>1569</v>
      </c>
      <c r="G1384" t="s">
        <v>24</v>
      </c>
      <c r="I1384">
        <v>977</v>
      </c>
      <c r="J1384">
        <v>1300</v>
      </c>
      <c r="K1384">
        <v>323</v>
      </c>
      <c r="L1384">
        <v>0.3306</v>
      </c>
      <c r="M1384" t="s">
        <v>3375</v>
      </c>
      <c r="N1384">
        <v>1384</v>
      </c>
    </row>
    <row r="1385" spans="1:14" x14ac:dyDescent="0.25">
      <c r="A1385" t="s">
        <v>3153</v>
      </c>
      <c r="B1385">
        <v>1381</v>
      </c>
      <c r="C1385">
        <v>2381</v>
      </c>
      <c r="D1385" s="1" t="s">
        <v>1570</v>
      </c>
      <c r="E1385" t="s">
        <v>481</v>
      </c>
      <c r="G1385" t="s">
        <v>24</v>
      </c>
      <c r="I1385">
        <v>52</v>
      </c>
      <c r="J1385">
        <v>85</v>
      </c>
      <c r="K1385">
        <v>33</v>
      </c>
      <c r="L1385">
        <v>0.63460000000000005</v>
      </c>
      <c r="M1385" t="s">
        <v>3375</v>
      </c>
      <c r="N1385">
        <v>1385</v>
      </c>
    </row>
    <row r="1386" spans="1:14" x14ac:dyDescent="0.25">
      <c r="A1386" t="s">
        <v>3154</v>
      </c>
      <c r="B1386">
        <v>1382</v>
      </c>
      <c r="C1386">
        <v>2382</v>
      </c>
      <c r="D1386" s="1" t="s">
        <v>1571</v>
      </c>
      <c r="E1386" t="s">
        <v>1358</v>
      </c>
      <c r="G1386" t="s">
        <v>24</v>
      </c>
      <c r="I1386">
        <v>221</v>
      </c>
      <c r="J1386">
        <v>250</v>
      </c>
      <c r="K1386">
        <v>29</v>
      </c>
      <c r="L1386">
        <v>0.13120000000000001</v>
      </c>
      <c r="M1386" t="s">
        <v>3375</v>
      </c>
      <c r="N1386">
        <v>1386</v>
      </c>
    </row>
    <row r="1387" spans="1:14" x14ac:dyDescent="0.25">
      <c r="A1387" t="s">
        <v>3155</v>
      </c>
      <c r="B1387">
        <v>1383</v>
      </c>
      <c r="C1387">
        <v>2383</v>
      </c>
      <c r="D1387" s="1" t="s">
        <v>1572</v>
      </c>
      <c r="E1387" t="s">
        <v>1573</v>
      </c>
      <c r="G1387" t="s">
        <v>24</v>
      </c>
      <c r="I1387">
        <v>280</v>
      </c>
      <c r="J1387">
        <v>390</v>
      </c>
      <c r="K1387">
        <v>110</v>
      </c>
      <c r="L1387">
        <v>0.39290000000000003</v>
      </c>
      <c r="M1387" t="s">
        <v>3375</v>
      </c>
      <c r="N1387">
        <v>1387</v>
      </c>
    </row>
    <row r="1388" spans="1:14" x14ac:dyDescent="0.25">
      <c r="A1388" t="s">
        <v>3156</v>
      </c>
      <c r="B1388">
        <v>1384</v>
      </c>
      <c r="C1388">
        <v>2384</v>
      </c>
      <c r="D1388" s="1" t="s">
        <v>1574</v>
      </c>
      <c r="G1388" t="s">
        <v>24</v>
      </c>
      <c r="I1388">
        <v>350</v>
      </c>
      <c r="J1388">
        <v>460</v>
      </c>
      <c r="K1388">
        <v>110</v>
      </c>
      <c r="L1388">
        <v>0.31430000000000002</v>
      </c>
      <c r="M1388" t="s">
        <v>3375</v>
      </c>
      <c r="N1388">
        <v>1388</v>
      </c>
    </row>
    <row r="1389" spans="1:14" x14ac:dyDescent="0.25">
      <c r="A1389" t="s">
        <v>3157</v>
      </c>
      <c r="B1389">
        <v>1385</v>
      </c>
      <c r="C1389">
        <v>2385</v>
      </c>
      <c r="D1389" s="1" t="s">
        <v>1575</v>
      </c>
      <c r="E1389" t="s">
        <v>90</v>
      </c>
      <c r="G1389" t="s">
        <v>24</v>
      </c>
      <c r="I1389">
        <v>187</v>
      </c>
      <c r="J1389">
        <v>280</v>
      </c>
      <c r="K1389">
        <v>93</v>
      </c>
      <c r="L1389">
        <v>0.49730000000000002</v>
      </c>
      <c r="M1389" t="s">
        <v>3375</v>
      </c>
      <c r="N1389">
        <v>1389</v>
      </c>
    </row>
    <row r="1390" spans="1:14" x14ac:dyDescent="0.25">
      <c r="A1390" t="s">
        <v>3158</v>
      </c>
      <c r="B1390">
        <v>1386</v>
      </c>
      <c r="C1390">
        <v>2386</v>
      </c>
      <c r="D1390" s="1" t="s">
        <v>1576</v>
      </c>
      <c r="G1390" t="s">
        <v>24</v>
      </c>
      <c r="I1390">
        <v>7.5</v>
      </c>
      <c r="J1390">
        <v>9</v>
      </c>
      <c r="K1390">
        <v>1.5</v>
      </c>
      <c r="L1390">
        <v>0.2</v>
      </c>
      <c r="M1390" t="s">
        <v>3375</v>
      </c>
      <c r="N1390">
        <v>1390</v>
      </c>
    </row>
    <row r="1391" spans="1:14" x14ac:dyDescent="0.25">
      <c r="A1391" t="s">
        <v>3159</v>
      </c>
      <c r="B1391">
        <v>1387</v>
      </c>
      <c r="C1391">
        <v>2387</v>
      </c>
      <c r="D1391" s="1" t="s">
        <v>1577</v>
      </c>
      <c r="G1391" t="s">
        <v>24</v>
      </c>
      <c r="I1391">
        <v>2</v>
      </c>
      <c r="J1391">
        <v>20</v>
      </c>
      <c r="K1391">
        <v>18</v>
      </c>
      <c r="L1391">
        <v>9</v>
      </c>
      <c r="M1391" t="s">
        <v>3375</v>
      </c>
      <c r="N1391">
        <v>1391</v>
      </c>
    </row>
    <row r="1392" spans="1:14" x14ac:dyDescent="0.25">
      <c r="A1392" t="s">
        <v>3160</v>
      </c>
      <c r="B1392">
        <v>1388</v>
      </c>
      <c r="C1392">
        <v>2388</v>
      </c>
      <c r="D1392" s="1" t="s">
        <v>1578</v>
      </c>
      <c r="E1392" t="s">
        <v>1285</v>
      </c>
      <c r="G1392" t="s">
        <v>24</v>
      </c>
      <c r="I1392">
        <v>8.06</v>
      </c>
      <c r="J1392">
        <v>15</v>
      </c>
      <c r="K1392">
        <v>6.94</v>
      </c>
      <c r="L1392">
        <v>0.86099999999999999</v>
      </c>
      <c r="M1392" t="s">
        <v>3375</v>
      </c>
      <c r="N1392">
        <v>1392</v>
      </c>
    </row>
    <row r="1393" spans="1:14" x14ac:dyDescent="0.25">
      <c r="A1393" t="s">
        <v>3161</v>
      </c>
      <c r="B1393">
        <v>1389</v>
      </c>
      <c r="C1393">
        <v>2389</v>
      </c>
      <c r="D1393" s="1" t="s">
        <v>1579</v>
      </c>
      <c r="E1393" t="s">
        <v>1285</v>
      </c>
      <c r="G1393" t="s">
        <v>24</v>
      </c>
      <c r="I1393">
        <v>20.7</v>
      </c>
      <c r="J1393">
        <v>35</v>
      </c>
      <c r="K1393">
        <v>14.3</v>
      </c>
      <c r="L1393">
        <v>0.69079999999999997</v>
      </c>
      <c r="M1393" t="s">
        <v>3375</v>
      </c>
      <c r="N1393">
        <v>1393</v>
      </c>
    </row>
    <row r="1394" spans="1:14" x14ac:dyDescent="0.25">
      <c r="A1394" t="s">
        <v>3162</v>
      </c>
      <c r="B1394">
        <v>1390</v>
      </c>
      <c r="C1394">
        <v>2390</v>
      </c>
      <c r="D1394" s="1" t="s">
        <v>1580</v>
      </c>
      <c r="E1394" t="s">
        <v>1474</v>
      </c>
      <c r="G1394" t="s">
        <v>176</v>
      </c>
      <c r="I1394">
        <v>2398</v>
      </c>
      <c r="J1394">
        <v>2898</v>
      </c>
      <c r="K1394">
        <v>500</v>
      </c>
      <c r="L1394">
        <v>0.20849999999999999</v>
      </c>
      <c r="M1394" t="s">
        <v>3375</v>
      </c>
      <c r="N1394">
        <v>1394</v>
      </c>
    </row>
    <row r="1395" spans="1:14" x14ac:dyDescent="0.25">
      <c r="A1395" t="s">
        <v>3163</v>
      </c>
      <c r="B1395">
        <v>1391</v>
      </c>
      <c r="C1395">
        <v>2391</v>
      </c>
      <c r="D1395" s="1" t="s">
        <v>1581</v>
      </c>
      <c r="E1395" t="s">
        <v>1474</v>
      </c>
      <c r="G1395" t="s">
        <v>24</v>
      </c>
      <c r="I1395">
        <v>32.799999999999997</v>
      </c>
      <c r="J1395">
        <v>48</v>
      </c>
      <c r="K1395">
        <v>15.2</v>
      </c>
      <c r="L1395">
        <v>0.46339999999999998</v>
      </c>
      <c r="M1395" t="s">
        <v>3375</v>
      </c>
      <c r="N1395">
        <v>1395</v>
      </c>
    </row>
    <row r="1396" spans="1:14" x14ac:dyDescent="0.25">
      <c r="A1396" t="s">
        <v>3164</v>
      </c>
      <c r="B1396">
        <v>1392</v>
      </c>
      <c r="C1396">
        <v>2392</v>
      </c>
      <c r="D1396" s="1" t="s">
        <v>1582</v>
      </c>
      <c r="E1396" t="s">
        <v>1513</v>
      </c>
      <c r="G1396" t="s">
        <v>24</v>
      </c>
      <c r="I1396">
        <v>30.55</v>
      </c>
      <c r="J1396">
        <v>65</v>
      </c>
      <c r="K1396">
        <v>34.450000000000003</v>
      </c>
      <c r="L1396">
        <v>1.1276999999999999</v>
      </c>
      <c r="M1396" t="s">
        <v>3375</v>
      </c>
      <c r="N1396">
        <v>1396</v>
      </c>
    </row>
    <row r="1397" spans="1:14" x14ac:dyDescent="0.25">
      <c r="A1397" t="s">
        <v>3165</v>
      </c>
      <c r="B1397">
        <v>1393</v>
      </c>
      <c r="C1397">
        <v>2393</v>
      </c>
      <c r="D1397" s="1" t="s">
        <v>1583</v>
      </c>
      <c r="G1397" t="s">
        <v>24</v>
      </c>
      <c r="I1397">
        <v>25</v>
      </c>
      <c r="J1397">
        <v>50</v>
      </c>
      <c r="K1397">
        <v>25</v>
      </c>
      <c r="L1397">
        <v>1</v>
      </c>
      <c r="M1397" t="s">
        <v>3375</v>
      </c>
      <c r="N1397">
        <v>1397</v>
      </c>
    </row>
    <row r="1398" spans="1:14" x14ac:dyDescent="0.25">
      <c r="A1398" t="s">
        <v>3166</v>
      </c>
      <c r="B1398">
        <v>1394</v>
      </c>
      <c r="C1398">
        <v>2394</v>
      </c>
      <c r="D1398" s="1" t="s">
        <v>1584</v>
      </c>
      <c r="E1398" t="s">
        <v>972</v>
      </c>
      <c r="G1398" t="s">
        <v>24</v>
      </c>
      <c r="I1398">
        <v>107.5</v>
      </c>
      <c r="J1398">
        <v>138</v>
      </c>
      <c r="K1398">
        <v>30.5</v>
      </c>
      <c r="L1398">
        <v>0.28370000000000001</v>
      </c>
      <c r="M1398" t="s">
        <v>3375</v>
      </c>
      <c r="N1398">
        <v>1398</v>
      </c>
    </row>
    <row r="1399" spans="1:14" x14ac:dyDescent="0.25">
      <c r="A1399" t="s">
        <v>3167</v>
      </c>
      <c r="B1399">
        <v>1395</v>
      </c>
      <c r="C1399">
        <v>2395</v>
      </c>
      <c r="D1399" s="1" t="s">
        <v>1585</v>
      </c>
      <c r="E1399" t="s">
        <v>1586</v>
      </c>
      <c r="G1399" t="s">
        <v>24</v>
      </c>
      <c r="I1399">
        <v>550</v>
      </c>
      <c r="J1399">
        <v>750</v>
      </c>
      <c r="K1399">
        <v>200</v>
      </c>
      <c r="L1399">
        <v>0.36359999999999998</v>
      </c>
      <c r="M1399" t="s">
        <v>3375</v>
      </c>
      <c r="N1399">
        <v>1399</v>
      </c>
    </row>
    <row r="1400" spans="1:14" x14ac:dyDescent="0.25">
      <c r="A1400" t="s">
        <v>3168</v>
      </c>
      <c r="B1400">
        <v>1396</v>
      </c>
      <c r="C1400">
        <v>2396</v>
      </c>
      <c r="D1400" s="1" t="s">
        <v>1587</v>
      </c>
      <c r="E1400" t="s">
        <v>1513</v>
      </c>
      <c r="G1400" t="s">
        <v>24</v>
      </c>
      <c r="I1400">
        <v>230.75</v>
      </c>
      <c r="J1400">
        <v>365</v>
      </c>
      <c r="K1400">
        <v>134.25</v>
      </c>
      <c r="L1400">
        <v>0.58179999999999998</v>
      </c>
      <c r="M1400" t="s">
        <v>3375</v>
      </c>
      <c r="N1400">
        <v>1400</v>
      </c>
    </row>
    <row r="1401" spans="1:14" x14ac:dyDescent="0.25">
      <c r="A1401" t="s">
        <v>3169</v>
      </c>
      <c r="B1401">
        <v>1397</v>
      </c>
      <c r="C1401">
        <v>2397</v>
      </c>
      <c r="D1401" s="1" t="s">
        <v>1588</v>
      </c>
      <c r="F1401" t="s">
        <v>1141</v>
      </c>
      <c r="G1401" t="s">
        <v>24</v>
      </c>
      <c r="I1401">
        <v>470</v>
      </c>
      <c r="J1401">
        <v>570</v>
      </c>
      <c r="K1401">
        <v>100</v>
      </c>
      <c r="L1401">
        <v>0.21279999999999999</v>
      </c>
      <c r="M1401" t="s">
        <v>3375</v>
      </c>
      <c r="N1401">
        <v>1401</v>
      </c>
    </row>
    <row r="1402" spans="1:14" x14ac:dyDescent="0.25">
      <c r="A1402" t="s">
        <v>3170</v>
      </c>
      <c r="B1402">
        <v>1398</v>
      </c>
      <c r="C1402">
        <v>2398</v>
      </c>
      <c r="D1402" s="1" t="s">
        <v>1589</v>
      </c>
      <c r="F1402" t="s">
        <v>1590</v>
      </c>
      <c r="G1402" t="s">
        <v>24</v>
      </c>
      <c r="I1402">
        <v>38</v>
      </c>
      <c r="J1402">
        <v>85</v>
      </c>
      <c r="K1402">
        <v>47</v>
      </c>
      <c r="L1402">
        <v>1.2367999999999999</v>
      </c>
      <c r="M1402" t="s">
        <v>3375</v>
      </c>
      <c r="N1402">
        <v>1402</v>
      </c>
    </row>
    <row r="1403" spans="1:14" x14ac:dyDescent="0.25">
      <c r="A1403" t="s">
        <v>3171</v>
      </c>
      <c r="B1403">
        <v>1399</v>
      </c>
      <c r="C1403">
        <v>2399</v>
      </c>
      <c r="D1403" s="1" t="s">
        <v>1591</v>
      </c>
      <c r="E1403" t="s">
        <v>1513</v>
      </c>
      <c r="G1403" t="s">
        <v>24</v>
      </c>
      <c r="I1403">
        <v>19.5</v>
      </c>
      <c r="J1403">
        <v>55</v>
      </c>
      <c r="K1403">
        <v>35.5</v>
      </c>
      <c r="L1403">
        <v>1.8205</v>
      </c>
      <c r="M1403" t="s">
        <v>3375</v>
      </c>
      <c r="N1403">
        <v>1403</v>
      </c>
    </row>
    <row r="1404" spans="1:14" x14ac:dyDescent="0.25">
      <c r="A1404" t="s">
        <v>3172</v>
      </c>
      <c r="B1404">
        <v>1400</v>
      </c>
      <c r="C1404">
        <v>2400</v>
      </c>
      <c r="D1404" s="1" t="s">
        <v>1592</v>
      </c>
      <c r="E1404" t="s">
        <v>1513</v>
      </c>
      <c r="G1404" t="s">
        <v>24</v>
      </c>
      <c r="I1404">
        <v>29.25</v>
      </c>
      <c r="J1404">
        <v>70</v>
      </c>
      <c r="K1404">
        <v>40.75</v>
      </c>
      <c r="L1404">
        <v>1.3932</v>
      </c>
      <c r="M1404" t="s">
        <v>3375</v>
      </c>
      <c r="N1404">
        <v>1404</v>
      </c>
    </row>
    <row r="1405" spans="1:14" x14ac:dyDescent="0.25">
      <c r="A1405" t="s">
        <v>3173</v>
      </c>
      <c r="B1405">
        <v>1401</v>
      </c>
      <c r="C1405">
        <v>2401</v>
      </c>
      <c r="D1405" s="1" t="s">
        <v>1593</v>
      </c>
      <c r="E1405" t="s">
        <v>972</v>
      </c>
      <c r="G1405" t="s">
        <v>24</v>
      </c>
      <c r="I1405">
        <v>53.75</v>
      </c>
      <c r="J1405">
        <v>70</v>
      </c>
      <c r="K1405">
        <v>16.25</v>
      </c>
      <c r="L1405">
        <v>0.30230000000000001</v>
      </c>
      <c r="M1405" t="s">
        <v>3375</v>
      </c>
      <c r="N1405">
        <v>1405</v>
      </c>
    </row>
    <row r="1406" spans="1:14" x14ac:dyDescent="0.25">
      <c r="A1406" t="s">
        <v>3174</v>
      </c>
      <c r="B1406">
        <v>1402</v>
      </c>
      <c r="C1406">
        <v>2402</v>
      </c>
      <c r="D1406" s="1" t="s">
        <v>1594</v>
      </c>
      <c r="E1406" t="s">
        <v>972</v>
      </c>
      <c r="G1406" t="s">
        <v>24</v>
      </c>
      <c r="I1406">
        <v>26.85</v>
      </c>
      <c r="J1406">
        <v>35</v>
      </c>
      <c r="K1406">
        <v>8.15</v>
      </c>
      <c r="L1406">
        <v>0.30349999999999999</v>
      </c>
      <c r="M1406" t="s">
        <v>3375</v>
      </c>
      <c r="N1406">
        <v>1406</v>
      </c>
    </row>
    <row r="1407" spans="1:14" x14ac:dyDescent="0.25">
      <c r="A1407" t="s">
        <v>3175</v>
      </c>
      <c r="B1407">
        <v>1403</v>
      </c>
      <c r="C1407">
        <v>2403</v>
      </c>
      <c r="D1407" s="1" t="s">
        <v>1595</v>
      </c>
      <c r="E1407" t="s">
        <v>1285</v>
      </c>
      <c r="G1407" t="s">
        <v>24</v>
      </c>
      <c r="I1407">
        <v>325</v>
      </c>
      <c r="J1407">
        <v>450</v>
      </c>
      <c r="K1407">
        <v>125</v>
      </c>
      <c r="L1407">
        <v>0.3846</v>
      </c>
      <c r="M1407" t="s">
        <v>3375</v>
      </c>
      <c r="N1407">
        <v>1407</v>
      </c>
    </row>
    <row r="1408" spans="1:14" x14ac:dyDescent="0.25">
      <c r="A1408" t="s">
        <v>3176</v>
      </c>
      <c r="B1408">
        <v>1404</v>
      </c>
      <c r="C1408">
        <v>2404</v>
      </c>
      <c r="D1408" s="1" t="s">
        <v>1596</v>
      </c>
      <c r="E1408" t="s">
        <v>1597</v>
      </c>
      <c r="G1408" t="s">
        <v>93</v>
      </c>
      <c r="I1408">
        <v>85.67</v>
      </c>
      <c r="J1408">
        <v>96</v>
      </c>
      <c r="K1408">
        <v>10.33</v>
      </c>
      <c r="L1408">
        <v>0.1206</v>
      </c>
      <c r="M1408" t="s">
        <v>3375</v>
      </c>
      <c r="N1408">
        <v>1408</v>
      </c>
    </row>
    <row r="1409" spans="1:14" x14ac:dyDescent="0.25">
      <c r="A1409" t="s">
        <v>3177</v>
      </c>
      <c r="B1409">
        <v>1405</v>
      </c>
      <c r="C1409">
        <v>2405</v>
      </c>
      <c r="D1409" s="1" t="s">
        <v>1598</v>
      </c>
      <c r="E1409" t="s">
        <v>1599</v>
      </c>
      <c r="G1409" t="s">
        <v>24</v>
      </c>
      <c r="I1409">
        <v>482</v>
      </c>
      <c r="J1409">
        <v>550</v>
      </c>
      <c r="K1409">
        <v>68</v>
      </c>
      <c r="L1409">
        <v>0.1411</v>
      </c>
      <c r="M1409" t="s">
        <v>3375</v>
      </c>
      <c r="N1409">
        <v>1409</v>
      </c>
    </row>
    <row r="1410" spans="1:14" x14ac:dyDescent="0.25">
      <c r="A1410" t="s">
        <v>3178</v>
      </c>
      <c r="B1410">
        <v>1406</v>
      </c>
      <c r="C1410">
        <v>2406</v>
      </c>
      <c r="D1410" s="1" t="s">
        <v>1600</v>
      </c>
      <c r="E1410" t="s">
        <v>247</v>
      </c>
      <c r="G1410" t="s">
        <v>24</v>
      </c>
      <c r="I1410">
        <v>371</v>
      </c>
      <c r="J1410">
        <v>470</v>
      </c>
      <c r="K1410">
        <v>99</v>
      </c>
      <c r="L1410">
        <v>0.26679999999999998</v>
      </c>
      <c r="M1410" t="s">
        <v>3375</v>
      </c>
      <c r="N1410">
        <v>1410</v>
      </c>
    </row>
    <row r="1411" spans="1:14" x14ac:dyDescent="0.25">
      <c r="A1411" t="s">
        <v>3179</v>
      </c>
      <c r="B1411">
        <v>1407</v>
      </c>
      <c r="C1411">
        <v>2407</v>
      </c>
      <c r="D1411" s="1" t="s">
        <v>1601</v>
      </c>
      <c r="E1411" t="s">
        <v>481</v>
      </c>
      <c r="G1411" t="s">
        <v>24</v>
      </c>
      <c r="I1411">
        <v>120</v>
      </c>
      <c r="J1411">
        <v>195</v>
      </c>
      <c r="K1411">
        <v>75</v>
      </c>
      <c r="L1411">
        <v>0.625</v>
      </c>
      <c r="M1411" t="s">
        <v>3375</v>
      </c>
      <c r="N1411">
        <v>1411</v>
      </c>
    </row>
    <row r="1412" spans="1:14" x14ac:dyDescent="0.25">
      <c r="A1412" t="s">
        <v>3180</v>
      </c>
      <c r="B1412">
        <v>1408</v>
      </c>
      <c r="C1412">
        <v>2408</v>
      </c>
      <c r="D1412" s="1" t="s">
        <v>1602</v>
      </c>
      <c r="G1412" t="s">
        <v>93</v>
      </c>
      <c r="I1412">
        <v>85</v>
      </c>
      <c r="J1412">
        <v>105</v>
      </c>
      <c r="K1412">
        <v>20</v>
      </c>
      <c r="L1412">
        <v>0.23530000000000001</v>
      </c>
      <c r="M1412" t="s">
        <v>3375</v>
      </c>
      <c r="N1412">
        <v>1412</v>
      </c>
    </row>
    <row r="1413" spans="1:14" x14ac:dyDescent="0.25">
      <c r="A1413" t="s">
        <v>3181</v>
      </c>
      <c r="B1413">
        <v>1409</v>
      </c>
      <c r="C1413">
        <v>2409</v>
      </c>
      <c r="D1413" s="1" t="s">
        <v>1603</v>
      </c>
      <c r="G1413" t="s">
        <v>24</v>
      </c>
      <c r="I1413">
        <v>115</v>
      </c>
      <c r="J1413">
        <v>135</v>
      </c>
      <c r="K1413">
        <v>20</v>
      </c>
      <c r="L1413">
        <v>0.1739</v>
      </c>
      <c r="M1413" t="s">
        <v>3375</v>
      </c>
      <c r="N1413">
        <v>1413</v>
      </c>
    </row>
    <row r="1414" spans="1:14" x14ac:dyDescent="0.25">
      <c r="A1414" t="s">
        <v>3182</v>
      </c>
      <c r="B1414">
        <v>1410</v>
      </c>
      <c r="C1414">
        <v>2410</v>
      </c>
      <c r="D1414" s="1" t="s">
        <v>1604</v>
      </c>
      <c r="E1414" t="s">
        <v>1605</v>
      </c>
      <c r="G1414" t="s">
        <v>24</v>
      </c>
      <c r="I1414">
        <v>330</v>
      </c>
      <c r="J1414">
        <v>380</v>
      </c>
      <c r="K1414">
        <v>50</v>
      </c>
      <c r="L1414">
        <v>0.1515</v>
      </c>
      <c r="M1414" t="s">
        <v>3375</v>
      </c>
      <c r="N1414">
        <v>1414</v>
      </c>
    </row>
    <row r="1415" spans="1:14" x14ac:dyDescent="0.25">
      <c r="A1415" t="s">
        <v>3183</v>
      </c>
      <c r="B1415">
        <v>1411</v>
      </c>
      <c r="C1415">
        <v>2411</v>
      </c>
      <c r="D1415" s="1" t="s">
        <v>1606</v>
      </c>
      <c r="G1415" t="s">
        <v>24</v>
      </c>
      <c r="I1415">
        <v>75</v>
      </c>
      <c r="J1415">
        <v>95</v>
      </c>
      <c r="K1415">
        <v>20</v>
      </c>
      <c r="L1415">
        <v>0.26669999999999999</v>
      </c>
      <c r="M1415" t="s">
        <v>3375</v>
      </c>
      <c r="N1415">
        <v>1415</v>
      </c>
    </row>
    <row r="1416" spans="1:14" x14ac:dyDescent="0.25">
      <c r="A1416" t="s">
        <v>3184</v>
      </c>
      <c r="B1416">
        <v>1412</v>
      </c>
      <c r="C1416">
        <v>2412</v>
      </c>
      <c r="D1416" s="1" t="s">
        <v>1607</v>
      </c>
      <c r="G1416" t="s">
        <v>24</v>
      </c>
      <c r="I1416">
        <v>23</v>
      </c>
      <c r="J1416">
        <v>55</v>
      </c>
      <c r="K1416">
        <v>32</v>
      </c>
      <c r="L1416">
        <v>1.3913</v>
      </c>
      <c r="M1416" t="s">
        <v>3375</v>
      </c>
      <c r="N1416">
        <v>1416</v>
      </c>
    </row>
    <row r="1417" spans="1:14" x14ac:dyDescent="0.25">
      <c r="A1417" t="s">
        <v>3185</v>
      </c>
      <c r="B1417">
        <v>1413</v>
      </c>
      <c r="C1417">
        <v>2413</v>
      </c>
      <c r="D1417" s="1" t="s">
        <v>1608</v>
      </c>
      <c r="G1417" t="s">
        <v>24</v>
      </c>
      <c r="I1417">
        <v>21</v>
      </c>
      <c r="J1417">
        <v>50</v>
      </c>
      <c r="K1417">
        <v>29</v>
      </c>
      <c r="L1417">
        <v>1.381</v>
      </c>
      <c r="M1417" t="s">
        <v>3375</v>
      </c>
      <c r="N1417">
        <v>1417</v>
      </c>
    </row>
    <row r="1418" spans="1:14" x14ac:dyDescent="0.25">
      <c r="A1418" t="s">
        <v>3186</v>
      </c>
      <c r="B1418">
        <v>1414</v>
      </c>
      <c r="C1418">
        <v>2414</v>
      </c>
      <c r="D1418" s="1" t="s">
        <v>1609</v>
      </c>
      <c r="F1418" t="s">
        <v>1590</v>
      </c>
      <c r="G1418" t="s">
        <v>24</v>
      </c>
      <c r="I1418">
        <v>63</v>
      </c>
      <c r="J1418">
        <v>100</v>
      </c>
      <c r="K1418">
        <v>37</v>
      </c>
      <c r="L1418">
        <v>0.58730000000000004</v>
      </c>
      <c r="M1418" t="s">
        <v>3375</v>
      </c>
      <c r="N1418">
        <v>1418</v>
      </c>
    </row>
    <row r="1419" spans="1:14" x14ac:dyDescent="0.25">
      <c r="A1419" t="s">
        <v>3187</v>
      </c>
      <c r="B1419">
        <v>1415</v>
      </c>
      <c r="C1419">
        <v>2415</v>
      </c>
      <c r="D1419" s="1" t="s">
        <v>1610</v>
      </c>
      <c r="E1419" t="s">
        <v>1513</v>
      </c>
      <c r="G1419" t="s">
        <v>24</v>
      </c>
      <c r="I1419">
        <v>29.25</v>
      </c>
      <c r="J1419">
        <v>65</v>
      </c>
      <c r="K1419">
        <v>35.75</v>
      </c>
      <c r="L1419">
        <v>1.2222</v>
      </c>
      <c r="M1419" t="s">
        <v>3375</v>
      </c>
      <c r="N1419">
        <v>1419</v>
      </c>
    </row>
    <row r="1420" spans="1:14" x14ac:dyDescent="0.25">
      <c r="A1420" t="s">
        <v>3188</v>
      </c>
      <c r="B1420">
        <v>1416</v>
      </c>
      <c r="C1420">
        <v>2416</v>
      </c>
      <c r="D1420" s="1" t="s">
        <v>1611</v>
      </c>
      <c r="E1420" t="s">
        <v>1513</v>
      </c>
      <c r="G1420" t="s">
        <v>24</v>
      </c>
      <c r="I1420">
        <v>35.75</v>
      </c>
      <c r="J1420">
        <v>75</v>
      </c>
      <c r="K1420">
        <v>39.25</v>
      </c>
      <c r="L1420">
        <v>1.0979000000000001</v>
      </c>
      <c r="M1420" t="s">
        <v>3375</v>
      </c>
      <c r="N1420">
        <v>1420</v>
      </c>
    </row>
    <row r="1421" spans="1:14" x14ac:dyDescent="0.25">
      <c r="A1421" t="s">
        <v>3189</v>
      </c>
      <c r="B1421">
        <v>1417</v>
      </c>
      <c r="C1421">
        <v>2417</v>
      </c>
      <c r="D1421" s="1" t="s">
        <v>1612</v>
      </c>
      <c r="E1421" t="s">
        <v>1513</v>
      </c>
      <c r="G1421" t="s">
        <v>24</v>
      </c>
      <c r="I1421">
        <v>42.25</v>
      </c>
      <c r="J1421">
        <v>85</v>
      </c>
      <c r="K1421">
        <v>42.75</v>
      </c>
      <c r="L1421">
        <v>1.0118</v>
      </c>
      <c r="M1421" t="s">
        <v>3375</v>
      </c>
      <c r="N1421">
        <v>1421</v>
      </c>
    </row>
    <row r="1422" spans="1:14" x14ac:dyDescent="0.25">
      <c r="A1422" t="s">
        <v>3190</v>
      </c>
      <c r="B1422">
        <v>1418</v>
      </c>
      <c r="C1422">
        <v>2418</v>
      </c>
      <c r="D1422" s="1" t="s">
        <v>1613</v>
      </c>
      <c r="E1422" t="s">
        <v>1513</v>
      </c>
      <c r="G1422" t="s">
        <v>24</v>
      </c>
      <c r="I1422">
        <v>48.75</v>
      </c>
      <c r="J1422">
        <v>100</v>
      </c>
      <c r="K1422">
        <v>51.25</v>
      </c>
      <c r="L1422">
        <v>1.0512999999999999</v>
      </c>
      <c r="M1422" t="s">
        <v>3375</v>
      </c>
      <c r="N1422">
        <v>1422</v>
      </c>
    </row>
    <row r="1423" spans="1:14" x14ac:dyDescent="0.25">
      <c r="A1423" t="s">
        <v>3191</v>
      </c>
      <c r="B1423">
        <v>1419</v>
      </c>
      <c r="C1423">
        <v>2419</v>
      </c>
      <c r="D1423" s="1" t="s">
        <v>1614</v>
      </c>
      <c r="E1423" t="s">
        <v>1513</v>
      </c>
      <c r="G1423" t="s">
        <v>24</v>
      </c>
      <c r="I1423">
        <v>52</v>
      </c>
      <c r="J1423">
        <v>105</v>
      </c>
      <c r="K1423">
        <v>53</v>
      </c>
      <c r="L1423">
        <v>1.0192000000000001</v>
      </c>
      <c r="M1423" t="s">
        <v>3375</v>
      </c>
      <c r="N1423">
        <v>1423</v>
      </c>
    </row>
    <row r="1424" spans="1:14" x14ac:dyDescent="0.25">
      <c r="A1424" t="s">
        <v>3192</v>
      </c>
      <c r="B1424">
        <v>1420</v>
      </c>
      <c r="C1424">
        <v>2420</v>
      </c>
      <c r="D1424" s="1" t="s">
        <v>1615</v>
      </c>
      <c r="E1424" t="s">
        <v>1513</v>
      </c>
      <c r="G1424" t="s">
        <v>24</v>
      </c>
      <c r="I1424">
        <v>29.25</v>
      </c>
      <c r="J1424">
        <v>60</v>
      </c>
      <c r="K1424">
        <v>30.75</v>
      </c>
      <c r="L1424">
        <v>1.0512999999999999</v>
      </c>
      <c r="M1424" t="s">
        <v>3375</v>
      </c>
      <c r="N1424">
        <v>1424</v>
      </c>
    </row>
    <row r="1425" spans="1:14" x14ac:dyDescent="0.25">
      <c r="A1425" t="s">
        <v>3193</v>
      </c>
      <c r="B1425">
        <v>1421</v>
      </c>
      <c r="C1425">
        <v>2421</v>
      </c>
      <c r="D1425" s="1" t="s">
        <v>1616</v>
      </c>
      <c r="E1425" t="s">
        <v>1513</v>
      </c>
      <c r="G1425" t="s">
        <v>24</v>
      </c>
      <c r="I1425">
        <v>42.25</v>
      </c>
      <c r="J1425">
        <v>85</v>
      </c>
      <c r="K1425">
        <v>42.75</v>
      </c>
      <c r="L1425">
        <v>1.0118</v>
      </c>
      <c r="M1425" t="s">
        <v>3375</v>
      </c>
      <c r="N1425">
        <v>1425</v>
      </c>
    </row>
    <row r="1426" spans="1:14" x14ac:dyDescent="0.25">
      <c r="A1426" t="s">
        <v>3194</v>
      </c>
      <c r="B1426">
        <v>1422</v>
      </c>
      <c r="C1426">
        <v>2422</v>
      </c>
      <c r="D1426" s="1" t="s">
        <v>1617</v>
      </c>
      <c r="E1426" t="s">
        <v>1513</v>
      </c>
      <c r="G1426" t="s">
        <v>24</v>
      </c>
      <c r="I1426">
        <v>55.25</v>
      </c>
      <c r="J1426">
        <v>110</v>
      </c>
      <c r="K1426">
        <v>54.75</v>
      </c>
      <c r="L1426">
        <v>0.99099999999999999</v>
      </c>
      <c r="M1426" t="s">
        <v>3375</v>
      </c>
      <c r="N1426">
        <v>1426</v>
      </c>
    </row>
    <row r="1427" spans="1:14" x14ac:dyDescent="0.25">
      <c r="A1427" t="s">
        <v>3195</v>
      </c>
      <c r="B1427">
        <v>1423</v>
      </c>
      <c r="C1427">
        <v>2423</v>
      </c>
      <c r="D1427" s="1" t="s">
        <v>1618</v>
      </c>
      <c r="E1427" t="s">
        <v>1513</v>
      </c>
      <c r="G1427" t="s">
        <v>24</v>
      </c>
      <c r="I1427">
        <v>52</v>
      </c>
      <c r="J1427">
        <v>105</v>
      </c>
      <c r="K1427">
        <v>53</v>
      </c>
      <c r="L1427">
        <v>1.0192000000000001</v>
      </c>
      <c r="M1427" t="s">
        <v>3375</v>
      </c>
      <c r="N1427">
        <v>1427</v>
      </c>
    </row>
    <row r="1428" spans="1:14" x14ac:dyDescent="0.25">
      <c r="A1428" t="s">
        <v>3196</v>
      </c>
      <c r="B1428">
        <v>1424</v>
      </c>
      <c r="C1428">
        <v>2424</v>
      </c>
      <c r="D1428" s="1" t="s">
        <v>1619</v>
      </c>
      <c r="E1428" t="s">
        <v>1513</v>
      </c>
      <c r="G1428" t="s">
        <v>24</v>
      </c>
      <c r="I1428">
        <v>299</v>
      </c>
      <c r="J1428">
        <v>560</v>
      </c>
      <c r="K1428">
        <v>261</v>
      </c>
      <c r="L1428">
        <v>0.87290000000000001</v>
      </c>
      <c r="M1428" t="s">
        <v>3375</v>
      </c>
      <c r="N1428">
        <v>1428</v>
      </c>
    </row>
    <row r="1429" spans="1:14" x14ac:dyDescent="0.25">
      <c r="A1429" t="s">
        <v>3197</v>
      </c>
      <c r="B1429">
        <v>1425</v>
      </c>
      <c r="C1429">
        <v>2425</v>
      </c>
      <c r="D1429" s="1" t="s">
        <v>1620</v>
      </c>
      <c r="E1429" t="s">
        <v>1513</v>
      </c>
      <c r="G1429" t="s">
        <v>24</v>
      </c>
      <c r="I1429">
        <v>230.75</v>
      </c>
      <c r="J1429">
        <v>330</v>
      </c>
      <c r="K1429">
        <v>99.25</v>
      </c>
      <c r="L1429">
        <v>0.43009999999999998</v>
      </c>
      <c r="M1429" t="s">
        <v>3375</v>
      </c>
      <c r="N1429">
        <v>1429</v>
      </c>
    </row>
    <row r="1430" spans="1:14" x14ac:dyDescent="0.25">
      <c r="A1430" t="s">
        <v>3198</v>
      </c>
      <c r="B1430">
        <v>1426</v>
      </c>
      <c r="C1430">
        <v>2426</v>
      </c>
      <c r="D1430" s="1" t="s">
        <v>1621</v>
      </c>
      <c r="E1430" t="s">
        <v>1513</v>
      </c>
      <c r="G1430" t="s">
        <v>24</v>
      </c>
      <c r="I1430">
        <v>185.25</v>
      </c>
      <c r="J1430">
        <v>295</v>
      </c>
      <c r="K1430">
        <v>109.75</v>
      </c>
      <c r="L1430">
        <v>0.59240000000000004</v>
      </c>
      <c r="M1430" t="s">
        <v>3375</v>
      </c>
      <c r="N1430">
        <v>1430</v>
      </c>
    </row>
    <row r="1431" spans="1:14" x14ac:dyDescent="0.25">
      <c r="A1431" t="s">
        <v>3199</v>
      </c>
      <c r="B1431">
        <v>1427</v>
      </c>
      <c r="C1431">
        <v>2427</v>
      </c>
      <c r="D1431" s="1" t="s">
        <v>1622</v>
      </c>
      <c r="G1431" t="s">
        <v>24</v>
      </c>
      <c r="I1431">
        <v>4.5</v>
      </c>
      <c r="J1431">
        <v>12</v>
      </c>
      <c r="K1431">
        <v>7.5</v>
      </c>
      <c r="L1431">
        <v>1.6667000000000001</v>
      </c>
      <c r="M1431" t="s">
        <v>3375</v>
      </c>
      <c r="N1431">
        <v>1431</v>
      </c>
    </row>
    <row r="1432" spans="1:14" x14ac:dyDescent="0.25">
      <c r="A1432" t="s">
        <v>3200</v>
      </c>
      <c r="B1432">
        <v>1428</v>
      </c>
      <c r="C1432">
        <v>2428</v>
      </c>
      <c r="D1432" s="1" t="s">
        <v>1623</v>
      </c>
      <c r="G1432" t="s">
        <v>24</v>
      </c>
      <c r="I1432">
        <v>1100</v>
      </c>
      <c r="J1432">
        <v>1800</v>
      </c>
      <c r="K1432">
        <v>700</v>
      </c>
      <c r="L1432">
        <v>0.63639999999999997</v>
      </c>
      <c r="M1432" t="s">
        <v>3375</v>
      </c>
      <c r="N1432">
        <v>1432</v>
      </c>
    </row>
    <row r="1433" spans="1:14" x14ac:dyDescent="0.25">
      <c r="A1433" t="s">
        <v>3201</v>
      </c>
      <c r="B1433">
        <v>1429</v>
      </c>
      <c r="C1433">
        <v>2429</v>
      </c>
      <c r="D1433" s="1" t="s">
        <v>1624</v>
      </c>
      <c r="E1433" t="s">
        <v>1625</v>
      </c>
      <c r="G1433" t="s">
        <v>24</v>
      </c>
      <c r="I1433">
        <v>8</v>
      </c>
      <c r="J1433">
        <v>35</v>
      </c>
      <c r="K1433">
        <v>27</v>
      </c>
      <c r="L1433">
        <v>3.375</v>
      </c>
      <c r="M1433" t="s">
        <v>3375</v>
      </c>
      <c r="N1433">
        <v>1433</v>
      </c>
    </row>
    <row r="1434" spans="1:14" x14ac:dyDescent="0.25">
      <c r="A1434" t="s">
        <v>3202</v>
      </c>
      <c r="B1434">
        <v>1430</v>
      </c>
      <c r="C1434">
        <v>2430</v>
      </c>
      <c r="D1434" s="1" t="s">
        <v>1626</v>
      </c>
      <c r="E1434" t="s">
        <v>1625</v>
      </c>
      <c r="G1434" t="s">
        <v>24</v>
      </c>
      <c r="I1434">
        <v>17</v>
      </c>
      <c r="J1434">
        <v>45</v>
      </c>
      <c r="K1434">
        <v>28</v>
      </c>
      <c r="L1434">
        <v>1.6471</v>
      </c>
      <c r="M1434" t="s">
        <v>3375</v>
      </c>
      <c r="N1434">
        <v>1434</v>
      </c>
    </row>
    <row r="1435" spans="1:14" x14ac:dyDescent="0.25">
      <c r="A1435" t="s">
        <v>3203</v>
      </c>
      <c r="B1435">
        <v>1431</v>
      </c>
      <c r="C1435">
        <v>2431</v>
      </c>
      <c r="D1435" s="1" t="s">
        <v>1627</v>
      </c>
      <c r="E1435" t="s">
        <v>1625</v>
      </c>
      <c r="G1435" t="s">
        <v>24</v>
      </c>
      <c r="I1435">
        <v>135.1</v>
      </c>
      <c r="J1435">
        <v>185</v>
      </c>
      <c r="K1435">
        <v>49.9</v>
      </c>
      <c r="L1435">
        <v>0.36940000000000001</v>
      </c>
      <c r="M1435" t="s">
        <v>3375</v>
      </c>
      <c r="N1435">
        <v>1435</v>
      </c>
    </row>
    <row r="1436" spans="1:14" x14ac:dyDescent="0.25">
      <c r="A1436" t="s">
        <v>3204</v>
      </c>
      <c r="B1436">
        <v>1432</v>
      </c>
      <c r="C1436">
        <v>2432</v>
      </c>
      <c r="D1436" s="1" t="s">
        <v>1628</v>
      </c>
      <c r="E1436" t="s">
        <v>1625</v>
      </c>
      <c r="G1436" t="s">
        <v>24</v>
      </c>
      <c r="I1436">
        <v>83.5</v>
      </c>
      <c r="J1436">
        <v>110</v>
      </c>
      <c r="K1436">
        <v>26.5</v>
      </c>
      <c r="L1436">
        <v>0.31740000000000002</v>
      </c>
      <c r="M1436" t="s">
        <v>3375</v>
      </c>
      <c r="N1436">
        <v>1436</v>
      </c>
    </row>
    <row r="1437" spans="1:14" x14ac:dyDescent="0.25">
      <c r="A1437" t="s">
        <v>3205</v>
      </c>
      <c r="B1437">
        <v>1433</v>
      </c>
      <c r="C1437">
        <v>2433</v>
      </c>
      <c r="D1437" s="1" t="s">
        <v>1629</v>
      </c>
      <c r="E1437" t="s">
        <v>1625</v>
      </c>
      <c r="G1437" t="s">
        <v>24</v>
      </c>
      <c r="I1437">
        <v>165.5</v>
      </c>
      <c r="J1437">
        <v>220</v>
      </c>
      <c r="K1437">
        <v>54.5</v>
      </c>
      <c r="L1437">
        <v>0.32929999999999998</v>
      </c>
      <c r="M1437" t="s">
        <v>3375</v>
      </c>
      <c r="N1437">
        <v>1437</v>
      </c>
    </row>
    <row r="1438" spans="1:14" x14ac:dyDescent="0.25">
      <c r="A1438" t="s">
        <v>3206</v>
      </c>
      <c r="B1438">
        <v>1434</v>
      </c>
      <c r="C1438">
        <v>2434</v>
      </c>
      <c r="D1438" s="1" t="s">
        <v>1630</v>
      </c>
      <c r="E1438" t="s">
        <v>1597</v>
      </c>
      <c r="G1438" t="s">
        <v>24</v>
      </c>
      <c r="I1438">
        <v>48</v>
      </c>
      <c r="J1438">
        <v>60</v>
      </c>
      <c r="K1438">
        <v>12</v>
      </c>
      <c r="L1438">
        <v>0.25</v>
      </c>
      <c r="M1438" t="s">
        <v>3375</v>
      </c>
      <c r="N1438">
        <v>1438</v>
      </c>
    </row>
    <row r="1439" spans="1:14" x14ac:dyDescent="0.25">
      <c r="A1439" t="s">
        <v>3207</v>
      </c>
      <c r="B1439">
        <v>1435</v>
      </c>
      <c r="C1439">
        <v>2435</v>
      </c>
      <c r="D1439" s="1" t="s">
        <v>1631</v>
      </c>
      <c r="E1439" t="s">
        <v>879</v>
      </c>
      <c r="G1439" t="s">
        <v>24</v>
      </c>
      <c r="I1439">
        <v>237</v>
      </c>
      <c r="J1439">
        <v>290</v>
      </c>
      <c r="K1439">
        <v>53</v>
      </c>
      <c r="L1439">
        <v>0.22359999999999999</v>
      </c>
      <c r="M1439" t="s">
        <v>3375</v>
      </c>
      <c r="N1439">
        <v>1439</v>
      </c>
    </row>
    <row r="1440" spans="1:14" x14ac:dyDescent="0.25">
      <c r="A1440" t="s">
        <v>3208</v>
      </c>
      <c r="B1440">
        <v>1436</v>
      </c>
      <c r="C1440">
        <v>2436</v>
      </c>
      <c r="D1440" s="1" t="s">
        <v>1632</v>
      </c>
      <c r="E1440" t="s">
        <v>72</v>
      </c>
      <c r="G1440" t="s">
        <v>24</v>
      </c>
      <c r="I1440">
        <v>312</v>
      </c>
      <c r="J1440">
        <v>395</v>
      </c>
      <c r="K1440">
        <v>83</v>
      </c>
      <c r="L1440">
        <v>0.26600000000000001</v>
      </c>
      <c r="M1440" t="s">
        <v>3375</v>
      </c>
      <c r="N1440">
        <v>1440</v>
      </c>
    </row>
    <row r="1441" spans="1:14" x14ac:dyDescent="0.25">
      <c r="A1441" t="s">
        <v>3209</v>
      </c>
      <c r="B1441">
        <v>1437</v>
      </c>
      <c r="C1441">
        <v>2437</v>
      </c>
      <c r="D1441" s="1" t="s">
        <v>1633</v>
      </c>
      <c r="E1441" t="s">
        <v>1474</v>
      </c>
      <c r="G1441" t="s">
        <v>24</v>
      </c>
      <c r="I1441">
        <v>62.3</v>
      </c>
      <c r="J1441">
        <v>75</v>
      </c>
      <c r="K1441">
        <v>12.7</v>
      </c>
      <c r="L1441">
        <v>0.2039</v>
      </c>
      <c r="M1441" t="s">
        <v>3375</v>
      </c>
      <c r="N1441">
        <v>1441</v>
      </c>
    </row>
    <row r="1442" spans="1:14" x14ac:dyDescent="0.25">
      <c r="A1442" t="s">
        <v>3210</v>
      </c>
      <c r="B1442">
        <v>1438</v>
      </c>
      <c r="C1442">
        <v>2438</v>
      </c>
      <c r="D1442" s="1" t="s">
        <v>1634</v>
      </c>
      <c r="E1442" t="s">
        <v>1474</v>
      </c>
      <c r="G1442" t="s">
        <v>24</v>
      </c>
      <c r="I1442">
        <v>45.04</v>
      </c>
      <c r="J1442">
        <v>60</v>
      </c>
      <c r="K1442">
        <v>14.96</v>
      </c>
      <c r="L1442">
        <v>0.33210000000000001</v>
      </c>
      <c r="M1442" t="s">
        <v>3375</v>
      </c>
      <c r="N1442">
        <v>1442</v>
      </c>
    </row>
    <row r="1443" spans="1:14" x14ac:dyDescent="0.25">
      <c r="A1443" t="s">
        <v>3211</v>
      </c>
      <c r="B1443">
        <v>1439</v>
      </c>
      <c r="C1443">
        <v>2439</v>
      </c>
      <c r="D1443" s="1" t="s">
        <v>1635</v>
      </c>
      <c r="E1443" t="s">
        <v>526</v>
      </c>
      <c r="G1443" t="s">
        <v>24</v>
      </c>
      <c r="I1443">
        <v>506</v>
      </c>
      <c r="J1443">
        <v>610</v>
      </c>
      <c r="K1443">
        <v>104</v>
      </c>
      <c r="L1443">
        <v>0.20549999999999999</v>
      </c>
      <c r="M1443" t="s">
        <v>3375</v>
      </c>
      <c r="N1443">
        <v>1443</v>
      </c>
    </row>
    <row r="1444" spans="1:14" x14ac:dyDescent="0.25">
      <c r="A1444" t="s">
        <v>3212</v>
      </c>
      <c r="B1444">
        <v>1440</v>
      </c>
      <c r="C1444">
        <v>2440</v>
      </c>
      <c r="D1444" s="1" t="s">
        <v>1636</v>
      </c>
      <c r="E1444" t="s">
        <v>1358</v>
      </c>
      <c r="G1444" t="s">
        <v>24</v>
      </c>
      <c r="I1444">
        <v>221</v>
      </c>
      <c r="J1444">
        <v>240</v>
      </c>
      <c r="K1444">
        <v>19</v>
      </c>
      <c r="L1444">
        <v>8.5999999999999993E-2</v>
      </c>
      <c r="M1444" t="s">
        <v>3375</v>
      </c>
      <c r="N1444">
        <v>1444</v>
      </c>
    </row>
    <row r="1445" spans="1:14" x14ac:dyDescent="0.25">
      <c r="A1445" t="s">
        <v>3213</v>
      </c>
      <c r="B1445">
        <v>1441</v>
      </c>
      <c r="C1445">
        <v>2441</v>
      </c>
      <c r="D1445" s="1" t="s">
        <v>1637</v>
      </c>
      <c r="E1445" t="s">
        <v>1439</v>
      </c>
      <c r="G1445" t="s">
        <v>24</v>
      </c>
      <c r="I1445">
        <v>30</v>
      </c>
      <c r="J1445">
        <v>65</v>
      </c>
      <c r="K1445">
        <v>35</v>
      </c>
      <c r="L1445">
        <v>1.1667000000000001</v>
      </c>
      <c r="M1445" t="s">
        <v>3375</v>
      </c>
      <c r="N1445">
        <v>1445</v>
      </c>
    </row>
    <row r="1446" spans="1:14" x14ac:dyDescent="0.25">
      <c r="A1446" t="s">
        <v>3214</v>
      </c>
      <c r="B1446">
        <v>1442</v>
      </c>
      <c r="C1446">
        <v>2442</v>
      </c>
      <c r="D1446" s="1" t="s">
        <v>1638</v>
      </c>
      <c r="E1446" t="s">
        <v>1639</v>
      </c>
      <c r="G1446" t="s">
        <v>24</v>
      </c>
      <c r="I1446">
        <v>3.5</v>
      </c>
      <c r="J1446">
        <v>9</v>
      </c>
      <c r="K1446">
        <v>5.5</v>
      </c>
      <c r="L1446">
        <v>1.5713999999999999</v>
      </c>
      <c r="M1446" t="s">
        <v>3375</v>
      </c>
      <c r="N1446">
        <v>1446</v>
      </c>
    </row>
    <row r="1447" spans="1:14" x14ac:dyDescent="0.25">
      <c r="A1447" t="s">
        <v>3215</v>
      </c>
      <c r="B1447">
        <v>1443</v>
      </c>
      <c r="C1447">
        <v>2443</v>
      </c>
      <c r="D1447" s="1" t="s">
        <v>1640</v>
      </c>
      <c r="E1447" t="s">
        <v>1639</v>
      </c>
      <c r="G1447" t="s">
        <v>24</v>
      </c>
      <c r="I1447">
        <v>3.75</v>
      </c>
      <c r="J1447">
        <v>10</v>
      </c>
      <c r="K1447">
        <v>6.25</v>
      </c>
      <c r="L1447">
        <v>1.6667000000000001</v>
      </c>
      <c r="M1447" t="s">
        <v>3375</v>
      </c>
      <c r="N1447">
        <v>1447</v>
      </c>
    </row>
    <row r="1448" spans="1:14" x14ac:dyDescent="0.25">
      <c r="A1448" t="s">
        <v>3216</v>
      </c>
      <c r="B1448">
        <v>1444</v>
      </c>
      <c r="C1448">
        <v>2444</v>
      </c>
      <c r="D1448" s="1" t="s">
        <v>1641</v>
      </c>
      <c r="E1448" t="s">
        <v>1639</v>
      </c>
      <c r="G1448" t="s">
        <v>24</v>
      </c>
      <c r="I1448">
        <v>5</v>
      </c>
      <c r="J1448">
        <v>12</v>
      </c>
      <c r="K1448">
        <v>7</v>
      </c>
      <c r="L1448">
        <v>1.4</v>
      </c>
      <c r="M1448" t="s">
        <v>3375</v>
      </c>
      <c r="N1448">
        <v>1448</v>
      </c>
    </row>
    <row r="1449" spans="1:14" x14ac:dyDescent="0.25">
      <c r="A1449" t="s">
        <v>3217</v>
      </c>
      <c r="B1449">
        <v>1445</v>
      </c>
      <c r="C1449">
        <v>2445</v>
      </c>
      <c r="D1449" s="1" t="s">
        <v>1642</v>
      </c>
      <c r="E1449" t="s">
        <v>1639</v>
      </c>
      <c r="G1449" t="s">
        <v>24</v>
      </c>
      <c r="I1449">
        <v>5.85</v>
      </c>
      <c r="J1449">
        <v>16</v>
      </c>
      <c r="K1449">
        <v>10.15</v>
      </c>
      <c r="L1449">
        <v>1.7350000000000001</v>
      </c>
      <c r="M1449" t="s">
        <v>3375</v>
      </c>
      <c r="N1449">
        <v>1449</v>
      </c>
    </row>
    <row r="1450" spans="1:14" x14ac:dyDescent="0.25">
      <c r="A1450" t="s">
        <v>3218</v>
      </c>
      <c r="B1450">
        <v>1446</v>
      </c>
      <c r="C1450">
        <v>2446</v>
      </c>
      <c r="D1450" s="1" t="s">
        <v>1643</v>
      </c>
      <c r="E1450" t="s">
        <v>1639</v>
      </c>
      <c r="G1450" t="s">
        <v>24</v>
      </c>
      <c r="I1450">
        <v>7.3</v>
      </c>
      <c r="J1450">
        <v>16</v>
      </c>
      <c r="K1450">
        <v>8.6999999999999993</v>
      </c>
      <c r="L1450">
        <v>1.1918</v>
      </c>
      <c r="M1450" t="s">
        <v>3375</v>
      </c>
      <c r="N1450">
        <v>1450</v>
      </c>
    </row>
    <row r="1451" spans="1:14" x14ac:dyDescent="0.25">
      <c r="A1451" t="s">
        <v>3219</v>
      </c>
      <c r="B1451">
        <v>1447</v>
      </c>
      <c r="C1451">
        <v>2447</v>
      </c>
      <c r="D1451" s="1" t="s">
        <v>1644</v>
      </c>
      <c r="E1451" t="s">
        <v>1639</v>
      </c>
      <c r="G1451" t="s">
        <v>24</v>
      </c>
      <c r="I1451">
        <v>10.75</v>
      </c>
      <c r="J1451">
        <v>23</v>
      </c>
      <c r="K1451">
        <v>12.25</v>
      </c>
      <c r="L1451">
        <v>1.1395</v>
      </c>
      <c r="M1451" t="s">
        <v>3375</v>
      </c>
      <c r="N1451">
        <v>1451</v>
      </c>
    </row>
    <row r="1452" spans="1:14" x14ac:dyDescent="0.25">
      <c r="A1452" t="s">
        <v>3220</v>
      </c>
      <c r="B1452">
        <v>1448</v>
      </c>
      <c r="C1452">
        <v>2448</v>
      </c>
      <c r="D1452" s="1" t="s">
        <v>1645</v>
      </c>
      <c r="E1452" t="s">
        <v>1639</v>
      </c>
      <c r="G1452" t="s">
        <v>24</v>
      </c>
      <c r="I1452">
        <v>11</v>
      </c>
      <c r="J1452">
        <v>23</v>
      </c>
      <c r="K1452">
        <v>12</v>
      </c>
      <c r="L1452">
        <v>1.0909</v>
      </c>
      <c r="M1452" t="s">
        <v>3375</v>
      </c>
      <c r="N1452">
        <v>1452</v>
      </c>
    </row>
    <row r="1453" spans="1:14" x14ac:dyDescent="0.25">
      <c r="A1453" t="s">
        <v>3221</v>
      </c>
      <c r="B1453">
        <v>1449</v>
      </c>
      <c r="C1453">
        <v>2449</v>
      </c>
      <c r="D1453" s="1" t="s">
        <v>1646</v>
      </c>
      <c r="E1453" t="s">
        <v>1639</v>
      </c>
      <c r="G1453" t="s">
        <v>24</v>
      </c>
      <c r="I1453">
        <v>14.5</v>
      </c>
      <c r="J1453">
        <v>25</v>
      </c>
      <c r="K1453">
        <v>10.5</v>
      </c>
      <c r="L1453">
        <v>0.72409999999999997</v>
      </c>
      <c r="M1453" t="s">
        <v>3375</v>
      </c>
      <c r="N1453">
        <v>1453</v>
      </c>
    </row>
    <row r="1454" spans="1:14" x14ac:dyDescent="0.25">
      <c r="A1454" t="s">
        <v>3222</v>
      </c>
      <c r="B1454">
        <v>1450</v>
      </c>
      <c r="C1454">
        <v>2450</v>
      </c>
      <c r="D1454" s="1" t="s">
        <v>1647</v>
      </c>
      <c r="E1454" t="s">
        <v>1639</v>
      </c>
      <c r="G1454" t="s">
        <v>24</v>
      </c>
      <c r="I1454">
        <v>15.75</v>
      </c>
      <c r="J1454">
        <v>26</v>
      </c>
      <c r="K1454">
        <v>10.25</v>
      </c>
      <c r="L1454">
        <v>0.65080000000000005</v>
      </c>
      <c r="M1454" t="s">
        <v>3375</v>
      </c>
      <c r="N1454">
        <v>1454</v>
      </c>
    </row>
    <row r="1455" spans="1:14" x14ac:dyDescent="0.25">
      <c r="A1455" t="s">
        <v>3223</v>
      </c>
      <c r="B1455">
        <v>1451</v>
      </c>
      <c r="C1455">
        <v>2451</v>
      </c>
      <c r="D1455" s="1" t="s">
        <v>1648</v>
      </c>
      <c r="E1455" t="s">
        <v>1639</v>
      </c>
      <c r="G1455" t="s">
        <v>24</v>
      </c>
      <c r="I1455">
        <v>7.75</v>
      </c>
      <c r="J1455">
        <v>16</v>
      </c>
      <c r="K1455">
        <v>8.25</v>
      </c>
      <c r="L1455">
        <v>1.0645</v>
      </c>
      <c r="M1455" t="s">
        <v>3375</v>
      </c>
      <c r="N1455">
        <v>1455</v>
      </c>
    </row>
    <row r="1456" spans="1:14" x14ac:dyDescent="0.25">
      <c r="A1456" t="s">
        <v>3224</v>
      </c>
      <c r="B1456">
        <v>1452</v>
      </c>
      <c r="C1456">
        <v>2452</v>
      </c>
      <c r="D1456" s="1" t="s">
        <v>1649</v>
      </c>
      <c r="E1456" t="s">
        <v>1625</v>
      </c>
      <c r="G1456" t="s">
        <v>24</v>
      </c>
      <c r="I1456">
        <v>69.5</v>
      </c>
      <c r="J1456">
        <v>95</v>
      </c>
      <c r="K1456">
        <v>25.5</v>
      </c>
      <c r="L1456">
        <v>0.3669</v>
      </c>
      <c r="M1456" t="s">
        <v>3375</v>
      </c>
      <c r="N1456">
        <v>1456</v>
      </c>
    </row>
    <row r="1457" spans="1:14" x14ac:dyDescent="0.25">
      <c r="A1457" t="s">
        <v>3225</v>
      </c>
      <c r="B1457">
        <v>1453</v>
      </c>
      <c r="C1457">
        <v>2453</v>
      </c>
      <c r="D1457" s="1" t="s">
        <v>1650</v>
      </c>
      <c r="E1457" t="s">
        <v>1625</v>
      </c>
      <c r="G1457" t="s">
        <v>24</v>
      </c>
      <c r="I1457">
        <v>56.6</v>
      </c>
      <c r="J1457">
        <v>85</v>
      </c>
      <c r="K1457">
        <v>28.4</v>
      </c>
      <c r="L1457">
        <v>0.50180000000000002</v>
      </c>
      <c r="M1457" t="s">
        <v>3375</v>
      </c>
      <c r="N1457">
        <v>1457</v>
      </c>
    </row>
    <row r="1458" spans="1:14" x14ac:dyDescent="0.25">
      <c r="A1458" t="s">
        <v>3226</v>
      </c>
      <c r="B1458">
        <v>1454</v>
      </c>
      <c r="C1458">
        <v>2454</v>
      </c>
      <c r="D1458" s="1" t="s">
        <v>1651</v>
      </c>
      <c r="E1458" t="s">
        <v>1625</v>
      </c>
      <c r="G1458" t="s">
        <v>24</v>
      </c>
      <c r="I1458">
        <v>59.5</v>
      </c>
      <c r="J1458">
        <v>90</v>
      </c>
      <c r="K1458">
        <v>30.5</v>
      </c>
      <c r="L1458">
        <v>0.51259999999999994</v>
      </c>
      <c r="M1458" t="s">
        <v>3375</v>
      </c>
      <c r="N1458">
        <v>1458</v>
      </c>
    </row>
    <row r="1459" spans="1:14" x14ac:dyDescent="0.25">
      <c r="A1459" t="s">
        <v>3227</v>
      </c>
      <c r="B1459">
        <v>1455</v>
      </c>
      <c r="C1459">
        <v>2455</v>
      </c>
      <c r="D1459" s="1" t="s">
        <v>1652</v>
      </c>
      <c r="E1459" t="s">
        <v>1089</v>
      </c>
      <c r="G1459" t="s">
        <v>24</v>
      </c>
      <c r="I1459">
        <v>275</v>
      </c>
      <c r="J1459">
        <v>325</v>
      </c>
      <c r="K1459">
        <v>50</v>
      </c>
      <c r="L1459">
        <v>0.18179999999999999</v>
      </c>
      <c r="M1459" t="s">
        <v>3375</v>
      </c>
      <c r="N1459">
        <v>1459</v>
      </c>
    </row>
    <row r="1460" spans="1:14" x14ac:dyDescent="0.25">
      <c r="A1460" t="s">
        <v>3228</v>
      </c>
      <c r="B1460">
        <v>1456</v>
      </c>
      <c r="C1460">
        <v>2456</v>
      </c>
      <c r="D1460" s="1" t="s">
        <v>1653</v>
      </c>
      <c r="E1460" t="s">
        <v>360</v>
      </c>
      <c r="G1460" t="s">
        <v>176</v>
      </c>
      <c r="I1460">
        <v>375</v>
      </c>
      <c r="J1460">
        <v>600</v>
      </c>
      <c r="K1460">
        <v>225</v>
      </c>
      <c r="L1460">
        <v>0.6</v>
      </c>
      <c r="M1460" t="s">
        <v>3375</v>
      </c>
      <c r="N1460">
        <v>1460</v>
      </c>
    </row>
    <row r="1461" spans="1:14" x14ac:dyDescent="0.25">
      <c r="A1461" t="s">
        <v>3229</v>
      </c>
      <c r="B1461">
        <v>1457</v>
      </c>
      <c r="C1461">
        <v>2457</v>
      </c>
      <c r="D1461" s="1" t="s">
        <v>1654</v>
      </c>
      <c r="E1461" t="s">
        <v>360</v>
      </c>
      <c r="G1461" t="s">
        <v>24</v>
      </c>
      <c r="I1461">
        <v>0.75</v>
      </c>
      <c r="J1461">
        <v>1.5</v>
      </c>
      <c r="K1461">
        <v>0.75</v>
      </c>
      <c r="L1461">
        <v>1</v>
      </c>
      <c r="M1461" t="s">
        <v>3375</v>
      </c>
      <c r="N1461">
        <v>1461</v>
      </c>
    </row>
    <row r="1462" spans="1:14" x14ac:dyDescent="0.25">
      <c r="A1462" t="s">
        <v>3230</v>
      </c>
      <c r="B1462">
        <v>1458</v>
      </c>
      <c r="C1462">
        <v>2458</v>
      </c>
      <c r="D1462" s="1" t="s">
        <v>1655</v>
      </c>
      <c r="E1462" t="s">
        <v>360</v>
      </c>
      <c r="G1462" t="s">
        <v>176</v>
      </c>
      <c r="I1462">
        <v>500</v>
      </c>
      <c r="J1462">
        <v>750</v>
      </c>
      <c r="K1462">
        <v>250</v>
      </c>
      <c r="L1462">
        <v>0.5</v>
      </c>
      <c r="M1462" t="s">
        <v>3375</v>
      </c>
      <c r="N1462">
        <v>1462</v>
      </c>
    </row>
    <row r="1463" spans="1:14" x14ac:dyDescent="0.25">
      <c r="A1463" t="s">
        <v>3231</v>
      </c>
      <c r="B1463">
        <v>1459</v>
      </c>
      <c r="C1463">
        <v>2459</v>
      </c>
      <c r="D1463" s="1" t="s">
        <v>1656</v>
      </c>
      <c r="E1463" t="s">
        <v>360</v>
      </c>
      <c r="G1463" t="s">
        <v>24</v>
      </c>
      <c r="I1463">
        <v>0.5</v>
      </c>
      <c r="J1463">
        <v>1.5</v>
      </c>
      <c r="K1463">
        <v>1</v>
      </c>
      <c r="L1463">
        <v>2</v>
      </c>
      <c r="M1463" t="s">
        <v>3375</v>
      </c>
      <c r="N1463">
        <v>1463</v>
      </c>
    </row>
    <row r="1464" spans="1:14" x14ac:dyDescent="0.25">
      <c r="A1464" t="s">
        <v>3232</v>
      </c>
      <c r="B1464">
        <v>1460</v>
      </c>
      <c r="C1464">
        <v>2460</v>
      </c>
      <c r="D1464" s="1" t="s">
        <v>1657</v>
      </c>
      <c r="E1464" t="s">
        <v>360</v>
      </c>
      <c r="G1464" t="s">
        <v>176</v>
      </c>
      <c r="I1464">
        <v>700</v>
      </c>
      <c r="J1464">
        <v>950</v>
      </c>
      <c r="K1464">
        <v>250</v>
      </c>
      <c r="L1464">
        <v>0.35709999999999997</v>
      </c>
      <c r="M1464" t="s">
        <v>3375</v>
      </c>
      <c r="N1464">
        <v>1464</v>
      </c>
    </row>
    <row r="1465" spans="1:14" x14ac:dyDescent="0.25">
      <c r="A1465" t="s">
        <v>3233</v>
      </c>
      <c r="B1465">
        <v>1461</v>
      </c>
      <c r="C1465">
        <v>2461</v>
      </c>
      <c r="D1465" s="1" t="s">
        <v>1658</v>
      </c>
      <c r="E1465" t="s">
        <v>360</v>
      </c>
      <c r="G1465" t="s">
        <v>24</v>
      </c>
      <c r="I1465">
        <v>0.7</v>
      </c>
      <c r="J1465">
        <v>1.5</v>
      </c>
      <c r="K1465">
        <v>0.8</v>
      </c>
      <c r="L1465">
        <v>1.1429</v>
      </c>
      <c r="M1465" t="s">
        <v>3375</v>
      </c>
      <c r="N1465">
        <v>1465</v>
      </c>
    </row>
    <row r="1466" spans="1:14" x14ac:dyDescent="0.25">
      <c r="A1466" t="s">
        <v>3234</v>
      </c>
      <c r="B1466">
        <v>1462</v>
      </c>
      <c r="C1466">
        <v>2462</v>
      </c>
      <c r="D1466" s="1" t="s">
        <v>1659</v>
      </c>
      <c r="E1466" t="s">
        <v>360</v>
      </c>
      <c r="G1466" t="s">
        <v>24</v>
      </c>
      <c r="I1466">
        <v>166.75</v>
      </c>
      <c r="J1466">
        <v>220</v>
      </c>
      <c r="K1466">
        <v>53.25</v>
      </c>
      <c r="L1466">
        <v>0.31929999999999997</v>
      </c>
      <c r="M1466" t="s">
        <v>3375</v>
      </c>
      <c r="N1466">
        <v>1466</v>
      </c>
    </row>
    <row r="1467" spans="1:14" x14ac:dyDescent="0.25">
      <c r="A1467" t="s">
        <v>3235</v>
      </c>
      <c r="B1467">
        <v>1463</v>
      </c>
      <c r="C1467">
        <v>2463</v>
      </c>
      <c r="D1467" s="1" t="s">
        <v>1660</v>
      </c>
      <c r="G1467" t="s">
        <v>24</v>
      </c>
      <c r="I1467">
        <v>10.02</v>
      </c>
      <c r="J1467">
        <v>15</v>
      </c>
      <c r="K1467">
        <v>4.9800000000000004</v>
      </c>
      <c r="L1467">
        <v>0.497</v>
      </c>
      <c r="M1467" t="s">
        <v>3375</v>
      </c>
      <c r="N1467">
        <v>1467</v>
      </c>
    </row>
    <row r="1468" spans="1:14" x14ac:dyDescent="0.25">
      <c r="A1468" t="s">
        <v>3236</v>
      </c>
      <c r="B1468">
        <v>1464</v>
      </c>
      <c r="C1468">
        <v>2464</v>
      </c>
      <c r="D1468" s="1" t="s">
        <v>1661</v>
      </c>
      <c r="E1468" t="s">
        <v>1662</v>
      </c>
      <c r="F1468" t="s">
        <v>810</v>
      </c>
      <c r="G1468" t="s">
        <v>24</v>
      </c>
      <c r="I1468">
        <v>4195</v>
      </c>
      <c r="J1468">
        <v>4695</v>
      </c>
      <c r="K1468">
        <v>500</v>
      </c>
      <c r="L1468">
        <v>0.1192</v>
      </c>
      <c r="M1468" t="s">
        <v>3375</v>
      </c>
      <c r="N1468">
        <v>1468</v>
      </c>
    </row>
    <row r="1469" spans="1:14" x14ac:dyDescent="0.25">
      <c r="A1469" t="s">
        <v>3237</v>
      </c>
      <c r="B1469">
        <v>1465</v>
      </c>
      <c r="C1469">
        <v>2465</v>
      </c>
      <c r="D1469" s="1" t="s">
        <v>1663</v>
      </c>
      <c r="E1469" t="s">
        <v>360</v>
      </c>
      <c r="G1469" t="s">
        <v>24</v>
      </c>
      <c r="I1469">
        <v>150</v>
      </c>
      <c r="J1469">
        <v>200</v>
      </c>
      <c r="K1469">
        <v>50</v>
      </c>
      <c r="L1469">
        <v>0.33329999999999999</v>
      </c>
      <c r="M1469" t="s">
        <v>3375</v>
      </c>
      <c r="N1469">
        <v>1469</v>
      </c>
    </row>
    <row r="1470" spans="1:14" x14ac:dyDescent="0.25">
      <c r="A1470" t="s">
        <v>3238</v>
      </c>
      <c r="B1470">
        <v>1466</v>
      </c>
      <c r="C1470">
        <v>2466</v>
      </c>
      <c r="D1470" s="1" t="s">
        <v>1664</v>
      </c>
      <c r="G1470" t="s">
        <v>24</v>
      </c>
      <c r="I1470">
        <v>2</v>
      </c>
      <c r="J1470">
        <v>25</v>
      </c>
      <c r="K1470">
        <v>23</v>
      </c>
      <c r="L1470">
        <v>11.5</v>
      </c>
      <c r="M1470" t="s">
        <v>3375</v>
      </c>
      <c r="N1470">
        <v>1470</v>
      </c>
    </row>
    <row r="1471" spans="1:14" x14ac:dyDescent="0.25">
      <c r="A1471" t="s">
        <v>3239</v>
      </c>
      <c r="B1471">
        <v>1467</v>
      </c>
      <c r="C1471">
        <v>2467</v>
      </c>
      <c r="D1471" s="1" t="s">
        <v>1665</v>
      </c>
      <c r="E1471" t="s">
        <v>1625</v>
      </c>
      <c r="G1471" t="s">
        <v>24</v>
      </c>
      <c r="I1471">
        <v>43</v>
      </c>
      <c r="J1471">
        <v>70</v>
      </c>
      <c r="K1471">
        <v>27</v>
      </c>
      <c r="L1471">
        <v>0.62790000000000001</v>
      </c>
      <c r="M1471" t="s">
        <v>3375</v>
      </c>
      <c r="N1471">
        <v>1471</v>
      </c>
    </row>
    <row r="1472" spans="1:14" x14ac:dyDescent="0.25">
      <c r="A1472" t="s">
        <v>3240</v>
      </c>
      <c r="B1472">
        <v>1468</v>
      </c>
      <c r="C1472">
        <v>2468</v>
      </c>
      <c r="D1472" s="1" t="s">
        <v>1666</v>
      </c>
      <c r="E1472" t="s">
        <v>1667</v>
      </c>
      <c r="G1472" t="s">
        <v>24</v>
      </c>
      <c r="I1472">
        <v>2305</v>
      </c>
      <c r="J1472">
        <v>2805</v>
      </c>
      <c r="K1472">
        <v>500</v>
      </c>
      <c r="L1472">
        <v>0.21690000000000001</v>
      </c>
      <c r="M1472" t="s">
        <v>3375</v>
      </c>
      <c r="N1472">
        <v>1472</v>
      </c>
    </row>
    <row r="1473" spans="1:14" x14ac:dyDescent="0.25">
      <c r="A1473" t="s">
        <v>3241</v>
      </c>
      <c r="B1473">
        <v>1469</v>
      </c>
      <c r="C1473">
        <v>2469</v>
      </c>
      <c r="D1473" s="1" t="s">
        <v>1668</v>
      </c>
      <c r="E1473" t="s">
        <v>342</v>
      </c>
      <c r="G1473" t="s">
        <v>24</v>
      </c>
      <c r="I1473">
        <v>600</v>
      </c>
      <c r="J1473">
        <v>700</v>
      </c>
      <c r="K1473">
        <v>100</v>
      </c>
      <c r="L1473">
        <v>0.16669999999999999</v>
      </c>
      <c r="M1473" t="s">
        <v>3375</v>
      </c>
      <c r="N1473">
        <v>1473</v>
      </c>
    </row>
    <row r="1474" spans="1:14" x14ac:dyDescent="0.25">
      <c r="A1474" t="s">
        <v>3242</v>
      </c>
      <c r="B1474">
        <v>1470</v>
      </c>
      <c r="C1474">
        <v>2470</v>
      </c>
      <c r="D1474" s="1" t="s">
        <v>1669</v>
      </c>
      <c r="E1474" t="s">
        <v>342</v>
      </c>
      <c r="G1474" t="s">
        <v>24</v>
      </c>
      <c r="I1474">
        <v>1180</v>
      </c>
      <c r="J1474">
        <v>1280</v>
      </c>
      <c r="K1474">
        <v>100</v>
      </c>
      <c r="L1474">
        <v>8.4699999999999998E-2</v>
      </c>
      <c r="M1474" t="s">
        <v>3375</v>
      </c>
      <c r="N1474">
        <v>1474</v>
      </c>
    </row>
    <row r="1475" spans="1:14" x14ac:dyDescent="0.25">
      <c r="A1475" t="s">
        <v>3243</v>
      </c>
      <c r="B1475">
        <v>1471</v>
      </c>
      <c r="C1475">
        <v>2471</v>
      </c>
      <c r="D1475" s="1" t="s">
        <v>1670</v>
      </c>
      <c r="E1475" t="s">
        <v>1625</v>
      </c>
      <c r="G1475" t="s">
        <v>24</v>
      </c>
      <c r="I1475">
        <v>43</v>
      </c>
      <c r="J1475">
        <v>70</v>
      </c>
      <c r="K1475">
        <v>27</v>
      </c>
      <c r="L1475">
        <v>0.62790000000000001</v>
      </c>
      <c r="M1475" t="s">
        <v>3375</v>
      </c>
      <c r="N1475">
        <v>1475</v>
      </c>
    </row>
    <row r="1476" spans="1:14" x14ac:dyDescent="0.25">
      <c r="A1476" t="s">
        <v>3244</v>
      </c>
      <c r="B1476">
        <v>1472</v>
      </c>
      <c r="C1476">
        <v>2472</v>
      </c>
      <c r="D1476" s="1" t="s">
        <v>1671</v>
      </c>
      <c r="E1476" t="s">
        <v>1667</v>
      </c>
      <c r="G1476" t="s">
        <v>24</v>
      </c>
      <c r="I1476">
        <v>55</v>
      </c>
      <c r="J1476">
        <v>75</v>
      </c>
      <c r="K1476">
        <v>20</v>
      </c>
      <c r="L1476">
        <v>0.36359999999999998</v>
      </c>
      <c r="M1476" t="s">
        <v>3375</v>
      </c>
      <c r="N1476">
        <v>1476</v>
      </c>
    </row>
    <row r="1477" spans="1:14" x14ac:dyDescent="0.25">
      <c r="A1477" t="s">
        <v>3245</v>
      </c>
      <c r="B1477">
        <v>1473</v>
      </c>
      <c r="C1477">
        <v>2473</v>
      </c>
      <c r="D1477" s="1" t="s">
        <v>1672</v>
      </c>
      <c r="G1477" t="s">
        <v>24</v>
      </c>
      <c r="I1477">
        <v>820</v>
      </c>
      <c r="J1477">
        <v>744</v>
      </c>
      <c r="K1477">
        <v>76</v>
      </c>
      <c r="L1477">
        <v>-9.2700000000000005E-2</v>
      </c>
      <c r="M1477" t="s">
        <v>3375</v>
      </c>
      <c r="N1477">
        <v>1477</v>
      </c>
    </row>
    <row r="1478" spans="1:14" x14ac:dyDescent="0.25">
      <c r="A1478" t="s">
        <v>3246</v>
      </c>
      <c r="B1478">
        <v>1474</v>
      </c>
      <c r="C1478">
        <v>2474</v>
      </c>
      <c r="D1478" s="1" t="s">
        <v>1673</v>
      </c>
      <c r="G1478" t="s">
        <v>24</v>
      </c>
      <c r="I1478">
        <v>750</v>
      </c>
      <c r="J1478">
        <v>862</v>
      </c>
      <c r="K1478">
        <v>112</v>
      </c>
      <c r="L1478">
        <v>0.14929999999999999</v>
      </c>
      <c r="M1478" t="s">
        <v>3375</v>
      </c>
      <c r="N1478">
        <v>1478</v>
      </c>
    </row>
    <row r="1479" spans="1:14" x14ac:dyDescent="0.25">
      <c r="A1479" t="s">
        <v>3247</v>
      </c>
      <c r="B1479">
        <v>1475</v>
      </c>
      <c r="C1479">
        <v>2475</v>
      </c>
      <c r="D1479" s="1" t="s">
        <v>1674</v>
      </c>
      <c r="G1479" t="s">
        <v>24</v>
      </c>
      <c r="I1479">
        <v>755</v>
      </c>
      <c r="J1479">
        <v>744</v>
      </c>
      <c r="K1479">
        <v>11</v>
      </c>
      <c r="L1479">
        <v>-1.46E-2</v>
      </c>
      <c r="M1479" t="s">
        <v>3375</v>
      </c>
      <c r="N1479">
        <v>1479</v>
      </c>
    </row>
    <row r="1480" spans="1:14" x14ac:dyDescent="0.25">
      <c r="A1480" t="s">
        <v>3248</v>
      </c>
      <c r="B1480">
        <v>1476</v>
      </c>
      <c r="C1480">
        <v>2476</v>
      </c>
      <c r="D1480" s="1" t="s">
        <v>1675</v>
      </c>
      <c r="G1480" t="s">
        <v>24</v>
      </c>
      <c r="I1480">
        <v>600</v>
      </c>
      <c r="J1480">
        <v>669</v>
      </c>
      <c r="K1480">
        <v>69</v>
      </c>
      <c r="L1480">
        <v>0.115</v>
      </c>
      <c r="M1480" t="s">
        <v>3375</v>
      </c>
      <c r="N1480">
        <v>1480</v>
      </c>
    </row>
    <row r="1481" spans="1:14" x14ac:dyDescent="0.25">
      <c r="A1481" t="s">
        <v>3249</v>
      </c>
      <c r="B1481">
        <v>1477</v>
      </c>
      <c r="C1481">
        <v>2477</v>
      </c>
      <c r="D1481" s="1" t="s">
        <v>1676</v>
      </c>
      <c r="G1481" t="s">
        <v>24</v>
      </c>
      <c r="I1481">
        <v>640</v>
      </c>
      <c r="J1481">
        <v>859</v>
      </c>
      <c r="K1481">
        <v>219</v>
      </c>
      <c r="L1481">
        <v>0.3422</v>
      </c>
      <c r="M1481" t="s">
        <v>3375</v>
      </c>
      <c r="N1481">
        <v>1481</v>
      </c>
    </row>
    <row r="1482" spans="1:14" x14ac:dyDescent="0.25">
      <c r="A1482" t="s">
        <v>3250</v>
      </c>
      <c r="B1482">
        <v>1478</v>
      </c>
      <c r="C1482">
        <v>2478</v>
      </c>
      <c r="D1482" s="1" t="s">
        <v>1677</v>
      </c>
      <c r="G1482" t="s">
        <v>24</v>
      </c>
      <c r="I1482">
        <v>105</v>
      </c>
      <c r="J1482">
        <v>185</v>
      </c>
      <c r="K1482">
        <v>80</v>
      </c>
      <c r="L1482">
        <v>0.76190000000000002</v>
      </c>
      <c r="M1482" t="s">
        <v>3375</v>
      </c>
      <c r="N1482">
        <v>1482</v>
      </c>
    </row>
    <row r="1483" spans="1:14" x14ac:dyDescent="0.25">
      <c r="A1483" t="s">
        <v>3251</v>
      </c>
      <c r="B1483">
        <v>1479</v>
      </c>
      <c r="C1483">
        <v>2479</v>
      </c>
      <c r="D1483" s="1" t="s">
        <v>1678</v>
      </c>
      <c r="G1483" t="s">
        <v>24</v>
      </c>
      <c r="I1483">
        <v>720</v>
      </c>
      <c r="J1483">
        <v>775</v>
      </c>
      <c r="K1483">
        <v>55</v>
      </c>
      <c r="L1483">
        <v>7.6399999999999996E-2</v>
      </c>
      <c r="M1483" t="s">
        <v>3375</v>
      </c>
      <c r="N1483">
        <v>1483</v>
      </c>
    </row>
    <row r="1484" spans="1:14" x14ac:dyDescent="0.25">
      <c r="A1484" t="s">
        <v>3252</v>
      </c>
      <c r="B1484">
        <v>1480</v>
      </c>
      <c r="C1484">
        <v>2480</v>
      </c>
      <c r="D1484" s="1" t="s">
        <v>1679</v>
      </c>
      <c r="G1484" t="s">
        <v>24</v>
      </c>
      <c r="I1484">
        <v>55</v>
      </c>
      <c r="J1484">
        <v>45</v>
      </c>
      <c r="K1484">
        <v>10</v>
      </c>
      <c r="L1484">
        <v>-0.18179999999999999</v>
      </c>
      <c r="M1484" t="s">
        <v>3375</v>
      </c>
      <c r="N1484">
        <v>1484</v>
      </c>
    </row>
    <row r="1485" spans="1:14" x14ac:dyDescent="0.25">
      <c r="A1485" t="s">
        <v>3253</v>
      </c>
      <c r="B1485">
        <v>1481</v>
      </c>
      <c r="C1485">
        <v>2481</v>
      </c>
      <c r="D1485" s="1" t="s">
        <v>1680</v>
      </c>
      <c r="G1485" t="s">
        <v>24</v>
      </c>
      <c r="I1485">
        <v>30</v>
      </c>
      <c r="J1485">
        <v>60</v>
      </c>
      <c r="K1485">
        <v>30</v>
      </c>
      <c r="L1485">
        <v>1</v>
      </c>
      <c r="M1485" t="s">
        <v>3375</v>
      </c>
      <c r="N1485">
        <v>1485</v>
      </c>
    </row>
    <row r="1486" spans="1:14" x14ac:dyDescent="0.25">
      <c r="A1486" t="s">
        <v>3254</v>
      </c>
      <c r="B1486">
        <v>1482</v>
      </c>
      <c r="C1486">
        <v>2482</v>
      </c>
      <c r="D1486" s="1" t="s">
        <v>1681</v>
      </c>
      <c r="G1486" t="s">
        <v>24</v>
      </c>
      <c r="I1486">
        <v>29</v>
      </c>
      <c r="J1486">
        <v>50</v>
      </c>
      <c r="K1486">
        <v>21</v>
      </c>
      <c r="L1486">
        <v>0.72409999999999997</v>
      </c>
      <c r="M1486" t="s">
        <v>3375</v>
      </c>
      <c r="N1486">
        <v>1486</v>
      </c>
    </row>
    <row r="1487" spans="1:14" x14ac:dyDescent="0.25">
      <c r="A1487" t="s">
        <v>3255</v>
      </c>
      <c r="B1487">
        <v>1483</v>
      </c>
      <c r="C1487">
        <v>2483</v>
      </c>
      <c r="D1487" s="1" t="s">
        <v>1682</v>
      </c>
      <c r="G1487" t="s">
        <v>24</v>
      </c>
      <c r="I1487">
        <v>7.8</v>
      </c>
      <c r="J1487">
        <v>12</v>
      </c>
      <c r="K1487">
        <v>4.2</v>
      </c>
      <c r="L1487">
        <v>0.53849999999999998</v>
      </c>
      <c r="M1487" t="s">
        <v>3375</v>
      </c>
      <c r="N1487">
        <v>1487</v>
      </c>
    </row>
    <row r="1488" spans="1:14" x14ac:dyDescent="0.25">
      <c r="A1488" t="s">
        <v>3256</v>
      </c>
      <c r="B1488">
        <v>1484</v>
      </c>
      <c r="C1488">
        <v>2484</v>
      </c>
      <c r="D1488" s="1" t="s">
        <v>1683</v>
      </c>
      <c r="G1488" t="s">
        <v>24</v>
      </c>
      <c r="I1488">
        <v>3</v>
      </c>
      <c r="J1488">
        <v>6</v>
      </c>
      <c r="K1488">
        <v>3</v>
      </c>
      <c r="L1488">
        <v>1</v>
      </c>
      <c r="M1488" t="s">
        <v>3375</v>
      </c>
      <c r="N1488">
        <v>1488</v>
      </c>
    </row>
    <row r="1489" spans="1:14" x14ac:dyDescent="0.25">
      <c r="A1489" t="s">
        <v>3257</v>
      </c>
      <c r="B1489">
        <v>1485</v>
      </c>
      <c r="C1489">
        <v>2485</v>
      </c>
      <c r="D1489" s="1" t="s">
        <v>1684</v>
      </c>
      <c r="G1489" t="s">
        <v>24</v>
      </c>
      <c r="I1489">
        <v>3</v>
      </c>
      <c r="J1489">
        <v>2.5</v>
      </c>
      <c r="K1489">
        <v>0.5</v>
      </c>
      <c r="L1489">
        <v>-0.16669999999999999</v>
      </c>
      <c r="M1489" t="s">
        <v>3375</v>
      </c>
      <c r="N1489">
        <v>1489</v>
      </c>
    </row>
    <row r="1490" spans="1:14" x14ac:dyDescent="0.25">
      <c r="A1490" t="s">
        <v>3258</v>
      </c>
      <c r="B1490">
        <v>1486</v>
      </c>
      <c r="C1490">
        <v>2486</v>
      </c>
      <c r="D1490" s="1" t="s">
        <v>1685</v>
      </c>
      <c r="G1490" t="s">
        <v>24</v>
      </c>
      <c r="I1490">
        <v>58</v>
      </c>
      <c r="J1490">
        <v>65</v>
      </c>
      <c r="K1490">
        <v>7</v>
      </c>
      <c r="L1490">
        <v>0.1207</v>
      </c>
      <c r="M1490" t="s">
        <v>3375</v>
      </c>
      <c r="N1490">
        <v>1490</v>
      </c>
    </row>
    <row r="1491" spans="1:14" x14ac:dyDescent="0.25">
      <c r="A1491" t="s">
        <v>3259</v>
      </c>
      <c r="B1491">
        <v>1487</v>
      </c>
      <c r="C1491">
        <v>2487</v>
      </c>
      <c r="D1491" s="1" t="s">
        <v>1686</v>
      </c>
      <c r="E1491" t="s">
        <v>1597</v>
      </c>
      <c r="G1491" t="s">
        <v>24</v>
      </c>
      <c r="I1491">
        <v>42</v>
      </c>
      <c r="J1491">
        <v>64</v>
      </c>
      <c r="K1491">
        <v>22</v>
      </c>
      <c r="L1491">
        <v>0.52380000000000004</v>
      </c>
      <c r="M1491" t="s">
        <v>3375</v>
      </c>
      <c r="N1491">
        <v>1491</v>
      </c>
    </row>
    <row r="1492" spans="1:14" x14ac:dyDescent="0.25">
      <c r="A1492" t="s">
        <v>3260</v>
      </c>
      <c r="B1492">
        <v>1488</v>
      </c>
      <c r="C1492">
        <v>2488</v>
      </c>
      <c r="D1492" s="1" t="s">
        <v>1687</v>
      </c>
      <c r="G1492" t="s">
        <v>24</v>
      </c>
      <c r="I1492">
        <v>245</v>
      </c>
      <c r="J1492">
        <v>265</v>
      </c>
      <c r="K1492">
        <v>20</v>
      </c>
      <c r="L1492">
        <v>8.1600000000000006E-2</v>
      </c>
      <c r="M1492" t="s">
        <v>3375</v>
      </c>
      <c r="N1492">
        <v>1492</v>
      </c>
    </row>
    <row r="1493" spans="1:14" x14ac:dyDescent="0.25">
      <c r="A1493" t="s">
        <v>3261</v>
      </c>
      <c r="B1493">
        <v>1489</v>
      </c>
      <c r="C1493">
        <v>2489</v>
      </c>
      <c r="D1493" s="1" t="s">
        <v>1688</v>
      </c>
      <c r="G1493" t="s">
        <v>24</v>
      </c>
      <c r="I1493">
        <v>490</v>
      </c>
      <c r="J1493">
        <v>750</v>
      </c>
      <c r="K1493">
        <v>260</v>
      </c>
      <c r="L1493">
        <v>0.53059999999999996</v>
      </c>
      <c r="M1493" t="s">
        <v>3375</v>
      </c>
      <c r="N1493">
        <v>1493</v>
      </c>
    </row>
    <row r="1494" spans="1:14" x14ac:dyDescent="0.25">
      <c r="A1494" t="s">
        <v>3262</v>
      </c>
      <c r="B1494">
        <v>1490</v>
      </c>
      <c r="C1494">
        <v>2490</v>
      </c>
      <c r="D1494" s="1" t="s">
        <v>1689</v>
      </c>
      <c r="G1494" t="s">
        <v>24</v>
      </c>
      <c r="I1494">
        <v>80</v>
      </c>
      <c r="J1494">
        <v>135</v>
      </c>
      <c r="K1494">
        <v>55</v>
      </c>
      <c r="L1494">
        <v>0.6875</v>
      </c>
      <c r="M1494" t="s">
        <v>3375</v>
      </c>
      <c r="N1494">
        <v>1494</v>
      </c>
    </row>
    <row r="1495" spans="1:14" x14ac:dyDescent="0.25">
      <c r="A1495" t="s">
        <v>3263</v>
      </c>
      <c r="B1495">
        <v>1491</v>
      </c>
      <c r="C1495">
        <v>2491</v>
      </c>
      <c r="D1495" s="1" t="s">
        <v>1690</v>
      </c>
      <c r="E1495" t="s">
        <v>360</v>
      </c>
      <c r="G1495" t="s">
        <v>24</v>
      </c>
      <c r="I1495">
        <v>200</v>
      </c>
      <c r="J1495">
        <v>285</v>
      </c>
      <c r="K1495">
        <v>85</v>
      </c>
      <c r="L1495">
        <v>0.42499999999999999</v>
      </c>
      <c r="M1495" t="s">
        <v>3375</v>
      </c>
      <c r="N1495">
        <v>1495</v>
      </c>
    </row>
    <row r="1496" spans="1:14" x14ac:dyDescent="0.25">
      <c r="A1496" t="s">
        <v>3264</v>
      </c>
      <c r="B1496">
        <v>1492</v>
      </c>
      <c r="C1496">
        <v>2492</v>
      </c>
      <c r="D1496" s="1" t="s">
        <v>1691</v>
      </c>
      <c r="G1496" t="s">
        <v>24</v>
      </c>
      <c r="I1496">
        <v>300</v>
      </c>
      <c r="J1496">
        <v>490</v>
      </c>
      <c r="K1496">
        <v>190</v>
      </c>
      <c r="L1496">
        <v>0.63329999999999997</v>
      </c>
      <c r="M1496" t="s">
        <v>3375</v>
      </c>
      <c r="N1496">
        <v>1496</v>
      </c>
    </row>
    <row r="1497" spans="1:14" x14ac:dyDescent="0.25">
      <c r="A1497" t="s">
        <v>3265</v>
      </c>
      <c r="B1497">
        <v>1493</v>
      </c>
      <c r="C1497">
        <v>2493</v>
      </c>
      <c r="D1497" s="1" t="s">
        <v>1692</v>
      </c>
      <c r="G1497" t="s">
        <v>24</v>
      </c>
      <c r="I1497">
        <v>50</v>
      </c>
      <c r="J1497">
        <v>75</v>
      </c>
      <c r="K1497">
        <v>25</v>
      </c>
      <c r="L1497">
        <v>0.5</v>
      </c>
      <c r="M1497" t="s">
        <v>3375</v>
      </c>
      <c r="N1497">
        <v>1497</v>
      </c>
    </row>
    <row r="1498" spans="1:14" x14ac:dyDescent="0.25">
      <c r="A1498" t="s">
        <v>3266</v>
      </c>
      <c r="B1498">
        <v>1494</v>
      </c>
      <c r="C1498">
        <v>2494</v>
      </c>
      <c r="D1498" s="1" t="s">
        <v>1693</v>
      </c>
      <c r="E1498" t="s">
        <v>360</v>
      </c>
      <c r="G1498" t="s">
        <v>24</v>
      </c>
      <c r="I1498">
        <v>185</v>
      </c>
      <c r="J1498">
        <v>280</v>
      </c>
      <c r="K1498">
        <v>95</v>
      </c>
      <c r="L1498">
        <v>0.51349999999999996</v>
      </c>
      <c r="M1498" t="s">
        <v>3375</v>
      </c>
      <c r="N1498">
        <v>1498</v>
      </c>
    </row>
    <row r="1499" spans="1:14" x14ac:dyDescent="0.25">
      <c r="A1499" t="s">
        <v>3267</v>
      </c>
      <c r="B1499">
        <v>1495</v>
      </c>
      <c r="C1499">
        <v>2495</v>
      </c>
      <c r="D1499" s="1" t="s">
        <v>1694</v>
      </c>
      <c r="E1499" t="s">
        <v>360</v>
      </c>
      <c r="G1499" t="s">
        <v>176</v>
      </c>
      <c r="I1499">
        <v>850</v>
      </c>
      <c r="J1499">
        <v>1150</v>
      </c>
      <c r="K1499">
        <v>300</v>
      </c>
      <c r="L1499">
        <v>0.35289999999999999</v>
      </c>
      <c r="M1499" t="s">
        <v>3375</v>
      </c>
      <c r="N1499">
        <v>1499</v>
      </c>
    </row>
    <row r="1500" spans="1:14" x14ac:dyDescent="0.25">
      <c r="A1500" t="s">
        <v>3268</v>
      </c>
      <c r="B1500">
        <v>1496</v>
      </c>
      <c r="C1500">
        <v>2496</v>
      </c>
      <c r="D1500" s="1" t="s">
        <v>1695</v>
      </c>
      <c r="E1500" t="s">
        <v>360</v>
      </c>
      <c r="G1500" t="s">
        <v>176</v>
      </c>
      <c r="I1500">
        <v>522.5</v>
      </c>
      <c r="J1500">
        <v>825</v>
      </c>
      <c r="K1500">
        <v>302.5</v>
      </c>
      <c r="L1500">
        <v>0.57889999999999997</v>
      </c>
      <c r="M1500" t="s">
        <v>3375</v>
      </c>
      <c r="N1500">
        <v>1500</v>
      </c>
    </row>
    <row r="1501" spans="1:14" x14ac:dyDescent="0.25">
      <c r="A1501" t="s">
        <v>3269</v>
      </c>
      <c r="B1501">
        <v>1497</v>
      </c>
      <c r="C1501">
        <v>2497</v>
      </c>
      <c r="D1501" s="1" t="s">
        <v>1696</v>
      </c>
      <c r="E1501" t="s">
        <v>360</v>
      </c>
      <c r="G1501" t="s">
        <v>176</v>
      </c>
      <c r="I1501">
        <v>402.5</v>
      </c>
      <c r="J1501">
        <v>705</v>
      </c>
      <c r="K1501">
        <v>302.5</v>
      </c>
      <c r="L1501">
        <v>0.75160000000000005</v>
      </c>
      <c r="M1501" t="s">
        <v>3375</v>
      </c>
      <c r="N1501">
        <v>1501</v>
      </c>
    </row>
    <row r="1502" spans="1:14" x14ac:dyDescent="0.25">
      <c r="A1502" t="s">
        <v>3270</v>
      </c>
      <c r="B1502">
        <v>1498</v>
      </c>
      <c r="C1502">
        <v>2498</v>
      </c>
      <c r="D1502" s="1" t="s">
        <v>1697</v>
      </c>
      <c r="E1502" t="s">
        <v>360</v>
      </c>
      <c r="G1502" t="s">
        <v>24</v>
      </c>
      <c r="I1502">
        <v>0.85</v>
      </c>
      <c r="J1502">
        <v>1.85</v>
      </c>
      <c r="K1502">
        <v>1</v>
      </c>
      <c r="L1502">
        <v>1.1765000000000001</v>
      </c>
      <c r="M1502" t="s">
        <v>3375</v>
      </c>
      <c r="N1502">
        <v>1502</v>
      </c>
    </row>
    <row r="1503" spans="1:14" x14ac:dyDescent="0.25">
      <c r="A1503" t="s">
        <v>3271</v>
      </c>
      <c r="B1503">
        <v>1499</v>
      </c>
      <c r="C1503">
        <v>2499</v>
      </c>
      <c r="D1503" s="1" t="s">
        <v>1698</v>
      </c>
      <c r="E1503" t="s">
        <v>360</v>
      </c>
      <c r="G1503" t="s">
        <v>24</v>
      </c>
      <c r="I1503">
        <v>0.95</v>
      </c>
      <c r="J1503">
        <v>1.95</v>
      </c>
      <c r="K1503">
        <v>1</v>
      </c>
      <c r="L1503">
        <v>1.0526</v>
      </c>
      <c r="M1503" t="s">
        <v>3375</v>
      </c>
      <c r="N1503">
        <v>1503</v>
      </c>
    </row>
    <row r="1504" spans="1:14" x14ac:dyDescent="0.25">
      <c r="A1504" t="s">
        <v>3272</v>
      </c>
      <c r="B1504">
        <v>1500</v>
      </c>
      <c r="C1504">
        <v>2500</v>
      </c>
      <c r="D1504" s="1" t="s">
        <v>1699</v>
      </c>
      <c r="E1504" t="s">
        <v>360</v>
      </c>
      <c r="G1504" t="s">
        <v>24</v>
      </c>
      <c r="I1504">
        <v>1.1499999999999999</v>
      </c>
      <c r="J1504">
        <v>2.2000000000000002</v>
      </c>
      <c r="K1504">
        <v>1.05</v>
      </c>
      <c r="L1504">
        <v>0.91300000000000003</v>
      </c>
      <c r="M1504" t="s">
        <v>3375</v>
      </c>
      <c r="N1504">
        <v>1504</v>
      </c>
    </row>
    <row r="1505" spans="1:14" x14ac:dyDescent="0.25">
      <c r="A1505" t="s">
        <v>3273</v>
      </c>
      <c r="B1505">
        <v>1501</v>
      </c>
      <c r="C1505">
        <v>2501</v>
      </c>
      <c r="D1505" s="1" t="s">
        <v>1700</v>
      </c>
      <c r="E1505" t="s">
        <v>360</v>
      </c>
      <c r="G1505" t="s">
        <v>24</v>
      </c>
      <c r="I1505">
        <v>22.15</v>
      </c>
      <c r="J1505">
        <v>33</v>
      </c>
      <c r="K1505">
        <v>10.85</v>
      </c>
      <c r="L1505">
        <v>0.48980000000000001</v>
      </c>
      <c r="M1505" t="s">
        <v>3375</v>
      </c>
      <c r="N1505">
        <v>1505</v>
      </c>
    </row>
    <row r="1506" spans="1:14" x14ac:dyDescent="0.25">
      <c r="A1506" t="s">
        <v>3274</v>
      </c>
      <c r="B1506">
        <v>1502</v>
      </c>
      <c r="C1506">
        <v>2502</v>
      </c>
      <c r="D1506" s="1" t="s">
        <v>1701</v>
      </c>
      <c r="F1506" t="s">
        <v>1702</v>
      </c>
      <c r="G1506" t="s">
        <v>24</v>
      </c>
      <c r="I1506">
        <v>330</v>
      </c>
      <c r="J1506">
        <v>495</v>
      </c>
      <c r="K1506">
        <v>165</v>
      </c>
      <c r="L1506">
        <v>0.5</v>
      </c>
      <c r="M1506" t="s">
        <v>3375</v>
      </c>
      <c r="N1506">
        <v>1506</v>
      </c>
    </row>
    <row r="1507" spans="1:14" x14ac:dyDescent="0.25">
      <c r="A1507" t="s">
        <v>3275</v>
      </c>
      <c r="B1507">
        <v>1503</v>
      </c>
      <c r="C1507">
        <v>2503</v>
      </c>
      <c r="D1507" s="1" t="s">
        <v>1703</v>
      </c>
      <c r="F1507" t="s">
        <v>981</v>
      </c>
      <c r="G1507" t="s">
        <v>24</v>
      </c>
      <c r="I1507">
        <v>240</v>
      </c>
      <c r="J1507">
        <v>265</v>
      </c>
      <c r="K1507">
        <v>25</v>
      </c>
      <c r="L1507">
        <v>0.1042</v>
      </c>
      <c r="M1507" t="s">
        <v>3375</v>
      </c>
      <c r="N1507">
        <v>1507</v>
      </c>
    </row>
    <row r="1508" spans="1:14" x14ac:dyDescent="0.25">
      <c r="A1508" t="s">
        <v>3276</v>
      </c>
      <c r="B1508">
        <v>1504</v>
      </c>
      <c r="C1508">
        <v>2504</v>
      </c>
      <c r="D1508" s="1" t="s">
        <v>1704</v>
      </c>
      <c r="E1508" t="s">
        <v>1705</v>
      </c>
      <c r="G1508" t="s">
        <v>24</v>
      </c>
      <c r="I1508">
        <v>140</v>
      </c>
      <c r="J1508">
        <v>195</v>
      </c>
      <c r="K1508">
        <v>55</v>
      </c>
      <c r="L1508">
        <v>0.39290000000000003</v>
      </c>
      <c r="M1508" t="s">
        <v>3375</v>
      </c>
      <c r="N1508">
        <v>1508</v>
      </c>
    </row>
    <row r="1509" spans="1:14" x14ac:dyDescent="0.25">
      <c r="A1509" t="s">
        <v>3277</v>
      </c>
      <c r="B1509">
        <v>1505</v>
      </c>
      <c r="C1509">
        <v>2505</v>
      </c>
      <c r="D1509" s="1" t="s">
        <v>1706</v>
      </c>
      <c r="G1509" t="s">
        <v>24</v>
      </c>
      <c r="I1509">
        <v>840</v>
      </c>
      <c r="J1509">
        <v>1050</v>
      </c>
      <c r="K1509">
        <v>210</v>
      </c>
      <c r="L1509">
        <v>0.25</v>
      </c>
      <c r="M1509" t="s">
        <v>3375</v>
      </c>
      <c r="N1509">
        <v>1509</v>
      </c>
    </row>
    <row r="1510" spans="1:14" x14ac:dyDescent="0.25">
      <c r="A1510" t="s">
        <v>3278</v>
      </c>
      <c r="B1510">
        <v>1506</v>
      </c>
      <c r="C1510">
        <v>2506</v>
      </c>
      <c r="D1510" s="1" t="s">
        <v>1707</v>
      </c>
      <c r="G1510" t="s">
        <v>24</v>
      </c>
      <c r="I1510">
        <v>880</v>
      </c>
      <c r="J1510">
        <v>985</v>
      </c>
      <c r="K1510">
        <v>105</v>
      </c>
      <c r="L1510">
        <v>0.1193</v>
      </c>
      <c r="M1510" t="s">
        <v>3375</v>
      </c>
      <c r="N1510">
        <v>1510</v>
      </c>
    </row>
    <row r="1511" spans="1:14" x14ac:dyDescent="0.25">
      <c r="A1511" t="s">
        <v>3279</v>
      </c>
      <c r="B1511">
        <v>1507</v>
      </c>
      <c r="C1511">
        <v>2507</v>
      </c>
      <c r="D1511" s="1" t="s">
        <v>1708</v>
      </c>
      <c r="E1511" t="s">
        <v>1709</v>
      </c>
      <c r="G1511" t="s">
        <v>24</v>
      </c>
      <c r="I1511">
        <v>88</v>
      </c>
      <c r="J1511">
        <v>98</v>
      </c>
      <c r="K1511">
        <v>10</v>
      </c>
      <c r="L1511">
        <v>0.11360000000000001</v>
      </c>
      <c r="M1511" t="s">
        <v>3375</v>
      </c>
      <c r="N1511">
        <v>1511</v>
      </c>
    </row>
    <row r="1512" spans="1:14" x14ac:dyDescent="0.25">
      <c r="A1512" t="s">
        <v>3280</v>
      </c>
      <c r="B1512">
        <v>1508</v>
      </c>
      <c r="C1512">
        <v>2508</v>
      </c>
      <c r="D1512" s="1" t="s">
        <v>1710</v>
      </c>
      <c r="E1512" t="s">
        <v>1709</v>
      </c>
      <c r="G1512" t="s">
        <v>24</v>
      </c>
      <c r="I1512">
        <v>70</v>
      </c>
      <c r="J1512">
        <v>82</v>
      </c>
      <c r="K1512">
        <v>12</v>
      </c>
      <c r="L1512">
        <v>0.1714</v>
      </c>
      <c r="M1512" t="s">
        <v>3375</v>
      </c>
      <c r="N1512">
        <v>1512</v>
      </c>
    </row>
    <row r="1513" spans="1:14" x14ac:dyDescent="0.25">
      <c r="A1513" t="s">
        <v>3281</v>
      </c>
      <c r="B1513">
        <v>1509</v>
      </c>
      <c r="C1513">
        <v>2509</v>
      </c>
      <c r="D1513" s="1" t="s">
        <v>1711</v>
      </c>
      <c r="E1513" t="s">
        <v>1709</v>
      </c>
      <c r="G1513" t="s">
        <v>24</v>
      </c>
      <c r="I1513">
        <v>70</v>
      </c>
      <c r="J1513">
        <v>82</v>
      </c>
      <c r="K1513">
        <v>12</v>
      </c>
      <c r="L1513">
        <v>0.1714</v>
      </c>
      <c r="M1513" t="s">
        <v>3375</v>
      </c>
      <c r="N1513">
        <v>1513</v>
      </c>
    </row>
    <row r="1514" spans="1:14" x14ac:dyDescent="0.25">
      <c r="A1514" t="s">
        <v>3282</v>
      </c>
      <c r="B1514">
        <v>1510</v>
      </c>
      <c r="C1514">
        <v>2510</v>
      </c>
      <c r="D1514" s="1" t="s">
        <v>1712</v>
      </c>
      <c r="E1514" t="s">
        <v>342</v>
      </c>
      <c r="G1514" t="s">
        <v>24</v>
      </c>
      <c r="I1514">
        <v>505</v>
      </c>
      <c r="J1514">
        <v>715</v>
      </c>
      <c r="K1514">
        <v>210</v>
      </c>
      <c r="L1514">
        <v>0.4158</v>
      </c>
      <c r="M1514" t="s">
        <v>3375</v>
      </c>
      <c r="N1514">
        <v>1514</v>
      </c>
    </row>
    <row r="1515" spans="1:14" x14ac:dyDescent="0.25">
      <c r="A1515" t="s">
        <v>3283</v>
      </c>
      <c r="B1515">
        <v>1511</v>
      </c>
      <c r="C1515">
        <v>2511</v>
      </c>
      <c r="D1515" s="1" t="s">
        <v>1713</v>
      </c>
      <c r="E1515" t="s">
        <v>84</v>
      </c>
      <c r="G1515" t="s">
        <v>24</v>
      </c>
      <c r="I1515">
        <v>1180</v>
      </c>
      <c r="J1515">
        <v>1365</v>
      </c>
      <c r="K1515">
        <v>185</v>
      </c>
      <c r="L1515">
        <v>0.15679999999999999</v>
      </c>
      <c r="M1515" t="s">
        <v>3375</v>
      </c>
      <c r="N1515">
        <v>1515</v>
      </c>
    </row>
    <row r="1516" spans="1:14" x14ac:dyDescent="0.25">
      <c r="A1516" t="s">
        <v>3284</v>
      </c>
      <c r="B1516">
        <v>1512</v>
      </c>
      <c r="C1516">
        <v>2512</v>
      </c>
      <c r="D1516" s="1" t="s">
        <v>1714</v>
      </c>
      <c r="F1516" t="s">
        <v>1715</v>
      </c>
      <c r="G1516" t="s">
        <v>24</v>
      </c>
      <c r="I1516">
        <v>45</v>
      </c>
      <c r="J1516">
        <v>55</v>
      </c>
      <c r="K1516">
        <v>10</v>
      </c>
      <c r="L1516">
        <v>0.22220000000000001</v>
      </c>
      <c r="M1516" t="s">
        <v>3375</v>
      </c>
      <c r="N1516">
        <v>1516</v>
      </c>
    </row>
    <row r="1517" spans="1:14" x14ac:dyDescent="0.25">
      <c r="A1517" t="s">
        <v>3285</v>
      </c>
      <c r="B1517">
        <v>1513</v>
      </c>
      <c r="C1517">
        <v>2513</v>
      </c>
      <c r="D1517" s="1" t="s">
        <v>1716</v>
      </c>
      <c r="E1517" t="s">
        <v>1150</v>
      </c>
      <c r="F1517" t="s">
        <v>1715</v>
      </c>
      <c r="G1517" t="s">
        <v>24</v>
      </c>
      <c r="I1517">
        <v>540</v>
      </c>
      <c r="J1517">
        <v>740</v>
      </c>
      <c r="K1517">
        <v>200</v>
      </c>
      <c r="L1517">
        <v>0.37040000000000001</v>
      </c>
      <c r="M1517" t="s">
        <v>3375</v>
      </c>
      <c r="N1517">
        <v>1517</v>
      </c>
    </row>
    <row r="1518" spans="1:14" x14ac:dyDescent="0.25">
      <c r="A1518" t="s">
        <v>3286</v>
      </c>
      <c r="B1518">
        <v>1514</v>
      </c>
      <c r="C1518">
        <v>2514</v>
      </c>
      <c r="D1518" s="1" t="s">
        <v>1717</v>
      </c>
      <c r="G1518" t="s">
        <v>24</v>
      </c>
      <c r="I1518">
        <v>450</v>
      </c>
      <c r="J1518">
        <v>650</v>
      </c>
      <c r="K1518">
        <v>200</v>
      </c>
      <c r="L1518">
        <v>0.44440000000000002</v>
      </c>
      <c r="M1518" t="s">
        <v>3375</v>
      </c>
      <c r="N1518">
        <v>1518</v>
      </c>
    </row>
    <row r="1519" spans="1:14" x14ac:dyDescent="0.25">
      <c r="A1519" t="s">
        <v>3287</v>
      </c>
      <c r="B1519">
        <v>1515</v>
      </c>
      <c r="C1519">
        <v>2515</v>
      </c>
      <c r="D1519" s="1" t="s">
        <v>1718</v>
      </c>
      <c r="E1519" t="s">
        <v>1719</v>
      </c>
      <c r="G1519" t="s">
        <v>24</v>
      </c>
      <c r="I1519">
        <v>160</v>
      </c>
      <c r="J1519">
        <v>180</v>
      </c>
      <c r="K1519">
        <v>20</v>
      </c>
      <c r="L1519">
        <v>0.125</v>
      </c>
      <c r="M1519" t="s">
        <v>3375</v>
      </c>
      <c r="N1519">
        <v>1519</v>
      </c>
    </row>
    <row r="1520" spans="1:14" x14ac:dyDescent="0.25">
      <c r="A1520" t="s">
        <v>3288</v>
      </c>
      <c r="B1520">
        <v>1516</v>
      </c>
      <c r="C1520">
        <v>2516</v>
      </c>
      <c r="D1520" s="1" t="s">
        <v>1720</v>
      </c>
      <c r="F1520" t="s">
        <v>1721</v>
      </c>
      <c r="G1520" t="s">
        <v>24</v>
      </c>
      <c r="I1520">
        <v>63</v>
      </c>
      <c r="J1520">
        <v>95</v>
      </c>
      <c r="K1520">
        <v>32</v>
      </c>
      <c r="L1520">
        <v>0.50790000000000002</v>
      </c>
      <c r="M1520" t="s">
        <v>3375</v>
      </c>
      <c r="N1520">
        <v>1520</v>
      </c>
    </row>
    <row r="1521" spans="1:14" x14ac:dyDescent="0.25">
      <c r="A1521" t="s">
        <v>3289</v>
      </c>
      <c r="B1521">
        <v>1517</v>
      </c>
      <c r="C1521">
        <v>2517</v>
      </c>
      <c r="D1521" s="1" t="s">
        <v>1722</v>
      </c>
      <c r="E1521" t="s">
        <v>1723</v>
      </c>
      <c r="G1521" t="s">
        <v>24</v>
      </c>
      <c r="I1521">
        <v>73</v>
      </c>
      <c r="J1521">
        <v>95</v>
      </c>
      <c r="K1521">
        <v>22</v>
      </c>
      <c r="L1521">
        <v>0.3014</v>
      </c>
      <c r="M1521" t="s">
        <v>3375</v>
      </c>
      <c r="N1521">
        <v>1521</v>
      </c>
    </row>
    <row r="1522" spans="1:14" x14ac:dyDescent="0.25">
      <c r="A1522" t="s">
        <v>3290</v>
      </c>
      <c r="B1522">
        <v>1518</v>
      </c>
      <c r="C1522">
        <v>2518</v>
      </c>
      <c r="D1522" s="1" t="s">
        <v>1724</v>
      </c>
      <c r="E1522" t="s">
        <v>1725</v>
      </c>
      <c r="G1522" t="s">
        <v>24</v>
      </c>
      <c r="I1522">
        <v>65</v>
      </c>
      <c r="J1522">
        <v>110</v>
      </c>
      <c r="K1522">
        <v>45</v>
      </c>
      <c r="L1522">
        <v>0.69230000000000003</v>
      </c>
      <c r="M1522" t="s">
        <v>3375</v>
      </c>
      <c r="N1522">
        <v>1522</v>
      </c>
    </row>
    <row r="1523" spans="1:14" x14ac:dyDescent="0.25">
      <c r="A1523" t="s">
        <v>3291</v>
      </c>
      <c r="B1523">
        <v>1519</v>
      </c>
      <c r="C1523">
        <v>2519</v>
      </c>
      <c r="D1523" s="1" t="s">
        <v>1726</v>
      </c>
      <c r="E1523" t="s">
        <v>1727</v>
      </c>
      <c r="G1523" t="s">
        <v>24</v>
      </c>
      <c r="I1523">
        <v>215</v>
      </c>
      <c r="J1523">
        <v>275</v>
      </c>
      <c r="K1523">
        <v>60</v>
      </c>
      <c r="L1523">
        <v>0.27910000000000001</v>
      </c>
      <c r="M1523" t="s">
        <v>3375</v>
      </c>
      <c r="N1523">
        <v>1523</v>
      </c>
    </row>
    <row r="1524" spans="1:14" x14ac:dyDescent="0.25">
      <c r="A1524" t="s">
        <v>3292</v>
      </c>
      <c r="B1524">
        <v>1520</v>
      </c>
      <c r="C1524">
        <v>2520</v>
      </c>
      <c r="D1524" s="1" t="s">
        <v>1728</v>
      </c>
      <c r="G1524" t="s">
        <v>24</v>
      </c>
      <c r="I1524">
        <v>618</v>
      </c>
      <c r="J1524">
        <v>840</v>
      </c>
      <c r="K1524">
        <v>222</v>
      </c>
      <c r="L1524">
        <v>0.35920000000000002</v>
      </c>
      <c r="M1524" t="s">
        <v>3375</v>
      </c>
      <c r="N1524">
        <v>1524</v>
      </c>
    </row>
    <row r="1525" spans="1:14" x14ac:dyDescent="0.25">
      <c r="A1525" t="s">
        <v>3293</v>
      </c>
      <c r="B1525">
        <v>1521</v>
      </c>
      <c r="C1525">
        <v>2521</v>
      </c>
      <c r="D1525" s="1" t="s">
        <v>1729</v>
      </c>
      <c r="E1525" t="s">
        <v>403</v>
      </c>
      <c r="G1525" t="s">
        <v>24</v>
      </c>
      <c r="I1525">
        <v>80</v>
      </c>
      <c r="J1525">
        <v>130</v>
      </c>
      <c r="K1525">
        <v>50</v>
      </c>
      <c r="L1525">
        <v>0.625</v>
      </c>
      <c r="M1525" t="s">
        <v>3375</v>
      </c>
      <c r="N1525">
        <v>1525</v>
      </c>
    </row>
    <row r="1526" spans="1:14" x14ac:dyDescent="0.25">
      <c r="A1526" t="s">
        <v>3294</v>
      </c>
      <c r="B1526">
        <v>1522</v>
      </c>
      <c r="C1526">
        <v>2522</v>
      </c>
      <c r="D1526" s="1" t="s">
        <v>1730</v>
      </c>
      <c r="G1526" t="s">
        <v>24</v>
      </c>
      <c r="I1526">
        <v>238</v>
      </c>
      <c r="J1526">
        <v>345</v>
      </c>
      <c r="K1526">
        <v>107</v>
      </c>
      <c r="L1526">
        <v>0.4496</v>
      </c>
      <c r="M1526" t="s">
        <v>3375</v>
      </c>
      <c r="N1526">
        <v>1526</v>
      </c>
    </row>
    <row r="1527" spans="1:14" x14ac:dyDescent="0.25">
      <c r="A1527" t="s">
        <v>3295</v>
      </c>
      <c r="B1527">
        <v>1523</v>
      </c>
      <c r="C1527">
        <v>2523</v>
      </c>
      <c r="D1527" s="1" t="s">
        <v>1731</v>
      </c>
      <c r="E1527" t="s">
        <v>1597</v>
      </c>
      <c r="G1527" t="s">
        <v>176</v>
      </c>
      <c r="I1527">
        <v>2300</v>
      </c>
      <c r="J1527">
        <v>2600</v>
      </c>
      <c r="K1527">
        <v>300</v>
      </c>
      <c r="L1527">
        <v>0.13039999999999999</v>
      </c>
      <c r="M1527" t="s">
        <v>3375</v>
      </c>
      <c r="N1527">
        <v>1527</v>
      </c>
    </row>
    <row r="1528" spans="1:14" x14ac:dyDescent="0.25">
      <c r="A1528" t="s">
        <v>3296</v>
      </c>
      <c r="B1528">
        <v>1524</v>
      </c>
      <c r="C1528">
        <v>2524</v>
      </c>
      <c r="D1528" s="1" t="s">
        <v>1732</v>
      </c>
      <c r="G1528" t="s">
        <v>55</v>
      </c>
      <c r="I1528">
        <v>45</v>
      </c>
      <c r="J1528">
        <v>100</v>
      </c>
      <c r="K1528">
        <v>55</v>
      </c>
      <c r="L1528">
        <v>1.2222</v>
      </c>
      <c r="M1528" t="s">
        <v>3375</v>
      </c>
      <c r="N1528">
        <v>1528</v>
      </c>
    </row>
    <row r="1529" spans="1:14" x14ac:dyDescent="0.25">
      <c r="A1529" t="s">
        <v>3297</v>
      </c>
      <c r="B1529">
        <v>1525</v>
      </c>
      <c r="C1529">
        <v>2525</v>
      </c>
      <c r="D1529" s="1" t="s">
        <v>1733</v>
      </c>
      <c r="G1529" t="s">
        <v>1008</v>
      </c>
      <c r="I1529">
        <v>320</v>
      </c>
      <c r="J1529">
        <v>465</v>
      </c>
      <c r="K1529">
        <v>145</v>
      </c>
      <c r="L1529">
        <v>0.4531</v>
      </c>
      <c r="M1529" t="s">
        <v>3375</v>
      </c>
      <c r="N1529">
        <v>1529</v>
      </c>
    </row>
    <row r="1530" spans="1:14" x14ac:dyDescent="0.25">
      <c r="A1530" t="s">
        <v>3298</v>
      </c>
      <c r="B1530">
        <v>1526</v>
      </c>
      <c r="C1530">
        <v>2526</v>
      </c>
      <c r="D1530" s="1" t="s">
        <v>1734</v>
      </c>
      <c r="F1530" t="s">
        <v>1590</v>
      </c>
      <c r="G1530" t="s">
        <v>24</v>
      </c>
      <c r="I1530">
        <v>26</v>
      </c>
      <c r="J1530">
        <v>55</v>
      </c>
      <c r="K1530">
        <v>29</v>
      </c>
      <c r="L1530">
        <v>1.1153999999999999</v>
      </c>
      <c r="M1530" t="s">
        <v>3375</v>
      </c>
      <c r="N1530">
        <v>1530</v>
      </c>
    </row>
    <row r="1531" spans="1:14" x14ac:dyDescent="0.25">
      <c r="A1531" t="s">
        <v>3299</v>
      </c>
      <c r="B1531">
        <v>1527</v>
      </c>
      <c r="C1531">
        <v>2527</v>
      </c>
      <c r="D1531" s="1" t="s">
        <v>1735</v>
      </c>
      <c r="E1531" t="s">
        <v>1625</v>
      </c>
      <c r="G1531" t="s">
        <v>24</v>
      </c>
      <c r="I1531">
        <v>135</v>
      </c>
      <c r="J1531">
        <v>220</v>
      </c>
      <c r="K1531">
        <v>85</v>
      </c>
      <c r="L1531">
        <v>0.62960000000000005</v>
      </c>
      <c r="M1531" t="s">
        <v>3375</v>
      </c>
      <c r="N1531">
        <v>1531</v>
      </c>
    </row>
    <row r="1532" spans="1:14" x14ac:dyDescent="0.25">
      <c r="A1532" t="s">
        <v>3300</v>
      </c>
      <c r="B1532">
        <v>1528</v>
      </c>
      <c r="C1532">
        <v>2528</v>
      </c>
      <c r="D1532" s="1" t="s">
        <v>1736</v>
      </c>
      <c r="E1532" t="s">
        <v>1737</v>
      </c>
      <c r="G1532" t="s">
        <v>24</v>
      </c>
      <c r="I1532">
        <v>380</v>
      </c>
      <c r="J1532">
        <v>485</v>
      </c>
      <c r="K1532">
        <v>105</v>
      </c>
      <c r="L1532">
        <v>0.27629999999999999</v>
      </c>
      <c r="M1532" t="s">
        <v>3375</v>
      </c>
      <c r="N1532">
        <v>1532</v>
      </c>
    </row>
    <row r="1533" spans="1:14" x14ac:dyDescent="0.25">
      <c r="A1533" t="s">
        <v>3301</v>
      </c>
      <c r="B1533">
        <v>1529</v>
      </c>
      <c r="C1533">
        <v>2529</v>
      </c>
      <c r="D1533" s="1" t="s">
        <v>1738</v>
      </c>
      <c r="G1533" t="s">
        <v>24</v>
      </c>
      <c r="I1533">
        <v>9.35</v>
      </c>
      <c r="J1533">
        <v>20</v>
      </c>
      <c r="K1533">
        <v>10.65</v>
      </c>
      <c r="L1533">
        <v>1.139</v>
      </c>
      <c r="M1533" t="s">
        <v>3375</v>
      </c>
      <c r="N1533">
        <v>1533</v>
      </c>
    </row>
    <row r="1534" spans="1:14" x14ac:dyDescent="0.25">
      <c r="A1534" t="s">
        <v>3302</v>
      </c>
      <c r="B1534">
        <v>1530</v>
      </c>
      <c r="C1534">
        <v>2530</v>
      </c>
      <c r="D1534" s="1" t="s">
        <v>1739</v>
      </c>
      <c r="E1534" t="s">
        <v>342</v>
      </c>
      <c r="G1534" t="s">
        <v>24</v>
      </c>
      <c r="I1534">
        <v>945</v>
      </c>
      <c r="J1534">
        <v>1225</v>
      </c>
      <c r="K1534">
        <v>280</v>
      </c>
      <c r="L1534">
        <v>0.29630000000000001</v>
      </c>
      <c r="M1534" t="s">
        <v>3375</v>
      </c>
      <c r="N1534">
        <v>1534</v>
      </c>
    </row>
    <row r="1535" spans="1:14" x14ac:dyDescent="0.25">
      <c r="A1535" t="s">
        <v>3303</v>
      </c>
      <c r="B1535">
        <v>1531</v>
      </c>
      <c r="C1535">
        <v>2531</v>
      </c>
      <c r="D1535" s="1" t="s">
        <v>1740</v>
      </c>
      <c r="E1535" t="s">
        <v>342</v>
      </c>
      <c r="G1535" t="s">
        <v>24</v>
      </c>
      <c r="I1535">
        <v>465</v>
      </c>
      <c r="J1535">
        <v>745</v>
      </c>
      <c r="K1535">
        <v>280</v>
      </c>
      <c r="L1535">
        <v>0.60219999999999996</v>
      </c>
      <c r="M1535" t="s">
        <v>3376</v>
      </c>
      <c r="N1535">
        <v>1535</v>
      </c>
    </row>
    <row r="1536" spans="1:14" x14ac:dyDescent="0.25">
      <c r="A1536" t="s">
        <v>3304</v>
      </c>
      <c r="B1536">
        <v>1532</v>
      </c>
      <c r="C1536">
        <v>2532</v>
      </c>
      <c r="D1536" s="1" t="s">
        <v>1741</v>
      </c>
      <c r="E1536" t="s">
        <v>342</v>
      </c>
      <c r="G1536" t="s">
        <v>24</v>
      </c>
      <c r="I1536">
        <v>445</v>
      </c>
      <c r="J1536">
        <v>725</v>
      </c>
      <c r="K1536">
        <v>280</v>
      </c>
      <c r="L1536">
        <v>0.62919999999999998</v>
      </c>
      <c r="M1536" t="s">
        <v>3376</v>
      </c>
      <c r="N1536">
        <v>1536</v>
      </c>
    </row>
    <row r="1537" spans="1:14" x14ac:dyDescent="0.25">
      <c r="A1537" t="s">
        <v>3305</v>
      </c>
      <c r="B1537">
        <v>1533</v>
      </c>
      <c r="C1537">
        <v>2533</v>
      </c>
      <c r="D1537" s="1" t="s">
        <v>1742</v>
      </c>
      <c r="E1537" t="s">
        <v>1743</v>
      </c>
      <c r="G1537" t="s">
        <v>24</v>
      </c>
      <c r="I1537">
        <v>180</v>
      </c>
      <c r="J1537">
        <v>225</v>
      </c>
      <c r="K1537">
        <v>45</v>
      </c>
      <c r="L1537">
        <v>0.25</v>
      </c>
      <c r="M1537" t="s">
        <v>3376</v>
      </c>
      <c r="N1537">
        <v>1537</v>
      </c>
    </row>
    <row r="1538" spans="1:14" x14ac:dyDescent="0.25">
      <c r="A1538" t="s">
        <v>3306</v>
      </c>
      <c r="B1538">
        <v>1534</v>
      </c>
      <c r="C1538">
        <v>2534</v>
      </c>
      <c r="D1538" s="1" t="s">
        <v>1744</v>
      </c>
      <c r="E1538" t="s">
        <v>342</v>
      </c>
      <c r="G1538" t="s">
        <v>24</v>
      </c>
      <c r="I1538">
        <v>3770</v>
      </c>
      <c r="J1538">
        <v>4900</v>
      </c>
      <c r="K1538">
        <v>1130</v>
      </c>
      <c r="L1538">
        <v>0.29970000000000002</v>
      </c>
      <c r="M1538" t="s">
        <v>3376</v>
      </c>
      <c r="N1538">
        <v>1538</v>
      </c>
    </row>
    <row r="1539" spans="1:14" x14ac:dyDescent="0.25">
      <c r="A1539" t="s">
        <v>3307</v>
      </c>
      <c r="B1539">
        <v>1535</v>
      </c>
      <c r="C1539">
        <v>2535</v>
      </c>
      <c r="D1539" s="1" t="s">
        <v>1745</v>
      </c>
      <c r="E1539" t="s">
        <v>342</v>
      </c>
      <c r="G1539" t="s">
        <v>24</v>
      </c>
      <c r="I1539">
        <v>660</v>
      </c>
      <c r="J1539">
        <v>870</v>
      </c>
      <c r="K1539">
        <v>210</v>
      </c>
      <c r="L1539">
        <v>0.31819999999999998</v>
      </c>
      <c r="M1539" t="s">
        <v>3376</v>
      </c>
      <c r="N1539">
        <v>1539</v>
      </c>
    </row>
    <row r="1540" spans="1:14" x14ac:dyDescent="0.25">
      <c r="A1540" t="s">
        <v>3308</v>
      </c>
      <c r="B1540">
        <v>1536</v>
      </c>
      <c r="C1540">
        <v>2536</v>
      </c>
      <c r="D1540" s="1" t="s">
        <v>1746</v>
      </c>
      <c r="E1540" t="s">
        <v>1747</v>
      </c>
      <c r="G1540" t="s">
        <v>24</v>
      </c>
      <c r="I1540">
        <v>190</v>
      </c>
      <c r="J1540">
        <v>250</v>
      </c>
      <c r="K1540">
        <v>60</v>
      </c>
      <c r="L1540">
        <v>0.31580000000000003</v>
      </c>
      <c r="M1540" t="s">
        <v>3376</v>
      </c>
      <c r="N1540">
        <v>1540</v>
      </c>
    </row>
    <row r="1541" spans="1:14" x14ac:dyDescent="0.25">
      <c r="A1541" t="s">
        <v>3309</v>
      </c>
      <c r="B1541">
        <v>1537</v>
      </c>
      <c r="C1541">
        <v>2537</v>
      </c>
      <c r="D1541" s="1" t="s">
        <v>1748</v>
      </c>
      <c r="G1541" t="s">
        <v>1393</v>
      </c>
      <c r="I1541">
        <v>23.5</v>
      </c>
      <c r="J1541">
        <v>45</v>
      </c>
      <c r="K1541">
        <v>21.5</v>
      </c>
      <c r="L1541">
        <v>0.91490000000000005</v>
      </c>
      <c r="M1541" t="s">
        <v>3376</v>
      </c>
      <c r="N1541">
        <v>1541</v>
      </c>
    </row>
    <row r="1542" spans="1:14" x14ac:dyDescent="0.25">
      <c r="A1542" t="s">
        <v>3310</v>
      </c>
      <c r="B1542">
        <v>1538</v>
      </c>
      <c r="C1542">
        <v>2538</v>
      </c>
      <c r="D1542" s="1" t="s">
        <v>1749</v>
      </c>
      <c r="E1542" t="s">
        <v>721</v>
      </c>
      <c r="G1542" t="s">
        <v>24</v>
      </c>
      <c r="I1542">
        <v>14</v>
      </c>
      <c r="J1542">
        <v>30</v>
      </c>
      <c r="K1542">
        <v>16</v>
      </c>
      <c r="L1542">
        <v>1.1429</v>
      </c>
      <c r="M1542" t="s">
        <v>3376</v>
      </c>
      <c r="N1542">
        <v>1542</v>
      </c>
    </row>
    <row r="1543" spans="1:14" x14ac:dyDescent="0.25">
      <c r="A1543" t="s">
        <v>3311</v>
      </c>
      <c r="B1543">
        <v>1539</v>
      </c>
      <c r="C1543">
        <v>2539</v>
      </c>
      <c r="D1543" s="1" t="s">
        <v>1750</v>
      </c>
      <c r="E1543" t="s">
        <v>721</v>
      </c>
      <c r="G1543" t="s">
        <v>24</v>
      </c>
      <c r="I1543">
        <v>35</v>
      </c>
      <c r="J1543">
        <v>70</v>
      </c>
      <c r="K1543">
        <v>35</v>
      </c>
      <c r="L1543">
        <v>1</v>
      </c>
      <c r="M1543" t="s">
        <v>3376</v>
      </c>
      <c r="N1543">
        <v>1543</v>
      </c>
    </row>
    <row r="1544" spans="1:14" x14ac:dyDescent="0.25">
      <c r="A1544" t="s">
        <v>3312</v>
      </c>
      <c r="B1544">
        <v>1540</v>
      </c>
      <c r="C1544">
        <v>2540</v>
      </c>
      <c r="D1544" s="1" t="s">
        <v>1751</v>
      </c>
      <c r="G1544" t="s">
        <v>24</v>
      </c>
      <c r="I1544">
        <v>318</v>
      </c>
      <c r="J1544">
        <v>420</v>
      </c>
      <c r="K1544">
        <v>102</v>
      </c>
      <c r="L1544">
        <v>0.32079999999999997</v>
      </c>
      <c r="M1544" t="s">
        <v>3376</v>
      </c>
      <c r="N1544">
        <v>1544</v>
      </c>
    </row>
    <row r="1545" spans="1:14" x14ac:dyDescent="0.25">
      <c r="A1545" t="s">
        <v>3313</v>
      </c>
      <c r="B1545">
        <v>1541</v>
      </c>
      <c r="C1545">
        <v>2541</v>
      </c>
      <c r="D1545" s="1" t="s">
        <v>1752</v>
      </c>
      <c r="G1545" t="s">
        <v>24</v>
      </c>
      <c r="I1545">
        <v>195</v>
      </c>
      <c r="J1545">
        <v>215</v>
      </c>
      <c r="K1545">
        <v>20</v>
      </c>
      <c r="L1545">
        <v>0.1026</v>
      </c>
      <c r="M1545" t="s">
        <v>3376</v>
      </c>
      <c r="N1545">
        <v>1545</v>
      </c>
    </row>
    <row r="1546" spans="1:14" x14ac:dyDescent="0.25">
      <c r="A1546" t="s">
        <v>3314</v>
      </c>
      <c r="B1546">
        <v>1542</v>
      </c>
      <c r="C1546">
        <v>2542</v>
      </c>
      <c r="D1546" s="1" t="s">
        <v>1753</v>
      </c>
      <c r="E1546" t="s">
        <v>1754</v>
      </c>
      <c r="G1546" t="s">
        <v>24</v>
      </c>
      <c r="I1546">
        <v>400</v>
      </c>
      <c r="J1546">
        <v>520</v>
      </c>
      <c r="K1546">
        <v>120</v>
      </c>
      <c r="L1546">
        <v>0.3</v>
      </c>
      <c r="M1546" t="s">
        <v>3376</v>
      </c>
      <c r="N1546">
        <v>1546</v>
      </c>
    </row>
    <row r="1547" spans="1:14" x14ac:dyDescent="0.25">
      <c r="A1547" t="s">
        <v>3315</v>
      </c>
      <c r="B1547">
        <v>1543</v>
      </c>
      <c r="C1547">
        <v>2543</v>
      </c>
      <c r="D1547" s="1" t="s">
        <v>1755</v>
      </c>
      <c r="E1547" t="s">
        <v>1756</v>
      </c>
      <c r="G1547" t="s">
        <v>24</v>
      </c>
      <c r="I1547">
        <v>720</v>
      </c>
      <c r="J1547">
        <v>895</v>
      </c>
      <c r="K1547">
        <v>175</v>
      </c>
      <c r="L1547">
        <v>0.24310000000000001</v>
      </c>
      <c r="M1547" t="s">
        <v>3376</v>
      </c>
      <c r="N1547">
        <v>1547</v>
      </c>
    </row>
    <row r="1548" spans="1:14" x14ac:dyDescent="0.25">
      <c r="A1548" t="s">
        <v>3316</v>
      </c>
      <c r="B1548">
        <v>1544</v>
      </c>
      <c r="C1548">
        <v>2544</v>
      </c>
      <c r="D1548" s="1" t="s">
        <v>1757</v>
      </c>
      <c r="E1548" t="s">
        <v>1756</v>
      </c>
      <c r="G1548" t="s">
        <v>24</v>
      </c>
      <c r="I1548">
        <v>820</v>
      </c>
      <c r="J1548">
        <v>995</v>
      </c>
      <c r="K1548">
        <v>175</v>
      </c>
      <c r="L1548">
        <v>0.21340000000000001</v>
      </c>
      <c r="M1548" t="s">
        <v>3376</v>
      </c>
      <c r="N1548">
        <v>1548</v>
      </c>
    </row>
    <row r="1549" spans="1:14" x14ac:dyDescent="0.25">
      <c r="A1549" t="s">
        <v>3317</v>
      </c>
      <c r="B1549">
        <v>1545</v>
      </c>
      <c r="C1549">
        <v>2545</v>
      </c>
      <c r="D1549" s="1" t="s">
        <v>1758</v>
      </c>
      <c r="F1549" t="s">
        <v>1759</v>
      </c>
      <c r="G1549" t="s">
        <v>24</v>
      </c>
      <c r="I1549">
        <v>400</v>
      </c>
      <c r="J1549">
        <v>800</v>
      </c>
      <c r="K1549">
        <v>400</v>
      </c>
      <c r="L1549">
        <v>1</v>
      </c>
      <c r="M1549" t="s">
        <v>3376</v>
      </c>
      <c r="N1549">
        <v>1549</v>
      </c>
    </row>
    <row r="1550" spans="1:14" x14ac:dyDescent="0.25">
      <c r="A1550" t="s">
        <v>3318</v>
      </c>
      <c r="B1550">
        <v>1546</v>
      </c>
      <c r="C1550">
        <v>2546</v>
      </c>
      <c r="D1550" s="1" t="s">
        <v>1760</v>
      </c>
      <c r="G1550" t="s">
        <v>24</v>
      </c>
      <c r="I1550">
        <v>56</v>
      </c>
      <c r="J1550">
        <v>95</v>
      </c>
      <c r="K1550">
        <v>39</v>
      </c>
      <c r="L1550">
        <v>0.69640000000000002</v>
      </c>
      <c r="M1550" t="s">
        <v>3376</v>
      </c>
      <c r="N1550">
        <v>1550</v>
      </c>
    </row>
    <row r="1551" spans="1:14" x14ac:dyDescent="0.25">
      <c r="A1551" t="s">
        <v>3319</v>
      </c>
      <c r="B1551">
        <v>1547</v>
      </c>
      <c r="C1551">
        <v>2547</v>
      </c>
      <c r="D1551" s="1" t="s">
        <v>1761</v>
      </c>
      <c r="E1551" t="s">
        <v>1709</v>
      </c>
      <c r="G1551" t="s">
        <v>24</v>
      </c>
      <c r="I1551">
        <v>780</v>
      </c>
      <c r="J1551">
        <v>885</v>
      </c>
      <c r="K1551">
        <v>105</v>
      </c>
      <c r="L1551">
        <v>0.1346</v>
      </c>
      <c r="M1551" t="s">
        <v>3376</v>
      </c>
      <c r="N1551">
        <v>1551</v>
      </c>
    </row>
    <row r="1552" spans="1:14" x14ac:dyDescent="0.25">
      <c r="A1552" t="s">
        <v>3320</v>
      </c>
      <c r="B1552">
        <v>1548</v>
      </c>
      <c r="C1552">
        <v>2548</v>
      </c>
      <c r="D1552" s="1" t="s">
        <v>1762</v>
      </c>
      <c r="E1552" t="s">
        <v>1709</v>
      </c>
      <c r="G1552" t="s">
        <v>24</v>
      </c>
      <c r="I1552">
        <v>185.4</v>
      </c>
      <c r="J1552">
        <v>204</v>
      </c>
      <c r="K1552">
        <v>18.600000000000001</v>
      </c>
      <c r="L1552">
        <v>0.1003</v>
      </c>
      <c r="M1552" t="s">
        <v>3376</v>
      </c>
      <c r="N1552">
        <v>1552</v>
      </c>
    </row>
    <row r="1553" spans="1:14" x14ac:dyDescent="0.25">
      <c r="A1553" t="s">
        <v>3321</v>
      </c>
      <c r="B1553">
        <v>1549</v>
      </c>
      <c r="C1553">
        <v>2549</v>
      </c>
      <c r="D1553" s="1" t="s">
        <v>1763</v>
      </c>
      <c r="E1553" t="s">
        <v>1764</v>
      </c>
      <c r="G1553" t="s">
        <v>24</v>
      </c>
      <c r="I1553">
        <v>128.65</v>
      </c>
      <c r="J1553">
        <v>145</v>
      </c>
      <c r="K1553">
        <v>16.350000000000001</v>
      </c>
      <c r="L1553">
        <v>0.12709999999999999</v>
      </c>
      <c r="M1553" t="s">
        <v>3376</v>
      </c>
      <c r="N1553">
        <v>1553</v>
      </c>
    </row>
    <row r="1554" spans="1:14" x14ac:dyDescent="0.25">
      <c r="A1554" t="s">
        <v>3322</v>
      </c>
      <c r="B1554">
        <v>1550</v>
      </c>
      <c r="C1554">
        <v>2550</v>
      </c>
      <c r="D1554" s="1" t="s">
        <v>1765</v>
      </c>
      <c r="E1554" t="s">
        <v>1709</v>
      </c>
      <c r="G1554" t="s">
        <v>24</v>
      </c>
      <c r="I1554">
        <v>30</v>
      </c>
      <c r="J1554">
        <v>40</v>
      </c>
      <c r="K1554">
        <v>10</v>
      </c>
      <c r="L1554">
        <v>0.33329999999999999</v>
      </c>
      <c r="M1554" t="s">
        <v>3376</v>
      </c>
      <c r="N1554">
        <v>1554</v>
      </c>
    </row>
    <row r="1555" spans="1:14" x14ac:dyDescent="0.25">
      <c r="A1555" t="s">
        <v>3323</v>
      </c>
      <c r="B1555">
        <v>1551</v>
      </c>
      <c r="C1555">
        <v>2551</v>
      </c>
      <c r="D1555" s="1" t="s">
        <v>1766</v>
      </c>
      <c r="E1555" t="s">
        <v>1709</v>
      </c>
      <c r="G1555" t="s">
        <v>24</v>
      </c>
      <c r="I1555">
        <v>87</v>
      </c>
      <c r="J1555">
        <v>95</v>
      </c>
      <c r="K1555">
        <v>8</v>
      </c>
      <c r="L1555">
        <v>9.1999999999999998E-2</v>
      </c>
      <c r="M1555" t="s">
        <v>3376</v>
      </c>
      <c r="N1555">
        <v>1555</v>
      </c>
    </row>
    <row r="1556" spans="1:14" x14ac:dyDescent="0.25">
      <c r="A1556" t="s">
        <v>3324</v>
      </c>
      <c r="B1556">
        <v>1552</v>
      </c>
      <c r="C1556">
        <v>2552</v>
      </c>
      <c r="D1556" s="1" t="s">
        <v>1767</v>
      </c>
      <c r="G1556" t="s">
        <v>24</v>
      </c>
      <c r="I1556">
        <v>125</v>
      </c>
      <c r="J1556">
        <v>150</v>
      </c>
      <c r="K1556">
        <v>25</v>
      </c>
      <c r="L1556">
        <v>0.2</v>
      </c>
      <c r="M1556" t="s">
        <v>3376</v>
      </c>
      <c r="N1556">
        <v>1556</v>
      </c>
    </row>
    <row r="1557" spans="1:14" x14ac:dyDescent="0.25">
      <c r="A1557" t="s">
        <v>3325</v>
      </c>
      <c r="B1557">
        <v>1553</v>
      </c>
      <c r="C1557">
        <v>2553</v>
      </c>
      <c r="D1557" s="1" t="s">
        <v>1768</v>
      </c>
      <c r="G1557" t="s">
        <v>24</v>
      </c>
      <c r="I1557">
        <v>135</v>
      </c>
      <c r="J1557">
        <v>245</v>
      </c>
      <c r="K1557">
        <v>110</v>
      </c>
      <c r="L1557">
        <v>0.81479999999999997</v>
      </c>
      <c r="M1557" t="s">
        <v>3376</v>
      </c>
      <c r="N1557">
        <v>1557</v>
      </c>
    </row>
    <row r="1558" spans="1:14" x14ac:dyDescent="0.25">
      <c r="A1558" t="s">
        <v>3326</v>
      </c>
      <c r="B1558">
        <v>1554</v>
      </c>
      <c r="C1558">
        <v>2554</v>
      </c>
      <c r="D1558" s="1" t="s">
        <v>1769</v>
      </c>
      <c r="E1558" t="s">
        <v>999</v>
      </c>
      <c r="G1558" t="s">
        <v>24</v>
      </c>
      <c r="I1558">
        <v>134.5</v>
      </c>
      <c r="J1558">
        <v>175</v>
      </c>
      <c r="K1558">
        <v>40.5</v>
      </c>
      <c r="L1558">
        <v>0.30109999999999998</v>
      </c>
      <c r="M1558" t="s">
        <v>3376</v>
      </c>
      <c r="N1558">
        <v>1558</v>
      </c>
    </row>
    <row r="1559" spans="1:14" x14ac:dyDescent="0.25">
      <c r="A1559" t="s">
        <v>3327</v>
      </c>
      <c r="B1559">
        <v>1555</v>
      </c>
      <c r="C1559">
        <v>2555</v>
      </c>
      <c r="D1559" s="1" t="s">
        <v>1770</v>
      </c>
      <c r="E1559" t="s">
        <v>526</v>
      </c>
      <c r="G1559" t="s">
        <v>24</v>
      </c>
      <c r="I1559">
        <v>112</v>
      </c>
      <c r="J1559">
        <v>165</v>
      </c>
      <c r="K1559">
        <v>53</v>
      </c>
      <c r="L1559">
        <v>0.47320000000000001</v>
      </c>
      <c r="M1559" t="s">
        <v>3376</v>
      </c>
      <c r="N1559">
        <v>1559</v>
      </c>
    </row>
    <row r="1560" spans="1:14" x14ac:dyDescent="0.25">
      <c r="A1560" t="s">
        <v>3328</v>
      </c>
      <c r="B1560">
        <v>1556</v>
      </c>
      <c r="C1560">
        <v>2556</v>
      </c>
      <c r="D1560" s="1" t="s">
        <v>3329</v>
      </c>
      <c r="G1560" t="s">
        <v>176</v>
      </c>
      <c r="I1560">
        <v>120</v>
      </c>
      <c r="J1560">
        <v>130</v>
      </c>
      <c r="K1560">
        <v>10</v>
      </c>
      <c r="L1560">
        <v>0.1</v>
      </c>
      <c r="M1560" t="s">
        <v>3376</v>
      </c>
      <c r="N1560">
        <v>1560</v>
      </c>
    </row>
    <row r="1561" spans="1:14" x14ac:dyDescent="0.25">
      <c r="A1561" t="s">
        <v>3472</v>
      </c>
      <c r="B1561">
        <v>1557</v>
      </c>
      <c r="C1561">
        <v>2557</v>
      </c>
      <c r="D1561" s="1" t="s">
        <v>3471</v>
      </c>
      <c r="E1561" t="s">
        <v>3471</v>
      </c>
      <c r="F1561" t="s">
        <v>3469</v>
      </c>
      <c r="G1561" t="s">
        <v>24</v>
      </c>
      <c r="H1561">
        <v>20</v>
      </c>
      <c r="I1561">
        <v>25</v>
      </c>
      <c r="J1561">
        <v>37.5</v>
      </c>
      <c r="K1561">
        <v>12.5</v>
      </c>
      <c r="M1561" t="s">
        <v>3376</v>
      </c>
      <c r="N1561">
        <v>1561</v>
      </c>
    </row>
    <row r="1562" spans="1:14" x14ac:dyDescent="0.25">
      <c r="A1562" t="s">
        <v>3474</v>
      </c>
      <c r="B1562">
        <v>1558</v>
      </c>
      <c r="C1562">
        <v>2558</v>
      </c>
      <c r="D1562" s="1" t="s">
        <v>3473</v>
      </c>
      <c r="E1562" t="s">
        <v>3475</v>
      </c>
      <c r="F1562" t="s">
        <v>3341</v>
      </c>
      <c r="G1562" t="s">
        <v>24</v>
      </c>
      <c r="H1562">
        <v>2</v>
      </c>
      <c r="I1562">
        <v>80</v>
      </c>
      <c r="J1562">
        <v>140</v>
      </c>
      <c r="K1562">
        <v>60</v>
      </c>
      <c r="M1562" t="s">
        <v>3376</v>
      </c>
      <c r="N1562">
        <v>1562</v>
      </c>
    </row>
    <row r="1563" spans="1:14" x14ac:dyDescent="0.25">
      <c r="A1563" t="s">
        <v>3476</v>
      </c>
      <c r="B1563">
        <v>1559</v>
      </c>
      <c r="C1563">
        <v>2559</v>
      </c>
      <c r="D1563" s="1" t="s">
        <v>3473</v>
      </c>
      <c r="E1563" t="s">
        <v>3473</v>
      </c>
      <c r="F1563" t="s">
        <v>3477</v>
      </c>
      <c r="G1563" t="s">
        <v>24</v>
      </c>
      <c r="H1563">
        <v>2</v>
      </c>
      <c r="I1563">
        <v>30</v>
      </c>
      <c r="J1563">
        <v>43.5</v>
      </c>
      <c r="K1563">
        <v>13.5</v>
      </c>
      <c r="L1563">
        <v>0.45</v>
      </c>
      <c r="M1563" t="s">
        <v>3376</v>
      </c>
      <c r="N1563">
        <v>1563</v>
      </c>
    </row>
  </sheetData>
  <phoneticPr fontId="8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61AD0-445A-4E92-9A94-F7B7F5AC45F9}">
  <sheetPr codeName="Sheet3"/>
  <dimension ref="A1:Y50002"/>
  <sheetViews>
    <sheetView topLeftCell="H1" workbookViewId="0">
      <selection activeCell="S14" sqref="S14"/>
    </sheetView>
  </sheetViews>
  <sheetFormatPr defaultRowHeight="15" x14ac:dyDescent="0.25"/>
  <cols>
    <col min="3" max="3" width="9.140625" style="43"/>
    <col min="4" max="4" width="11.7109375" style="43" customWidth="1"/>
    <col min="5" max="5" width="32.5703125" style="1" customWidth="1"/>
    <col min="6" max="9" width="9.140625" style="43"/>
    <col min="10" max="10" width="18" style="92" customWidth="1"/>
    <col min="11" max="11" width="14.85546875" style="44" customWidth="1"/>
    <col min="12" max="12" width="9.28515625" style="44" customWidth="1"/>
    <col min="13" max="13" width="20.140625" style="44" customWidth="1"/>
    <col min="14" max="15" width="9.140625" style="43"/>
    <col min="16" max="21" width="9.140625" style="106"/>
    <col min="22" max="22" width="11.140625" bestFit="1" customWidth="1"/>
  </cols>
  <sheetData>
    <row r="1" spans="1:25" x14ac:dyDescent="0.25">
      <c r="A1" s="641" t="s">
        <v>3771</v>
      </c>
      <c r="B1" s="641"/>
      <c r="E1" s="426" t="s">
        <v>3797</v>
      </c>
    </row>
    <row r="3" spans="1:25" x14ac:dyDescent="0.25">
      <c r="C3" s="42">
        <f>MAX(SalesTable[SEQ])-1</f>
        <v>6</v>
      </c>
    </row>
    <row r="4" spans="1:25" s="10" customFormat="1" x14ac:dyDescent="0.25">
      <c r="C4" s="35" t="s">
        <v>0</v>
      </c>
      <c r="D4" s="36" t="s">
        <v>1</v>
      </c>
      <c r="E4" s="36" t="s">
        <v>2</v>
      </c>
      <c r="F4" s="36" t="s">
        <v>1772</v>
      </c>
      <c r="G4" s="36" t="s">
        <v>5</v>
      </c>
      <c r="H4" s="36" t="s">
        <v>3</v>
      </c>
      <c r="I4" s="36" t="s">
        <v>4</v>
      </c>
      <c r="J4" s="93" t="s">
        <v>6</v>
      </c>
      <c r="K4" s="45" t="s">
        <v>7</v>
      </c>
      <c r="L4" s="45" t="s">
        <v>8</v>
      </c>
      <c r="M4" s="45" t="s">
        <v>9</v>
      </c>
      <c r="N4" s="107" t="s">
        <v>10</v>
      </c>
      <c r="O4" s="109" t="s">
        <v>11</v>
      </c>
      <c r="P4" s="107" t="s">
        <v>3385</v>
      </c>
      <c r="Q4" s="118" t="s">
        <v>3382</v>
      </c>
      <c r="R4" s="121" t="s">
        <v>3409</v>
      </c>
      <c r="S4" s="121" t="s">
        <v>3410</v>
      </c>
      <c r="T4" s="121" t="s">
        <v>3411</v>
      </c>
      <c r="U4" s="107" t="s">
        <v>3793</v>
      </c>
      <c r="V4" s="45" t="s">
        <v>3412</v>
      </c>
      <c r="W4" s="103"/>
      <c r="X4" s="103"/>
      <c r="Y4" s="103"/>
    </row>
    <row r="5" spans="1:25" s="37" customFormat="1" x14ac:dyDescent="0.25">
      <c r="C5" s="38">
        <v>1</v>
      </c>
      <c r="D5" s="38">
        <v>1146</v>
      </c>
      <c r="E5" s="38" t="s">
        <v>181</v>
      </c>
      <c r="F5" s="38" t="s">
        <v>24</v>
      </c>
      <c r="G5" s="38">
        <v>5</v>
      </c>
      <c r="H5" s="38">
        <v>85</v>
      </c>
      <c r="I5" s="38">
        <v>425</v>
      </c>
      <c r="J5" s="94">
        <v>45299</v>
      </c>
      <c r="K5" s="40" t="s">
        <v>3453</v>
      </c>
      <c r="L5" s="40" t="s">
        <v>3451</v>
      </c>
      <c r="M5" s="40" t="s">
        <v>3452</v>
      </c>
      <c r="N5" s="38">
        <v>55</v>
      </c>
      <c r="O5" s="38">
        <v>85</v>
      </c>
      <c r="P5" s="108">
        <v>155</v>
      </c>
      <c r="Q5" s="119">
        <v>150</v>
      </c>
      <c r="R5" s="120">
        <v>2024</v>
      </c>
      <c r="S5" s="120">
        <v>2</v>
      </c>
      <c r="T5" s="120">
        <v>8</v>
      </c>
      <c r="U5" s="108">
        <v>45299</v>
      </c>
      <c r="V5" s="41"/>
      <c r="W5" s="104"/>
      <c r="X5" s="104"/>
      <c r="Y5" s="104"/>
    </row>
    <row r="6" spans="1:25" s="37" customFormat="1" x14ac:dyDescent="0.25">
      <c r="C6" s="39">
        <v>2</v>
      </c>
      <c r="D6" s="39">
        <v>1127</v>
      </c>
      <c r="E6" s="39" t="s">
        <v>161</v>
      </c>
      <c r="F6" s="39" t="s">
        <v>24</v>
      </c>
      <c r="G6" s="39">
        <v>6</v>
      </c>
      <c r="H6" s="39">
        <v>16</v>
      </c>
      <c r="I6" s="39">
        <v>96</v>
      </c>
      <c r="J6" s="95">
        <v>45299</v>
      </c>
      <c r="K6" s="41" t="s">
        <v>3453</v>
      </c>
      <c r="L6" s="41" t="s">
        <v>3451</v>
      </c>
      <c r="M6" s="41" t="s">
        <v>3452</v>
      </c>
      <c r="N6" s="39">
        <v>6</v>
      </c>
      <c r="O6" s="39">
        <v>16</v>
      </c>
      <c r="P6" s="108">
        <v>136</v>
      </c>
      <c r="Q6" s="119">
        <v>130</v>
      </c>
      <c r="R6" s="120">
        <v>2024</v>
      </c>
      <c r="S6" s="120">
        <v>1</v>
      </c>
      <c r="T6" s="120">
        <v>8</v>
      </c>
      <c r="U6" s="108">
        <v>45299</v>
      </c>
      <c r="V6" s="41"/>
      <c r="W6" s="104"/>
      <c r="X6" s="104"/>
      <c r="Y6" s="104"/>
    </row>
    <row r="7" spans="1:25" s="37" customFormat="1" x14ac:dyDescent="0.25">
      <c r="C7" s="39">
        <v>3</v>
      </c>
      <c r="D7" s="39">
        <v>1050</v>
      </c>
      <c r="E7" s="39" t="s">
        <v>77</v>
      </c>
      <c r="F7" s="39" t="s">
        <v>24</v>
      </c>
      <c r="G7" s="39">
        <v>5</v>
      </c>
      <c r="H7" s="39">
        <v>585</v>
      </c>
      <c r="I7" s="39">
        <v>2925</v>
      </c>
      <c r="J7" s="95">
        <v>45299</v>
      </c>
      <c r="K7" s="41" t="s">
        <v>3453</v>
      </c>
      <c r="L7" s="41" t="s">
        <v>3451</v>
      </c>
      <c r="M7" s="41" t="s">
        <v>3452</v>
      </c>
      <c r="N7" s="39">
        <v>460</v>
      </c>
      <c r="O7" s="39">
        <v>585</v>
      </c>
      <c r="P7" s="108">
        <v>59</v>
      </c>
      <c r="Q7" s="119">
        <v>54</v>
      </c>
      <c r="R7" s="120">
        <v>2024</v>
      </c>
      <c r="S7" s="120">
        <v>1</v>
      </c>
      <c r="T7" s="120">
        <v>8</v>
      </c>
      <c r="U7" s="108">
        <v>45299</v>
      </c>
      <c r="V7" s="41"/>
      <c r="W7" s="104"/>
      <c r="X7" s="104"/>
      <c r="Y7" s="104"/>
    </row>
    <row r="8" spans="1:25" s="37" customFormat="1" x14ac:dyDescent="0.25">
      <c r="C8" s="39">
        <v>4</v>
      </c>
      <c r="D8" s="39">
        <v>1027</v>
      </c>
      <c r="E8" s="39" t="s">
        <v>50</v>
      </c>
      <c r="F8" s="39" t="s">
        <v>24</v>
      </c>
      <c r="G8" s="39">
        <v>2</v>
      </c>
      <c r="H8" s="39">
        <v>550</v>
      </c>
      <c r="I8" s="39">
        <v>1100</v>
      </c>
      <c r="J8" s="95">
        <v>45321</v>
      </c>
      <c r="K8" s="41" t="s">
        <v>3453</v>
      </c>
      <c r="L8" s="41">
        <v>121</v>
      </c>
      <c r="M8" s="41" t="s">
        <v>3709</v>
      </c>
      <c r="N8" s="39">
        <v>455</v>
      </c>
      <c r="O8" s="39">
        <v>550</v>
      </c>
      <c r="P8" s="108">
        <v>36</v>
      </c>
      <c r="Q8" s="119">
        <v>34</v>
      </c>
      <c r="R8" s="120">
        <v>2024</v>
      </c>
      <c r="S8" s="120">
        <v>1</v>
      </c>
      <c r="T8" s="120">
        <v>3</v>
      </c>
      <c r="U8" s="108">
        <v>45321</v>
      </c>
      <c r="V8" s="41"/>
      <c r="W8" s="104"/>
      <c r="X8" s="104"/>
      <c r="Y8" s="104"/>
    </row>
    <row r="9" spans="1:25" s="37" customFormat="1" x14ac:dyDescent="0.25">
      <c r="C9" s="39">
        <v>5</v>
      </c>
      <c r="D9" s="39">
        <v>1034</v>
      </c>
      <c r="E9" s="108" t="s">
        <v>58</v>
      </c>
      <c r="F9" s="39" t="s">
        <v>24</v>
      </c>
      <c r="G9" s="39">
        <v>2</v>
      </c>
      <c r="H9" s="39">
        <v>45</v>
      </c>
      <c r="I9" s="39">
        <v>90</v>
      </c>
      <c r="J9" s="95">
        <v>45321</v>
      </c>
      <c r="K9" s="41" t="s">
        <v>3795</v>
      </c>
      <c r="L9" s="41">
        <v>125</v>
      </c>
      <c r="M9" s="41" t="s">
        <v>3711</v>
      </c>
      <c r="N9" s="39">
        <v>24</v>
      </c>
      <c r="O9" s="39">
        <v>45</v>
      </c>
      <c r="P9" s="108">
        <v>43</v>
      </c>
      <c r="Q9" s="119">
        <v>41</v>
      </c>
      <c r="R9" s="120">
        <v>2024</v>
      </c>
      <c r="S9" s="120">
        <v>1</v>
      </c>
      <c r="T9" s="120">
        <v>30</v>
      </c>
      <c r="U9" s="108">
        <v>45321</v>
      </c>
      <c r="V9" s="41"/>
      <c r="W9" s="104"/>
      <c r="X9" s="104"/>
      <c r="Y9" s="104"/>
    </row>
    <row r="10" spans="1:25" x14ac:dyDescent="0.25">
      <c r="C10" s="43">
        <v>6</v>
      </c>
      <c r="D10" s="43">
        <v>1075</v>
      </c>
      <c r="E10" s="1" t="s">
        <v>105</v>
      </c>
      <c r="F10" s="43" t="s">
        <v>24</v>
      </c>
      <c r="G10" s="43">
        <v>1</v>
      </c>
      <c r="H10" s="43">
        <v>220</v>
      </c>
      <c r="I10" s="43">
        <v>220</v>
      </c>
      <c r="J10" s="92">
        <v>45321</v>
      </c>
      <c r="K10" s="44" t="s">
        <v>3795</v>
      </c>
      <c r="L10" s="44">
        <v>125</v>
      </c>
      <c r="M10" s="44" t="s">
        <v>3711</v>
      </c>
      <c r="N10" s="43">
        <v>180</v>
      </c>
      <c r="O10" s="43">
        <v>220</v>
      </c>
      <c r="P10" s="1">
        <v>84</v>
      </c>
      <c r="Q10" s="124">
        <v>83</v>
      </c>
      <c r="R10" s="125">
        <v>2024</v>
      </c>
      <c r="S10" s="125">
        <v>1</v>
      </c>
      <c r="T10" s="125">
        <v>30</v>
      </c>
      <c r="U10" s="1">
        <v>45321</v>
      </c>
      <c r="V10" s="44"/>
      <c r="W10" s="105"/>
      <c r="X10" s="105"/>
      <c r="Y10" s="105"/>
    </row>
    <row r="11" spans="1:25" x14ac:dyDescent="0.25">
      <c r="C11" s="43">
        <v>7</v>
      </c>
      <c r="P11" s="1"/>
      <c r="Q11" s="124"/>
      <c r="R11" s="125"/>
      <c r="S11" s="125"/>
      <c r="T11" s="125"/>
      <c r="U11" s="1"/>
      <c r="V11" s="44"/>
      <c r="W11" s="105"/>
      <c r="X11" s="105"/>
      <c r="Y11" s="105"/>
    </row>
    <row r="12" spans="1:25" x14ac:dyDescent="0.25">
      <c r="P12" s="1"/>
      <c r="Q12" s="124"/>
      <c r="R12" s="125"/>
      <c r="S12" s="125"/>
      <c r="T12" s="125"/>
      <c r="U12" s="1"/>
      <c r="V12" s="44"/>
      <c r="W12" s="105"/>
      <c r="X12" s="105"/>
      <c r="Y12" s="105"/>
    </row>
    <row r="13" spans="1:25" x14ac:dyDescent="0.25">
      <c r="P13" s="1"/>
      <c r="Q13" s="124"/>
      <c r="R13" s="125"/>
      <c r="S13" s="125"/>
      <c r="T13" s="125"/>
      <c r="U13" s="1"/>
      <c r="V13" s="44"/>
      <c r="W13" s="105"/>
      <c r="X13" s="105"/>
      <c r="Y13" s="105"/>
    </row>
    <row r="14" spans="1:25" x14ac:dyDescent="0.25">
      <c r="P14" s="1"/>
      <c r="Q14" s="124"/>
      <c r="R14" s="125"/>
      <c r="S14" s="125"/>
      <c r="T14" s="125"/>
      <c r="U14" s="1"/>
      <c r="V14" s="44"/>
      <c r="W14" s="105"/>
      <c r="X14" s="105"/>
      <c r="Y14" s="105"/>
    </row>
    <row r="15" spans="1:25" x14ac:dyDescent="0.25">
      <c r="P15" s="1"/>
      <c r="Q15" s="124"/>
      <c r="R15" s="125"/>
      <c r="S15" s="125"/>
      <c r="T15" s="125"/>
      <c r="U15" s="1"/>
      <c r="V15" s="44"/>
      <c r="W15" s="105"/>
      <c r="X15" s="105"/>
      <c r="Y15" s="105"/>
    </row>
    <row r="16" spans="1:25" x14ac:dyDescent="0.25">
      <c r="P16" s="1"/>
      <c r="Q16" s="124"/>
      <c r="R16" s="125"/>
      <c r="S16" s="125"/>
      <c r="T16" s="125"/>
      <c r="U16" s="1"/>
      <c r="V16" s="44"/>
      <c r="W16" s="105"/>
      <c r="X16" s="105"/>
      <c r="Y16" s="105"/>
    </row>
    <row r="17" spans="16:25" x14ac:dyDescent="0.25">
      <c r="P17" s="1"/>
      <c r="Q17" s="124"/>
      <c r="R17" s="125"/>
      <c r="S17" s="125"/>
      <c r="T17" s="125"/>
      <c r="U17" s="1"/>
      <c r="V17" s="44"/>
      <c r="W17" s="105"/>
      <c r="X17" s="105"/>
      <c r="Y17" s="105"/>
    </row>
    <row r="18" spans="16:25" x14ac:dyDescent="0.25">
      <c r="P18" s="1"/>
      <c r="Q18" s="124"/>
      <c r="R18" s="125"/>
      <c r="S18" s="125"/>
      <c r="T18" s="125"/>
      <c r="U18" s="1"/>
      <c r="V18" s="44"/>
      <c r="W18" s="105"/>
      <c r="X18" s="105"/>
      <c r="Y18" s="105"/>
    </row>
    <row r="19" spans="16:25" x14ac:dyDescent="0.25">
      <c r="P19" s="1"/>
      <c r="Q19" s="124"/>
      <c r="R19" s="125"/>
      <c r="S19" s="125"/>
      <c r="T19" s="125"/>
      <c r="U19" s="1"/>
      <c r="V19" s="44"/>
      <c r="W19" s="105"/>
      <c r="X19" s="105"/>
      <c r="Y19" s="105"/>
    </row>
    <row r="20" spans="16:25" x14ac:dyDescent="0.25">
      <c r="P20" s="1"/>
      <c r="Q20" s="124"/>
      <c r="R20" s="125"/>
      <c r="S20" s="125"/>
      <c r="T20" s="125"/>
      <c r="U20" s="1"/>
      <c r="V20" s="44"/>
      <c r="W20" s="105"/>
      <c r="X20" s="105"/>
      <c r="Y20" s="105"/>
    </row>
    <row r="21" spans="16:25" x14ac:dyDescent="0.25">
      <c r="P21" s="1"/>
      <c r="Q21" s="124"/>
      <c r="R21" s="125"/>
      <c r="S21" s="125"/>
      <c r="T21" s="125"/>
      <c r="U21" s="1"/>
      <c r="V21" s="44"/>
      <c r="W21" s="105"/>
      <c r="X21" s="105"/>
      <c r="Y21" s="105"/>
    </row>
    <row r="22" spans="16:25" x14ac:dyDescent="0.25">
      <c r="P22" s="1"/>
      <c r="Q22" s="124"/>
      <c r="R22" s="125"/>
      <c r="S22" s="125"/>
      <c r="T22" s="125"/>
      <c r="U22" s="1"/>
      <c r="V22" s="44"/>
      <c r="W22" s="105"/>
      <c r="X22" s="105"/>
      <c r="Y22" s="105"/>
    </row>
    <row r="23" spans="16:25" x14ac:dyDescent="0.25">
      <c r="P23" s="1"/>
      <c r="Q23" s="124"/>
      <c r="R23" s="125"/>
      <c r="S23" s="125"/>
      <c r="T23" s="125"/>
      <c r="U23" s="1"/>
      <c r="V23" s="44"/>
      <c r="W23" s="105"/>
      <c r="X23" s="105"/>
      <c r="Y23" s="105"/>
    </row>
    <row r="24" spans="16:25" x14ac:dyDescent="0.25">
      <c r="P24" s="1"/>
      <c r="Q24" s="124"/>
      <c r="R24" s="125"/>
      <c r="S24" s="125"/>
      <c r="T24" s="125"/>
      <c r="U24" s="1"/>
      <c r="V24" s="44"/>
      <c r="W24" s="105"/>
      <c r="X24" s="105"/>
      <c r="Y24" s="105"/>
    </row>
    <row r="25" spans="16:25" x14ac:dyDescent="0.25">
      <c r="P25" s="1"/>
      <c r="Q25" s="124"/>
      <c r="R25" s="125"/>
      <c r="S25" s="125"/>
      <c r="T25" s="125"/>
      <c r="U25" s="1"/>
      <c r="V25" s="44"/>
      <c r="W25" s="105"/>
      <c r="X25" s="105"/>
      <c r="Y25" s="105"/>
    </row>
    <row r="26" spans="16:25" x14ac:dyDescent="0.25">
      <c r="P26" s="1"/>
      <c r="Q26" s="124"/>
      <c r="R26" s="125"/>
      <c r="S26" s="125"/>
      <c r="T26" s="125"/>
      <c r="U26" s="1"/>
      <c r="V26" s="44"/>
      <c r="W26" s="105"/>
      <c r="X26" s="105"/>
      <c r="Y26" s="105"/>
    </row>
    <row r="27" spans="16:25" x14ac:dyDescent="0.25">
      <c r="P27" s="1"/>
      <c r="Q27" s="124"/>
      <c r="R27" s="125"/>
      <c r="S27" s="125"/>
      <c r="T27" s="125"/>
      <c r="U27" s="1"/>
      <c r="V27" s="44"/>
      <c r="W27" s="105"/>
      <c r="X27" s="105"/>
      <c r="Y27" s="105"/>
    </row>
    <row r="28" spans="16:25" x14ac:dyDescent="0.25">
      <c r="P28" s="1"/>
      <c r="Q28" s="124"/>
      <c r="R28" s="125"/>
      <c r="S28" s="125"/>
      <c r="T28" s="125"/>
      <c r="U28" s="1"/>
      <c r="V28" s="44"/>
      <c r="W28" s="105"/>
      <c r="X28" s="105"/>
      <c r="Y28" s="105"/>
    </row>
    <row r="29" spans="16:25" x14ac:dyDescent="0.25">
      <c r="P29" s="1"/>
      <c r="Q29" s="124"/>
      <c r="R29" s="125"/>
      <c r="S29" s="125"/>
      <c r="T29" s="125"/>
      <c r="U29" s="1"/>
      <c r="V29" s="44"/>
      <c r="W29" s="105"/>
      <c r="X29" s="105"/>
      <c r="Y29" s="105"/>
    </row>
    <row r="30" spans="16:25" x14ac:dyDescent="0.25">
      <c r="P30" s="1"/>
      <c r="Q30" s="124"/>
      <c r="R30" s="125"/>
      <c r="S30" s="125"/>
      <c r="T30" s="125"/>
      <c r="U30" s="1"/>
      <c r="V30" s="44"/>
      <c r="W30" s="105"/>
      <c r="X30" s="105"/>
      <c r="Y30" s="105"/>
    </row>
    <row r="31" spans="16:25" x14ac:dyDescent="0.25">
      <c r="P31" s="1"/>
      <c r="Q31" s="124"/>
      <c r="R31" s="125"/>
      <c r="S31" s="125"/>
      <c r="T31" s="125"/>
      <c r="U31" s="1"/>
      <c r="V31" s="44"/>
      <c r="W31" s="105"/>
      <c r="X31" s="105"/>
      <c r="Y31" s="105"/>
    </row>
    <row r="32" spans="16:25" x14ac:dyDescent="0.25">
      <c r="P32" s="1"/>
      <c r="Q32" s="124"/>
      <c r="R32" s="125"/>
      <c r="S32" s="125"/>
      <c r="T32" s="125"/>
      <c r="U32" s="1"/>
      <c r="V32" s="44"/>
      <c r="W32" s="105"/>
      <c r="X32" s="105"/>
      <c r="Y32" s="105"/>
    </row>
    <row r="33" spans="16:25" x14ac:dyDescent="0.25">
      <c r="P33" s="1"/>
      <c r="Q33" s="124"/>
      <c r="R33" s="125"/>
      <c r="S33" s="125"/>
      <c r="T33" s="125"/>
      <c r="U33" s="1"/>
      <c r="V33" s="44"/>
      <c r="W33" s="105"/>
      <c r="X33" s="105"/>
      <c r="Y33" s="105"/>
    </row>
    <row r="34" spans="16:25" x14ac:dyDescent="0.25">
      <c r="P34" s="1"/>
      <c r="Q34" s="124"/>
      <c r="R34" s="125"/>
      <c r="S34" s="125"/>
      <c r="T34" s="125"/>
      <c r="U34" s="1"/>
      <c r="V34" s="44"/>
      <c r="W34" s="105"/>
      <c r="X34" s="105"/>
      <c r="Y34" s="105"/>
    </row>
    <row r="35" spans="16:25" x14ac:dyDescent="0.25">
      <c r="P35" s="1"/>
      <c r="Q35" s="124"/>
      <c r="R35" s="125"/>
      <c r="S35" s="125"/>
      <c r="T35" s="125"/>
      <c r="U35" s="1"/>
      <c r="V35" s="44"/>
      <c r="W35" s="105"/>
      <c r="X35" s="105"/>
      <c r="Y35" s="105"/>
    </row>
    <row r="36" spans="16:25" x14ac:dyDescent="0.25">
      <c r="P36" s="1"/>
      <c r="Q36" s="124"/>
      <c r="R36" s="125"/>
      <c r="S36" s="125"/>
      <c r="T36" s="125"/>
      <c r="U36" s="1"/>
      <c r="V36" s="44"/>
      <c r="W36" s="105"/>
      <c r="X36" s="105"/>
      <c r="Y36" s="105"/>
    </row>
    <row r="37" spans="16:25" x14ac:dyDescent="0.25">
      <c r="P37" s="1"/>
      <c r="Q37" s="124"/>
      <c r="R37" s="125"/>
      <c r="S37" s="125"/>
      <c r="T37" s="125"/>
      <c r="U37" s="1"/>
      <c r="V37" s="44"/>
      <c r="W37" s="105"/>
      <c r="X37" s="105"/>
      <c r="Y37" s="105"/>
    </row>
    <row r="38" spans="16:25" x14ac:dyDescent="0.25">
      <c r="P38" s="1"/>
      <c r="Q38" s="124"/>
      <c r="R38" s="125"/>
      <c r="S38" s="125"/>
      <c r="T38" s="125"/>
      <c r="U38" s="1"/>
      <c r="V38" s="44"/>
      <c r="W38" s="105"/>
      <c r="X38" s="105"/>
      <c r="Y38" s="105"/>
    </row>
    <row r="39" spans="16:25" x14ac:dyDescent="0.25">
      <c r="P39" s="1"/>
      <c r="Q39" s="124"/>
      <c r="R39" s="125"/>
      <c r="S39" s="125"/>
      <c r="T39" s="125"/>
      <c r="U39" s="1"/>
      <c r="V39" s="44"/>
      <c r="W39" s="105"/>
      <c r="X39" s="105"/>
      <c r="Y39" s="105"/>
    </row>
    <row r="40" spans="16:25" x14ac:dyDescent="0.25">
      <c r="P40" s="1"/>
      <c r="Q40" s="124"/>
      <c r="R40" s="125"/>
      <c r="S40" s="125"/>
      <c r="T40" s="125"/>
      <c r="U40" s="1"/>
      <c r="V40" s="44"/>
      <c r="W40" s="105"/>
      <c r="X40" s="105"/>
      <c r="Y40" s="105"/>
    </row>
    <row r="41" spans="16:25" x14ac:dyDescent="0.25">
      <c r="P41" s="1"/>
      <c r="Q41" s="124"/>
      <c r="R41" s="125"/>
      <c r="S41" s="125"/>
      <c r="T41" s="125"/>
      <c r="U41" s="1"/>
      <c r="V41" s="44"/>
      <c r="W41" s="105"/>
      <c r="X41" s="105"/>
      <c r="Y41" s="105"/>
    </row>
    <row r="42" spans="16:25" x14ac:dyDescent="0.25">
      <c r="P42" s="1"/>
      <c r="Q42" s="124"/>
      <c r="R42" s="125"/>
      <c r="S42" s="125"/>
      <c r="T42" s="125"/>
      <c r="U42" s="1"/>
      <c r="V42" s="44"/>
      <c r="W42" s="105"/>
      <c r="X42" s="105"/>
      <c r="Y42" s="105"/>
    </row>
    <row r="43" spans="16:25" x14ac:dyDescent="0.25">
      <c r="P43" s="1"/>
      <c r="Q43" s="124"/>
      <c r="R43" s="125"/>
      <c r="S43" s="125"/>
      <c r="T43" s="125"/>
      <c r="U43" s="1"/>
      <c r="V43" s="44"/>
      <c r="W43" s="105"/>
      <c r="X43" s="105"/>
      <c r="Y43" s="105"/>
    </row>
    <row r="44" spans="16:25" x14ac:dyDescent="0.25">
      <c r="P44" s="1"/>
      <c r="Q44" s="124"/>
      <c r="R44" s="125"/>
      <c r="S44" s="125"/>
      <c r="T44" s="125"/>
      <c r="U44" s="1"/>
      <c r="V44" s="44"/>
      <c r="W44" s="105"/>
      <c r="X44" s="105"/>
      <c r="Y44" s="105"/>
    </row>
    <row r="45" spans="16:25" x14ac:dyDescent="0.25">
      <c r="P45" s="1"/>
      <c r="Q45" s="124"/>
      <c r="R45" s="125"/>
      <c r="S45" s="125"/>
      <c r="T45" s="125"/>
      <c r="U45" s="1"/>
      <c r="V45" s="44"/>
      <c r="W45" s="105"/>
      <c r="X45" s="105"/>
      <c r="Y45" s="105"/>
    </row>
    <row r="46" spans="16:25" x14ac:dyDescent="0.25">
      <c r="P46" s="1"/>
      <c r="Q46" s="124"/>
      <c r="R46" s="125"/>
      <c r="S46" s="125"/>
      <c r="T46" s="125"/>
      <c r="U46" s="1"/>
      <c r="V46" s="44"/>
      <c r="W46" s="105"/>
      <c r="X46" s="105"/>
      <c r="Y46" s="105"/>
    </row>
    <row r="47" spans="16:25" x14ac:dyDescent="0.25">
      <c r="P47" s="1"/>
      <c r="Q47" s="124"/>
      <c r="R47" s="125"/>
      <c r="S47" s="125"/>
      <c r="T47" s="125"/>
      <c r="U47" s="1"/>
      <c r="V47" s="44"/>
      <c r="W47" s="105"/>
      <c r="X47" s="105"/>
      <c r="Y47" s="105"/>
    </row>
    <row r="48" spans="16:25" x14ac:dyDescent="0.25">
      <c r="P48" s="1"/>
      <c r="Q48" s="124"/>
      <c r="R48" s="125"/>
      <c r="S48" s="125"/>
      <c r="T48" s="125"/>
      <c r="U48" s="1"/>
      <c r="V48" s="44"/>
      <c r="W48" s="105"/>
      <c r="X48" s="105"/>
      <c r="Y48" s="105"/>
    </row>
    <row r="49" spans="11:25" x14ac:dyDescent="0.25">
      <c r="P49" s="1"/>
      <c r="Q49" s="124"/>
      <c r="R49" s="125"/>
      <c r="S49" s="125"/>
      <c r="T49" s="125"/>
      <c r="U49" s="1"/>
      <c r="V49" s="44"/>
      <c r="W49" s="105"/>
      <c r="X49" s="105"/>
      <c r="Y49" s="105"/>
    </row>
    <row r="50" spans="11:25" x14ac:dyDescent="0.25">
      <c r="P50" s="1"/>
      <c r="Q50" s="124"/>
      <c r="R50" s="125"/>
      <c r="S50" s="125"/>
      <c r="T50" s="125"/>
      <c r="U50" s="1"/>
      <c r="V50" s="44"/>
      <c r="W50" s="105"/>
      <c r="X50" s="105"/>
      <c r="Y50" s="105"/>
    </row>
    <row r="51" spans="11:25" x14ac:dyDescent="0.25">
      <c r="P51" s="1"/>
      <c r="Q51" s="124"/>
      <c r="R51" s="125"/>
      <c r="S51" s="125"/>
      <c r="T51" s="125"/>
      <c r="U51" s="1"/>
      <c r="V51" s="44"/>
      <c r="W51" s="105"/>
      <c r="X51" s="105"/>
      <c r="Y51" s="105"/>
    </row>
    <row r="52" spans="11:25" x14ac:dyDescent="0.25">
      <c r="P52" s="1"/>
      <c r="Q52" s="124"/>
      <c r="R52" s="125"/>
      <c r="S52" s="125"/>
      <c r="T52" s="125"/>
      <c r="U52" s="1"/>
      <c r="V52" s="44"/>
      <c r="W52" s="105"/>
      <c r="X52" s="105"/>
      <c r="Y52" s="105"/>
    </row>
    <row r="53" spans="11:25" x14ac:dyDescent="0.25">
      <c r="P53" s="1"/>
      <c r="Q53" s="124"/>
      <c r="R53" s="125"/>
      <c r="S53" s="125"/>
      <c r="T53" s="125"/>
      <c r="U53" s="1"/>
      <c r="V53" s="44"/>
      <c r="W53" s="105"/>
      <c r="X53" s="105"/>
      <c r="Y53" s="105"/>
    </row>
    <row r="54" spans="11:25" x14ac:dyDescent="0.25">
      <c r="K54" s="126"/>
      <c r="P54" s="1"/>
      <c r="Q54" s="124"/>
      <c r="R54" s="125"/>
      <c r="S54" s="125"/>
      <c r="T54" s="125"/>
      <c r="U54" s="1"/>
      <c r="V54" s="44"/>
      <c r="W54" s="105"/>
      <c r="X54" s="105"/>
      <c r="Y54" s="105"/>
    </row>
    <row r="55" spans="11:25" x14ac:dyDescent="0.25">
      <c r="K55" s="126"/>
      <c r="P55" s="1"/>
      <c r="Q55" s="124"/>
      <c r="R55" s="125"/>
      <c r="S55" s="125"/>
      <c r="T55" s="125"/>
      <c r="U55" s="1"/>
      <c r="V55" s="44"/>
      <c r="W55" s="105"/>
      <c r="X55" s="105"/>
      <c r="Y55" s="105"/>
    </row>
    <row r="56" spans="11:25" x14ac:dyDescent="0.25">
      <c r="P56" s="1"/>
      <c r="Q56" s="124"/>
      <c r="R56" s="125"/>
      <c r="S56" s="125"/>
      <c r="T56" s="125"/>
      <c r="U56" s="1"/>
      <c r="V56" s="44"/>
      <c r="W56" s="105"/>
      <c r="X56" s="105"/>
      <c r="Y56" s="105"/>
    </row>
    <row r="57" spans="11:25" x14ac:dyDescent="0.25">
      <c r="P57" s="1"/>
      <c r="Q57" s="124"/>
      <c r="R57" s="125"/>
      <c r="S57" s="125"/>
      <c r="T57" s="125"/>
      <c r="U57" s="1"/>
      <c r="V57" s="44"/>
      <c r="W57" s="105"/>
      <c r="X57" s="105"/>
      <c r="Y57" s="105"/>
    </row>
    <row r="58" spans="11:25" x14ac:dyDescent="0.25">
      <c r="P58" s="1"/>
      <c r="Q58" s="124"/>
      <c r="R58" s="125"/>
      <c r="S58" s="125"/>
      <c r="T58" s="125"/>
      <c r="U58" s="1"/>
      <c r="V58" s="44"/>
      <c r="W58" s="105"/>
      <c r="X58" s="105"/>
      <c r="Y58" s="105"/>
    </row>
    <row r="59" spans="11:25" x14ac:dyDescent="0.25">
      <c r="P59" s="1"/>
      <c r="Q59" s="124"/>
      <c r="R59" s="125"/>
      <c r="S59" s="125"/>
      <c r="T59" s="125"/>
      <c r="U59" s="1"/>
      <c r="V59" s="44"/>
      <c r="W59" s="105"/>
      <c r="X59" s="105"/>
      <c r="Y59" s="105"/>
    </row>
    <row r="60" spans="11:25" x14ac:dyDescent="0.25">
      <c r="P60" s="1"/>
      <c r="Q60" s="124"/>
      <c r="R60" s="125"/>
      <c r="S60" s="125"/>
      <c r="T60" s="125"/>
      <c r="U60" s="1"/>
      <c r="V60" s="44"/>
      <c r="W60" s="105"/>
      <c r="X60" s="105"/>
      <c r="Y60" s="105"/>
    </row>
    <row r="61" spans="11:25" x14ac:dyDescent="0.25">
      <c r="P61" s="1"/>
      <c r="Q61" s="124"/>
      <c r="R61" s="125"/>
      <c r="S61" s="125"/>
      <c r="T61" s="125"/>
      <c r="U61" s="1"/>
      <c r="V61" s="44"/>
      <c r="W61" s="105"/>
      <c r="X61" s="105"/>
      <c r="Y61" s="105"/>
    </row>
    <row r="62" spans="11:25" x14ac:dyDescent="0.25">
      <c r="P62" s="1"/>
      <c r="Q62" s="124"/>
      <c r="R62" s="125"/>
      <c r="S62" s="125"/>
      <c r="T62" s="125"/>
      <c r="U62" s="1"/>
      <c r="V62" s="44"/>
      <c r="W62" s="105"/>
      <c r="X62" s="105"/>
      <c r="Y62" s="105"/>
    </row>
    <row r="63" spans="11:25" x14ac:dyDescent="0.25">
      <c r="P63" s="1"/>
      <c r="Q63" s="124"/>
      <c r="R63" s="125"/>
      <c r="S63" s="125"/>
      <c r="T63" s="125"/>
      <c r="U63" s="1"/>
      <c r="V63" s="44"/>
      <c r="W63" s="105"/>
      <c r="X63" s="105"/>
      <c r="Y63" s="105"/>
    </row>
    <row r="64" spans="11:25" x14ac:dyDescent="0.25">
      <c r="P64" s="1"/>
      <c r="Q64" s="124"/>
      <c r="R64" s="125"/>
      <c r="S64" s="125"/>
      <c r="T64" s="125"/>
      <c r="U64" s="1"/>
      <c r="V64" s="44"/>
      <c r="W64" s="105"/>
      <c r="X64" s="105"/>
      <c r="Y64" s="105"/>
    </row>
    <row r="65" spans="16:25" x14ac:dyDescent="0.25">
      <c r="P65" s="1"/>
      <c r="Q65" s="124"/>
      <c r="R65" s="125"/>
      <c r="S65" s="125"/>
      <c r="T65" s="125"/>
      <c r="U65" s="1"/>
      <c r="V65" s="44"/>
      <c r="W65" s="105"/>
      <c r="X65" s="105"/>
      <c r="Y65" s="105"/>
    </row>
    <row r="66" spans="16:25" x14ac:dyDescent="0.25">
      <c r="P66" s="1"/>
      <c r="Q66" s="124"/>
      <c r="R66" s="125"/>
      <c r="S66" s="125"/>
      <c r="T66" s="125"/>
      <c r="U66" s="1"/>
      <c r="V66" s="44"/>
      <c r="W66" s="105"/>
      <c r="X66" s="105"/>
      <c r="Y66" s="105"/>
    </row>
    <row r="67" spans="16:25" x14ac:dyDescent="0.25">
      <c r="P67" s="1"/>
      <c r="Q67" s="124"/>
      <c r="R67" s="125"/>
      <c r="S67" s="125"/>
      <c r="T67" s="125"/>
      <c r="U67" s="1"/>
      <c r="V67" s="44"/>
      <c r="W67" s="105"/>
      <c r="X67" s="105"/>
      <c r="Y67" s="105"/>
    </row>
    <row r="68" spans="16:25" x14ac:dyDescent="0.25">
      <c r="P68" s="1"/>
      <c r="Q68" s="124"/>
      <c r="R68" s="125"/>
      <c r="S68" s="125"/>
      <c r="T68" s="125"/>
      <c r="U68" s="1"/>
      <c r="V68" s="44"/>
      <c r="W68" s="105"/>
      <c r="X68" s="105"/>
      <c r="Y68" s="105"/>
    </row>
    <row r="69" spans="16:25" x14ac:dyDescent="0.25">
      <c r="P69" s="1"/>
      <c r="Q69" s="124"/>
      <c r="R69" s="125"/>
      <c r="S69" s="125"/>
      <c r="T69" s="125"/>
      <c r="U69" s="1"/>
      <c r="V69" s="44"/>
      <c r="W69" s="105"/>
      <c r="X69" s="105"/>
      <c r="Y69" s="105"/>
    </row>
    <row r="70" spans="16:25" x14ac:dyDescent="0.25">
      <c r="P70" s="1"/>
      <c r="Q70" s="124"/>
      <c r="R70" s="125"/>
      <c r="S70" s="125"/>
      <c r="T70" s="125"/>
      <c r="U70" s="1"/>
      <c r="V70" s="44"/>
      <c r="W70" s="105"/>
      <c r="X70" s="105"/>
      <c r="Y70" s="105"/>
    </row>
    <row r="71" spans="16:25" x14ac:dyDescent="0.25">
      <c r="P71" s="1"/>
      <c r="Q71" s="124"/>
      <c r="R71" s="125"/>
      <c r="S71" s="125"/>
      <c r="T71" s="125"/>
      <c r="U71" s="1"/>
      <c r="V71" s="44"/>
      <c r="W71" s="105"/>
      <c r="X71" s="105"/>
      <c r="Y71" s="105"/>
    </row>
    <row r="72" spans="16:25" x14ac:dyDescent="0.25">
      <c r="P72" s="1"/>
      <c r="Q72" s="124"/>
      <c r="R72" s="125"/>
      <c r="S72" s="125"/>
      <c r="T72" s="125"/>
      <c r="U72" s="1"/>
      <c r="V72" s="44"/>
      <c r="W72" s="105"/>
      <c r="X72" s="105"/>
      <c r="Y72" s="105"/>
    </row>
    <row r="73" spans="16:25" x14ac:dyDescent="0.25">
      <c r="P73" s="1"/>
      <c r="Q73" s="124"/>
      <c r="R73" s="125"/>
      <c r="S73" s="125"/>
      <c r="T73" s="125"/>
      <c r="U73" s="1"/>
      <c r="V73" s="44"/>
      <c r="W73" s="105"/>
      <c r="X73" s="105"/>
      <c r="Y73" s="105"/>
    </row>
    <row r="74" spans="16:25" x14ac:dyDescent="0.25">
      <c r="P74" s="1"/>
      <c r="Q74" s="124"/>
      <c r="R74" s="125"/>
      <c r="S74" s="125"/>
      <c r="T74" s="125"/>
      <c r="U74" s="1"/>
      <c r="V74" s="44"/>
      <c r="W74" s="105"/>
      <c r="X74" s="105"/>
      <c r="Y74" s="105"/>
    </row>
    <row r="75" spans="16:25" x14ac:dyDescent="0.25">
      <c r="P75" s="1"/>
      <c r="Q75" s="124"/>
      <c r="R75" s="125"/>
      <c r="S75" s="125"/>
      <c r="T75" s="125"/>
      <c r="U75" s="1"/>
      <c r="V75" s="44"/>
      <c r="W75" s="105"/>
      <c r="X75" s="105"/>
      <c r="Y75" s="105"/>
    </row>
    <row r="76" spans="16:25" x14ac:dyDescent="0.25">
      <c r="P76" s="1"/>
      <c r="Q76" s="124"/>
      <c r="R76" s="125"/>
      <c r="S76" s="125"/>
      <c r="T76" s="125"/>
      <c r="U76" s="1"/>
      <c r="V76" s="44"/>
      <c r="W76" s="105"/>
      <c r="X76" s="105"/>
      <c r="Y76" s="105"/>
    </row>
    <row r="77" spans="16:25" x14ac:dyDescent="0.25">
      <c r="P77" s="1"/>
      <c r="Q77" s="124"/>
      <c r="R77" s="125"/>
      <c r="S77" s="125"/>
      <c r="T77" s="125"/>
      <c r="U77" s="1"/>
      <c r="V77" s="44"/>
      <c r="W77" s="105"/>
      <c r="X77" s="105"/>
      <c r="Y77" s="105"/>
    </row>
    <row r="78" spans="16:25" x14ac:dyDescent="0.25">
      <c r="P78" s="1"/>
      <c r="Q78" s="124"/>
      <c r="R78" s="125"/>
      <c r="S78" s="125"/>
      <c r="T78" s="125"/>
      <c r="U78" s="1"/>
      <c r="V78" s="44"/>
      <c r="W78" s="105"/>
      <c r="X78" s="105"/>
      <c r="Y78" s="105"/>
    </row>
    <row r="79" spans="16:25" x14ac:dyDescent="0.25">
      <c r="P79" s="1"/>
      <c r="Q79" s="124"/>
      <c r="R79" s="125"/>
      <c r="S79" s="125"/>
      <c r="T79" s="125"/>
      <c r="U79" s="1"/>
      <c r="V79" s="44"/>
      <c r="W79" s="105"/>
      <c r="X79" s="105"/>
      <c r="Y79" s="105"/>
    </row>
    <row r="80" spans="16:25" x14ac:dyDescent="0.25">
      <c r="P80" s="1"/>
      <c r="Q80" s="124"/>
      <c r="R80" s="125"/>
      <c r="S80" s="125"/>
      <c r="T80" s="125"/>
      <c r="U80" s="1"/>
      <c r="V80" s="44"/>
      <c r="W80" s="105"/>
      <c r="X80" s="105"/>
      <c r="Y80" s="105"/>
    </row>
    <row r="81" spans="16:25" x14ac:dyDescent="0.25">
      <c r="P81" s="1"/>
      <c r="Q81" s="124"/>
      <c r="R81" s="125"/>
      <c r="S81" s="125"/>
      <c r="T81" s="125"/>
      <c r="U81" s="1"/>
      <c r="V81" s="44"/>
      <c r="W81" s="105"/>
      <c r="X81" s="105"/>
      <c r="Y81" s="105"/>
    </row>
    <row r="82" spans="16:25" x14ac:dyDescent="0.25">
      <c r="P82" s="1"/>
      <c r="Q82" s="124"/>
      <c r="R82" s="125"/>
      <c r="S82" s="125"/>
      <c r="T82" s="125"/>
      <c r="U82" s="1"/>
      <c r="V82" s="44"/>
      <c r="W82" s="105"/>
      <c r="X82" s="105"/>
      <c r="Y82" s="105"/>
    </row>
    <row r="83" spans="16:25" x14ac:dyDescent="0.25">
      <c r="P83" s="1"/>
      <c r="Q83" s="124"/>
      <c r="R83" s="125"/>
      <c r="S83" s="125"/>
      <c r="T83" s="125"/>
      <c r="U83" s="1"/>
      <c r="V83" s="44"/>
      <c r="W83" s="105"/>
      <c r="X83" s="105"/>
      <c r="Y83" s="105"/>
    </row>
    <row r="84" spans="16:25" x14ac:dyDescent="0.25">
      <c r="W84" s="105"/>
      <c r="X84" s="105"/>
      <c r="Y84" s="105"/>
    </row>
    <row r="85" spans="16:25" x14ac:dyDescent="0.25">
      <c r="W85" s="105"/>
      <c r="X85" s="105"/>
      <c r="Y85" s="105"/>
    </row>
    <row r="86" spans="16:25" x14ac:dyDescent="0.25">
      <c r="W86" s="105"/>
      <c r="X86" s="105"/>
      <c r="Y86" s="105"/>
    </row>
    <row r="87" spans="16:25" x14ac:dyDescent="0.25">
      <c r="W87" s="105"/>
      <c r="X87" s="105"/>
      <c r="Y87" s="105"/>
    </row>
    <row r="88" spans="16:25" x14ac:dyDescent="0.25">
      <c r="W88" s="105"/>
      <c r="X88" s="105"/>
      <c r="Y88" s="105"/>
    </row>
    <row r="89" spans="16:25" x14ac:dyDescent="0.25">
      <c r="W89" s="105"/>
      <c r="X89" s="105"/>
      <c r="Y89" s="105"/>
    </row>
    <row r="90" spans="16:25" x14ac:dyDescent="0.25">
      <c r="W90" s="105"/>
      <c r="X90" s="105"/>
      <c r="Y90" s="105"/>
    </row>
    <row r="91" spans="16:25" x14ac:dyDescent="0.25">
      <c r="W91" s="105"/>
      <c r="X91" s="105"/>
      <c r="Y91" s="105"/>
    </row>
    <row r="92" spans="16:25" x14ac:dyDescent="0.25">
      <c r="W92" s="105"/>
      <c r="X92" s="105"/>
      <c r="Y92" s="105"/>
    </row>
    <row r="93" spans="16:25" x14ac:dyDescent="0.25">
      <c r="W93" s="105"/>
      <c r="X93" s="105"/>
      <c r="Y93" s="105"/>
    </row>
    <row r="94" spans="16:25" x14ac:dyDescent="0.25">
      <c r="W94" s="105"/>
      <c r="X94" s="105"/>
      <c r="Y94" s="105"/>
    </row>
    <row r="95" spans="16:25" x14ac:dyDescent="0.25">
      <c r="W95" s="105"/>
      <c r="X95" s="105"/>
      <c r="Y95" s="105"/>
    </row>
    <row r="96" spans="16:25" x14ac:dyDescent="0.25">
      <c r="W96" s="105"/>
      <c r="X96" s="105"/>
      <c r="Y96" s="105"/>
    </row>
    <row r="97" spans="23:25" x14ac:dyDescent="0.25">
      <c r="W97" s="105"/>
      <c r="X97" s="105"/>
      <c r="Y97" s="105"/>
    </row>
    <row r="98" spans="23:25" x14ac:dyDescent="0.25">
      <c r="W98" s="105"/>
      <c r="X98" s="105"/>
      <c r="Y98" s="105"/>
    </row>
    <row r="99" spans="23:25" x14ac:dyDescent="0.25">
      <c r="W99" s="105"/>
      <c r="X99" s="105"/>
      <c r="Y99" s="105"/>
    </row>
    <row r="100" spans="23:25" x14ac:dyDescent="0.25">
      <c r="W100" s="105"/>
      <c r="X100" s="105"/>
      <c r="Y100" s="105"/>
    </row>
    <row r="101" spans="23:25" x14ac:dyDescent="0.25">
      <c r="W101" s="105"/>
      <c r="X101" s="105"/>
      <c r="Y101" s="105"/>
    </row>
    <row r="102" spans="23:25" x14ac:dyDescent="0.25">
      <c r="W102" s="105"/>
      <c r="X102" s="105"/>
      <c r="Y102" s="105"/>
    </row>
    <row r="103" spans="23:25" x14ac:dyDescent="0.25">
      <c r="W103" s="105"/>
      <c r="X103" s="105"/>
      <c r="Y103" s="105"/>
    </row>
    <row r="104" spans="23:25" x14ac:dyDescent="0.25">
      <c r="W104" s="105"/>
      <c r="X104" s="105"/>
      <c r="Y104" s="105"/>
    </row>
    <row r="105" spans="23:25" x14ac:dyDescent="0.25">
      <c r="W105" s="105"/>
      <c r="X105" s="105"/>
      <c r="Y105" s="105"/>
    </row>
    <row r="106" spans="23:25" x14ac:dyDescent="0.25">
      <c r="W106" s="105"/>
      <c r="X106" s="105"/>
      <c r="Y106" s="105"/>
    </row>
    <row r="107" spans="23:25" x14ac:dyDescent="0.25">
      <c r="W107" s="105"/>
      <c r="X107" s="105"/>
      <c r="Y107" s="105"/>
    </row>
    <row r="108" spans="23:25" x14ac:dyDescent="0.25">
      <c r="W108" s="105"/>
      <c r="X108" s="105"/>
      <c r="Y108" s="105"/>
    </row>
    <row r="109" spans="23:25" x14ac:dyDescent="0.25">
      <c r="W109" s="105"/>
      <c r="X109" s="105"/>
      <c r="Y109" s="105"/>
    </row>
    <row r="110" spans="23:25" x14ac:dyDescent="0.25">
      <c r="W110" s="105"/>
      <c r="X110" s="105"/>
      <c r="Y110" s="105"/>
    </row>
    <row r="111" spans="23:25" x14ac:dyDescent="0.25">
      <c r="W111" s="105"/>
      <c r="X111" s="105"/>
      <c r="Y111" s="105"/>
    </row>
    <row r="112" spans="23:25" x14ac:dyDescent="0.25">
      <c r="W112" s="105"/>
      <c r="X112" s="105"/>
      <c r="Y112" s="105"/>
    </row>
    <row r="113" spans="23:25" x14ac:dyDescent="0.25">
      <c r="W113" s="105"/>
      <c r="X113" s="105"/>
      <c r="Y113" s="105"/>
    </row>
    <row r="114" spans="23:25" x14ac:dyDescent="0.25">
      <c r="W114" s="105"/>
      <c r="X114" s="105"/>
      <c r="Y114" s="105"/>
    </row>
    <row r="115" spans="23:25" x14ac:dyDescent="0.25">
      <c r="W115" s="105"/>
      <c r="X115" s="105"/>
      <c r="Y115" s="105"/>
    </row>
    <row r="116" spans="23:25" x14ac:dyDescent="0.25">
      <c r="W116" s="105"/>
      <c r="X116" s="105"/>
      <c r="Y116" s="105"/>
    </row>
    <row r="117" spans="23:25" x14ac:dyDescent="0.25">
      <c r="W117" s="105"/>
      <c r="X117" s="105"/>
      <c r="Y117" s="105"/>
    </row>
    <row r="118" spans="23:25" x14ac:dyDescent="0.25">
      <c r="W118" s="105"/>
      <c r="X118" s="105"/>
      <c r="Y118" s="105"/>
    </row>
    <row r="119" spans="23:25" x14ac:dyDescent="0.25">
      <c r="W119" s="105"/>
      <c r="X119" s="105"/>
      <c r="Y119" s="105"/>
    </row>
    <row r="120" spans="23:25" x14ac:dyDescent="0.25">
      <c r="W120" s="105"/>
      <c r="X120" s="105"/>
      <c r="Y120" s="105"/>
    </row>
    <row r="121" spans="23:25" x14ac:dyDescent="0.25">
      <c r="W121" s="105"/>
      <c r="X121" s="105"/>
      <c r="Y121" s="105"/>
    </row>
    <row r="122" spans="23:25" x14ac:dyDescent="0.25">
      <c r="W122" s="105"/>
      <c r="X122" s="105"/>
      <c r="Y122" s="105"/>
    </row>
    <row r="123" spans="23:25" x14ac:dyDescent="0.25">
      <c r="W123" s="105"/>
      <c r="X123" s="105"/>
      <c r="Y123" s="105"/>
    </row>
    <row r="124" spans="23:25" x14ac:dyDescent="0.25">
      <c r="W124" s="105"/>
      <c r="X124" s="105"/>
      <c r="Y124" s="105"/>
    </row>
    <row r="125" spans="23:25" x14ac:dyDescent="0.25">
      <c r="W125" s="105"/>
      <c r="X125" s="105"/>
      <c r="Y125" s="105"/>
    </row>
    <row r="126" spans="23:25" x14ac:dyDescent="0.25">
      <c r="W126" s="105"/>
      <c r="X126" s="105"/>
      <c r="Y126" s="105"/>
    </row>
    <row r="127" spans="23:25" x14ac:dyDescent="0.25">
      <c r="W127" s="105"/>
      <c r="X127" s="105"/>
      <c r="Y127" s="105"/>
    </row>
    <row r="128" spans="23:25" x14ac:dyDescent="0.25">
      <c r="W128" s="105"/>
      <c r="X128" s="105"/>
      <c r="Y128" s="105"/>
    </row>
    <row r="129" spans="23:25" x14ac:dyDescent="0.25">
      <c r="W129" s="105"/>
      <c r="X129" s="105"/>
      <c r="Y129" s="105"/>
    </row>
    <row r="130" spans="23:25" x14ac:dyDescent="0.25">
      <c r="W130" s="105"/>
      <c r="X130" s="105"/>
      <c r="Y130" s="105"/>
    </row>
    <row r="131" spans="23:25" x14ac:dyDescent="0.25">
      <c r="W131" s="105"/>
      <c r="X131" s="105"/>
      <c r="Y131" s="105"/>
    </row>
    <row r="132" spans="23:25" x14ac:dyDescent="0.25">
      <c r="W132" s="105"/>
      <c r="X132" s="105"/>
      <c r="Y132" s="105"/>
    </row>
    <row r="133" spans="23:25" x14ac:dyDescent="0.25">
      <c r="W133" s="105"/>
      <c r="X133" s="105"/>
      <c r="Y133" s="105"/>
    </row>
    <row r="134" spans="23:25" x14ac:dyDescent="0.25">
      <c r="W134" s="105"/>
      <c r="X134" s="105"/>
      <c r="Y134" s="105"/>
    </row>
    <row r="135" spans="23:25" x14ac:dyDescent="0.25">
      <c r="W135" s="105"/>
      <c r="X135" s="105"/>
      <c r="Y135" s="105"/>
    </row>
    <row r="136" spans="23:25" x14ac:dyDescent="0.25">
      <c r="W136" s="105"/>
      <c r="X136" s="105"/>
      <c r="Y136" s="105"/>
    </row>
    <row r="137" spans="23:25" x14ac:dyDescent="0.25">
      <c r="W137" s="105"/>
      <c r="X137" s="105"/>
      <c r="Y137" s="105"/>
    </row>
    <row r="138" spans="23:25" x14ac:dyDescent="0.25">
      <c r="W138" s="105"/>
      <c r="X138" s="105"/>
      <c r="Y138" s="105"/>
    </row>
    <row r="139" spans="23:25" x14ac:dyDescent="0.25">
      <c r="W139" s="105"/>
      <c r="X139" s="105"/>
      <c r="Y139" s="105"/>
    </row>
    <row r="140" spans="23:25" x14ac:dyDescent="0.25">
      <c r="W140" s="105"/>
      <c r="X140" s="105"/>
      <c r="Y140" s="105"/>
    </row>
    <row r="141" spans="23:25" x14ac:dyDescent="0.25">
      <c r="W141" s="105"/>
      <c r="X141" s="105"/>
      <c r="Y141" s="105"/>
    </row>
    <row r="142" spans="23:25" x14ac:dyDescent="0.25">
      <c r="W142" s="105"/>
      <c r="X142" s="105"/>
      <c r="Y142" s="105"/>
    </row>
    <row r="143" spans="23:25" x14ac:dyDescent="0.25">
      <c r="W143" s="105"/>
      <c r="X143" s="105"/>
      <c r="Y143" s="105"/>
    </row>
    <row r="144" spans="23:25" x14ac:dyDescent="0.25">
      <c r="W144" s="105"/>
      <c r="X144" s="105"/>
      <c r="Y144" s="105"/>
    </row>
    <row r="145" spans="23:25" x14ac:dyDescent="0.25">
      <c r="W145" s="105"/>
      <c r="X145" s="105"/>
      <c r="Y145" s="105"/>
    </row>
    <row r="146" spans="23:25" x14ac:dyDescent="0.25">
      <c r="W146" s="105"/>
      <c r="X146" s="105"/>
      <c r="Y146" s="105"/>
    </row>
    <row r="147" spans="23:25" x14ac:dyDescent="0.25">
      <c r="W147" s="105"/>
      <c r="X147" s="105"/>
      <c r="Y147" s="105"/>
    </row>
    <row r="148" spans="23:25" x14ac:dyDescent="0.25">
      <c r="W148" s="105"/>
      <c r="X148" s="105"/>
      <c r="Y148" s="105"/>
    </row>
    <row r="149" spans="23:25" x14ac:dyDescent="0.25">
      <c r="W149" s="105"/>
      <c r="X149" s="105"/>
      <c r="Y149" s="105"/>
    </row>
    <row r="150" spans="23:25" x14ac:dyDescent="0.25">
      <c r="W150" s="105"/>
      <c r="X150" s="105"/>
      <c r="Y150" s="105"/>
    </row>
    <row r="151" spans="23:25" x14ac:dyDescent="0.25">
      <c r="W151" s="105"/>
      <c r="X151" s="105"/>
      <c r="Y151" s="105"/>
    </row>
    <row r="152" spans="23:25" x14ac:dyDescent="0.25">
      <c r="W152" s="105"/>
      <c r="X152" s="105"/>
      <c r="Y152" s="105"/>
    </row>
    <row r="153" spans="23:25" x14ac:dyDescent="0.25">
      <c r="W153" s="105"/>
      <c r="X153" s="105"/>
      <c r="Y153" s="105"/>
    </row>
    <row r="154" spans="23:25" x14ac:dyDescent="0.25">
      <c r="W154" s="105"/>
      <c r="X154" s="105"/>
      <c r="Y154" s="105"/>
    </row>
    <row r="155" spans="23:25" x14ac:dyDescent="0.25">
      <c r="W155" s="105"/>
      <c r="X155" s="105"/>
      <c r="Y155" s="105"/>
    </row>
    <row r="156" spans="23:25" x14ac:dyDescent="0.25">
      <c r="W156" s="105"/>
      <c r="X156" s="105"/>
      <c r="Y156" s="105"/>
    </row>
    <row r="157" spans="23:25" x14ac:dyDescent="0.25">
      <c r="W157" s="105"/>
      <c r="X157" s="105"/>
      <c r="Y157" s="105"/>
    </row>
    <row r="158" spans="23:25" x14ac:dyDescent="0.25">
      <c r="W158" s="105"/>
      <c r="X158" s="105"/>
      <c r="Y158" s="105"/>
    </row>
    <row r="159" spans="23:25" x14ac:dyDescent="0.25">
      <c r="W159" s="105"/>
      <c r="X159" s="105"/>
      <c r="Y159" s="105"/>
    </row>
    <row r="160" spans="23:25" x14ac:dyDescent="0.25">
      <c r="W160" s="105"/>
      <c r="X160" s="105"/>
      <c r="Y160" s="105"/>
    </row>
    <row r="161" spans="23:25" x14ac:dyDescent="0.25">
      <c r="W161" s="105"/>
      <c r="X161" s="105"/>
      <c r="Y161" s="105"/>
    </row>
    <row r="162" spans="23:25" x14ac:dyDescent="0.25">
      <c r="W162" s="105"/>
      <c r="X162" s="105"/>
      <c r="Y162" s="105"/>
    </row>
    <row r="163" spans="23:25" x14ac:dyDescent="0.25">
      <c r="W163" s="105"/>
      <c r="X163" s="105"/>
      <c r="Y163" s="105"/>
    </row>
    <row r="164" spans="23:25" x14ac:dyDescent="0.25">
      <c r="W164" s="105"/>
      <c r="X164" s="105"/>
      <c r="Y164" s="105"/>
    </row>
    <row r="165" spans="23:25" x14ac:dyDescent="0.25">
      <c r="W165" s="105"/>
      <c r="X165" s="105"/>
      <c r="Y165" s="105"/>
    </row>
    <row r="166" spans="23:25" x14ac:dyDescent="0.25">
      <c r="W166" s="105"/>
      <c r="X166" s="105"/>
      <c r="Y166" s="105"/>
    </row>
    <row r="167" spans="23:25" x14ac:dyDescent="0.25">
      <c r="W167" s="105"/>
      <c r="X167" s="105"/>
      <c r="Y167" s="105"/>
    </row>
    <row r="168" spans="23:25" x14ac:dyDescent="0.25">
      <c r="W168" s="105"/>
      <c r="X168" s="105"/>
      <c r="Y168" s="105"/>
    </row>
    <row r="169" spans="23:25" x14ac:dyDescent="0.25">
      <c r="W169" s="105"/>
      <c r="X169" s="105"/>
      <c r="Y169" s="105"/>
    </row>
    <row r="170" spans="23:25" x14ac:dyDescent="0.25">
      <c r="W170" s="105"/>
      <c r="X170" s="105"/>
      <c r="Y170" s="105"/>
    </row>
    <row r="171" spans="23:25" x14ac:dyDescent="0.25">
      <c r="W171" s="105"/>
      <c r="X171" s="105"/>
      <c r="Y171" s="105"/>
    </row>
    <row r="172" spans="23:25" x14ac:dyDescent="0.25">
      <c r="W172" s="105"/>
      <c r="X172" s="105"/>
      <c r="Y172" s="105"/>
    </row>
    <row r="173" spans="23:25" x14ac:dyDescent="0.25">
      <c r="W173" s="105"/>
      <c r="X173" s="105"/>
      <c r="Y173" s="105"/>
    </row>
    <row r="174" spans="23:25" x14ac:dyDescent="0.25">
      <c r="W174" s="105"/>
      <c r="X174" s="105"/>
      <c r="Y174" s="105"/>
    </row>
    <row r="175" spans="23:25" x14ac:dyDescent="0.25">
      <c r="W175" s="105"/>
      <c r="X175" s="105"/>
      <c r="Y175" s="105"/>
    </row>
    <row r="176" spans="23:25" x14ac:dyDescent="0.25">
      <c r="W176" s="105"/>
      <c r="X176" s="105"/>
      <c r="Y176" s="105"/>
    </row>
    <row r="177" spans="23:25" x14ac:dyDescent="0.25">
      <c r="W177" s="105"/>
      <c r="X177" s="105"/>
      <c r="Y177" s="105"/>
    </row>
    <row r="178" spans="23:25" x14ac:dyDescent="0.25">
      <c r="W178" s="105"/>
      <c r="X178" s="105"/>
      <c r="Y178" s="105"/>
    </row>
    <row r="179" spans="23:25" x14ac:dyDescent="0.25">
      <c r="W179" s="105"/>
      <c r="X179" s="105"/>
      <c r="Y179" s="105"/>
    </row>
    <row r="180" spans="23:25" x14ac:dyDescent="0.25">
      <c r="W180" s="105"/>
      <c r="X180" s="105"/>
      <c r="Y180" s="105"/>
    </row>
    <row r="181" spans="23:25" x14ac:dyDescent="0.25">
      <c r="W181" s="105"/>
      <c r="X181" s="105"/>
      <c r="Y181" s="105"/>
    </row>
    <row r="182" spans="23:25" x14ac:dyDescent="0.25">
      <c r="W182" s="105"/>
      <c r="X182" s="105"/>
      <c r="Y182" s="105"/>
    </row>
    <row r="183" spans="23:25" x14ac:dyDescent="0.25">
      <c r="W183" s="105"/>
      <c r="X183" s="105"/>
      <c r="Y183" s="105"/>
    </row>
    <row r="184" spans="23:25" x14ac:dyDescent="0.25">
      <c r="W184" s="105"/>
      <c r="X184" s="105"/>
      <c r="Y184" s="105"/>
    </row>
    <row r="185" spans="23:25" x14ac:dyDescent="0.25">
      <c r="W185" s="105"/>
      <c r="X185" s="105"/>
      <c r="Y185" s="105"/>
    </row>
    <row r="186" spans="23:25" x14ac:dyDescent="0.25">
      <c r="W186" s="105"/>
      <c r="X186" s="105"/>
      <c r="Y186" s="105"/>
    </row>
    <row r="187" spans="23:25" x14ac:dyDescent="0.25">
      <c r="W187" s="105"/>
      <c r="X187" s="105"/>
      <c r="Y187" s="105"/>
    </row>
    <row r="188" spans="23:25" x14ac:dyDescent="0.25">
      <c r="W188" s="105"/>
      <c r="X188" s="105"/>
      <c r="Y188" s="105"/>
    </row>
    <row r="189" spans="23:25" x14ac:dyDescent="0.25">
      <c r="W189" s="105"/>
      <c r="X189" s="105"/>
      <c r="Y189" s="105"/>
    </row>
    <row r="190" spans="23:25" x14ac:dyDescent="0.25">
      <c r="W190" s="105"/>
      <c r="X190" s="105"/>
      <c r="Y190" s="105"/>
    </row>
    <row r="191" spans="23:25" x14ac:dyDescent="0.25">
      <c r="W191" s="105"/>
      <c r="X191" s="105"/>
      <c r="Y191" s="105"/>
    </row>
    <row r="192" spans="23:25" x14ac:dyDescent="0.25">
      <c r="W192" s="105"/>
      <c r="X192" s="105"/>
      <c r="Y192" s="105"/>
    </row>
    <row r="193" spans="23:25" x14ac:dyDescent="0.25">
      <c r="W193" s="105"/>
      <c r="X193" s="105"/>
      <c r="Y193" s="105"/>
    </row>
    <row r="194" spans="23:25" x14ac:dyDescent="0.25">
      <c r="W194" s="105"/>
      <c r="X194" s="105"/>
      <c r="Y194" s="105"/>
    </row>
    <row r="195" spans="23:25" x14ac:dyDescent="0.25">
      <c r="W195" s="105"/>
      <c r="X195" s="105"/>
      <c r="Y195" s="105"/>
    </row>
    <row r="196" spans="23:25" x14ac:dyDescent="0.25">
      <c r="W196" s="105"/>
      <c r="X196" s="105"/>
      <c r="Y196" s="105"/>
    </row>
    <row r="197" spans="23:25" x14ac:dyDescent="0.25">
      <c r="W197" s="105"/>
      <c r="X197" s="105"/>
      <c r="Y197" s="105"/>
    </row>
    <row r="198" spans="23:25" x14ac:dyDescent="0.25">
      <c r="W198" s="105"/>
      <c r="X198" s="105"/>
      <c r="Y198" s="105"/>
    </row>
    <row r="199" spans="23:25" x14ac:dyDescent="0.25">
      <c r="W199" s="105"/>
      <c r="X199" s="105"/>
      <c r="Y199" s="105"/>
    </row>
    <row r="200" spans="23:25" x14ac:dyDescent="0.25">
      <c r="W200" s="105"/>
      <c r="X200" s="105"/>
      <c r="Y200" s="105"/>
    </row>
    <row r="201" spans="23:25" x14ac:dyDescent="0.25">
      <c r="W201" s="105"/>
      <c r="X201" s="105"/>
      <c r="Y201" s="105"/>
    </row>
    <row r="202" spans="23:25" x14ac:dyDescent="0.25">
      <c r="W202" s="105"/>
      <c r="X202" s="105"/>
      <c r="Y202" s="105"/>
    </row>
    <row r="203" spans="23:25" x14ac:dyDescent="0.25">
      <c r="W203" s="105"/>
      <c r="X203" s="105"/>
      <c r="Y203" s="105"/>
    </row>
    <row r="204" spans="23:25" x14ac:dyDescent="0.25">
      <c r="W204" s="105"/>
      <c r="X204" s="105"/>
      <c r="Y204" s="105"/>
    </row>
    <row r="205" spans="23:25" x14ac:dyDescent="0.25">
      <c r="W205" s="105"/>
      <c r="X205" s="105"/>
      <c r="Y205" s="105"/>
    </row>
    <row r="206" spans="23:25" x14ac:dyDescent="0.25">
      <c r="W206" s="105"/>
      <c r="X206" s="105"/>
      <c r="Y206" s="105"/>
    </row>
    <row r="207" spans="23:25" x14ac:dyDescent="0.25">
      <c r="W207" s="105"/>
      <c r="X207" s="105"/>
      <c r="Y207" s="105"/>
    </row>
    <row r="208" spans="23:25" x14ac:dyDescent="0.25">
      <c r="W208" s="105"/>
      <c r="X208" s="105"/>
      <c r="Y208" s="105"/>
    </row>
    <row r="209" spans="23:25" x14ac:dyDescent="0.25">
      <c r="W209" s="105"/>
      <c r="X209" s="105"/>
      <c r="Y209" s="105"/>
    </row>
    <row r="210" spans="23:25" x14ac:dyDescent="0.25">
      <c r="W210" s="105"/>
      <c r="X210" s="105"/>
      <c r="Y210" s="105"/>
    </row>
    <row r="211" spans="23:25" x14ac:dyDescent="0.25">
      <c r="W211" s="105"/>
      <c r="X211" s="105"/>
      <c r="Y211" s="105"/>
    </row>
    <row r="212" spans="23:25" x14ac:dyDescent="0.25">
      <c r="W212" s="105"/>
      <c r="X212" s="105"/>
      <c r="Y212" s="105"/>
    </row>
    <row r="213" spans="23:25" x14ac:dyDescent="0.25">
      <c r="W213" s="105"/>
      <c r="X213" s="105"/>
      <c r="Y213" s="105"/>
    </row>
    <row r="214" spans="23:25" x14ac:dyDescent="0.25">
      <c r="W214" s="105"/>
      <c r="X214" s="105"/>
      <c r="Y214" s="105"/>
    </row>
    <row r="215" spans="23:25" x14ac:dyDescent="0.25">
      <c r="W215" s="105"/>
      <c r="X215" s="105"/>
      <c r="Y215" s="105"/>
    </row>
    <row r="216" spans="23:25" x14ac:dyDescent="0.25">
      <c r="W216" s="105"/>
      <c r="X216" s="105"/>
      <c r="Y216" s="105"/>
    </row>
    <row r="217" spans="23:25" x14ac:dyDescent="0.25">
      <c r="W217" s="105"/>
      <c r="X217" s="105"/>
      <c r="Y217" s="105"/>
    </row>
    <row r="218" spans="23:25" x14ac:dyDescent="0.25">
      <c r="W218" s="105"/>
      <c r="X218" s="105"/>
      <c r="Y218" s="105"/>
    </row>
    <row r="219" spans="23:25" x14ac:dyDescent="0.25">
      <c r="W219" s="105"/>
      <c r="X219" s="105"/>
      <c r="Y219" s="105"/>
    </row>
    <row r="220" spans="23:25" x14ac:dyDescent="0.25">
      <c r="W220" s="105"/>
      <c r="X220" s="105"/>
      <c r="Y220" s="105"/>
    </row>
    <row r="221" spans="23:25" x14ac:dyDescent="0.25">
      <c r="W221" s="105"/>
      <c r="X221" s="105"/>
      <c r="Y221" s="105"/>
    </row>
    <row r="222" spans="23:25" x14ac:dyDescent="0.25">
      <c r="W222" s="105"/>
      <c r="X222" s="105"/>
      <c r="Y222" s="105"/>
    </row>
    <row r="223" spans="23:25" x14ac:dyDescent="0.25">
      <c r="W223" s="105"/>
      <c r="X223" s="105"/>
      <c r="Y223" s="105"/>
    </row>
    <row r="224" spans="23:25" x14ac:dyDescent="0.25">
      <c r="W224" s="105"/>
      <c r="X224" s="105"/>
      <c r="Y224" s="105"/>
    </row>
    <row r="225" spans="23:25" x14ac:dyDescent="0.25">
      <c r="W225" s="105"/>
      <c r="X225" s="105"/>
      <c r="Y225" s="105"/>
    </row>
    <row r="226" spans="23:25" x14ac:dyDescent="0.25">
      <c r="W226" s="105"/>
      <c r="X226" s="105"/>
      <c r="Y226" s="105"/>
    </row>
    <row r="227" spans="23:25" x14ac:dyDescent="0.25">
      <c r="W227" s="105"/>
      <c r="X227" s="105"/>
      <c r="Y227" s="105"/>
    </row>
    <row r="228" spans="23:25" x14ac:dyDescent="0.25">
      <c r="W228" s="105"/>
      <c r="X228" s="105"/>
      <c r="Y228" s="105"/>
    </row>
    <row r="229" spans="23:25" x14ac:dyDescent="0.25">
      <c r="W229" s="105"/>
      <c r="X229" s="105"/>
      <c r="Y229" s="105"/>
    </row>
    <row r="230" spans="23:25" x14ac:dyDescent="0.25">
      <c r="W230" s="105"/>
      <c r="X230" s="105"/>
      <c r="Y230" s="105"/>
    </row>
    <row r="231" spans="23:25" x14ac:dyDescent="0.25">
      <c r="W231" s="105"/>
      <c r="X231" s="105"/>
      <c r="Y231" s="105"/>
    </row>
    <row r="232" spans="23:25" x14ac:dyDescent="0.25">
      <c r="W232" s="105"/>
      <c r="X232" s="105"/>
      <c r="Y232" s="105"/>
    </row>
    <row r="233" spans="23:25" x14ac:dyDescent="0.25">
      <c r="W233" s="105"/>
      <c r="X233" s="105"/>
      <c r="Y233" s="105"/>
    </row>
    <row r="234" spans="23:25" x14ac:dyDescent="0.25">
      <c r="W234" s="105"/>
      <c r="X234" s="105"/>
      <c r="Y234" s="105"/>
    </row>
    <row r="235" spans="23:25" x14ac:dyDescent="0.25">
      <c r="W235" s="105"/>
      <c r="X235" s="105"/>
      <c r="Y235" s="105"/>
    </row>
    <row r="236" spans="23:25" x14ac:dyDescent="0.25">
      <c r="W236" s="105"/>
      <c r="X236" s="105"/>
      <c r="Y236" s="105"/>
    </row>
    <row r="237" spans="23:25" x14ac:dyDescent="0.25">
      <c r="W237" s="105"/>
      <c r="X237" s="105"/>
      <c r="Y237" s="105"/>
    </row>
    <row r="238" spans="23:25" x14ac:dyDescent="0.25">
      <c r="W238" s="105"/>
      <c r="X238" s="105"/>
      <c r="Y238" s="105"/>
    </row>
    <row r="239" spans="23:25" x14ac:dyDescent="0.25">
      <c r="W239" s="105"/>
      <c r="X239" s="105"/>
      <c r="Y239" s="105"/>
    </row>
    <row r="240" spans="23:25" x14ac:dyDescent="0.25">
      <c r="W240" s="105"/>
      <c r="X240" s="105"/>
      <c r="Y240" s="105"/>
    </row>
    <row r="241" spans="23:25" x14ac:dyDescent="0.25">
      <c r="W241" s="105"/>
      <c r="X241" s="105"/>
      <c r="Y241" s="105"/>
    </row>
    <row r="242" spans="23:25" x14ac:dyDescent="0.25">
      <c r="W242" s="105"/>
      <c r="X242" s="105"/>
      <c r="Y242" s="105"/>
    </row>
    <row r="243" spans="23:25" x14ac:dyDescent="0.25">
      <c r="W243" s="105"/>
      <c r="X243" s="105"/>
      <c r="Y243" s="105"/>
    </row>
    <row r="244" spans="23:25" x14ac:dyDescent="0.25">
      <c r="W244" s="105"/>
      <c r="X244" s="105"/>
      <c r="Y244" s="105"/>
    </row>
    <row r="245" spans="23:25" x14ac:dyDescent="0.25">
      <c r="W245" s="105"/>
      <c r="X245" s="105"/>
      <c r="Y245" s="105"/>
    </row>
    <row r="246" spans="23:25" x14ac:dyDescent="0.25">
      <c r="W246" s="105"/>
      <c r="X246" s="105"/>
      <c r="Y246" s="105"/>
    </row>
    <row r="247" spans="23:25" x14ac:dyDescent="0.25">
      <c r="W247" s="105"/>
      <c r="X247" s="105"/>
      <c r="Y247" s="105"/>
    </row>
    <row r="248" spans="23:25" x14ac:dyDescent="0.25">
      <c r="W248" s="105"/>
      <c r="X248" s="105"/>
      <c r="Y248" s="105"/>
    </row>
    <row r="249" spans="23:25" x14ac:dyDescent="0.25">
      <c r="W249" s="105"/>
      <c r="X249" s="105"/>
      <c r="Y249" s="105"/>
    </row>
    <row r="250" spans="23:25" x14ac:dyDescent="0.25">
      <c r="W250" s="105"/>
      <c r="X250" s="105"/>
      <c r="Y250" s="105"/>
    </row>
    <row r="251" spans="23:25" x14ac:dyDescent="0.25">
      <c r="W251" s="105"/>
      <c r="X251" s="105"/>
      <c r="Y251" s="105"/>
    </row>
    <row r="252" spans="23:25" x14ac:dyDescent="0.25">
      <c r="W252" s="105"/>
      <c r="X252" s="105"/>
      <c r="Y252" s="105"/>
    </row>
    <row r="253" spans="23:25" x14ac:dyDescent="0.25">
      <c r="W253" s="105"/>
      <c r="X253" s="105"/>
      <c r="Y253" s="105"/>
    </row>
    <row r="254" spans="23:25" x14ac:dyDescent="0.25">
      <c r="W254" s="105"/>
      <c r="X254" s="105"/>
      <c r="Y254" s="105"/>
    </row>
    <row r="255" spans="23:25" x14ac:dyDescent="0.25">
      <c r="W255" s="105"/>
      <c r="X255" s="105"/>
      <c r="Y255" s="105"/>
    </row>
    <row r="256" spans="23:25" x14ac:dyDescent="0.25">
      <c r="W256" s="105"/>
      <c r="X256" s="105"/>
      <c r="Y256" s="105"/>
    </row>
    <row r="257" spans="23:25" x14ac:dyDescent="0.25">
      <c r="W257" s="105"/>
      <c r="X257" s="105"/>
      <c r="Y257" s="105"/>
    </row>
    <row r="258" spans="23:25" x14ac:dyDescent="0.25">
      <c r="W258" s="105"/>
      <c r="X258" s="105"/>
      <c r="Y258" s="105"/>
    </row>
    <row r="259" spans="23:25" x14ac:dyDescent="0.25">
      <c r="W259" s="105"/>
      <c r="X259" s="105"/>
      <c r="Y259" s="105"/>
    </row>
    <row r="260" spans="23:25" x14ac:dyDescent="0.25">
      <c r="W260" s="105"/>
      <c r="X260" s="105"/>
      <c r="Y260" s="105"/>
    </row>
    <row r="261" spans="23:25" x14ac:dyDescent="0.25">
      <c r="W261" s="105"/>
      <c r="X261" s="105"/>
      <c r="Y261" s="105"/>
    </row>
    <row r="262" spans="23:25" x14ac:dyDescent="0.25">
      <c r="W262" s="105"/>
      <c r="X262" s="105"/>
      <c r="Y262" s="105"/>
    </row>
    <row r="263" spans="23:25" x14ac:dyDescent="0.25">
      <c r="W263" s="105"/>
      <c r="X263" s="105"/>
      <c r="Y263" s="105"/>
    </row>
    <row r="264" spans="23:25" x14ac:dyDescent="0.25">
      <c r="W264" s="105"/>
      <c r="X264" s="105"/>
      <c r="Y264" s="105"/>
    </row>
    <row r="265" spans="23:25" x14ac:dyDescent="0.25">
      <c r="W265" s="105"/>
      <c r="X265" s="105"/>
      <c r="Y265" s="105"/>
    </row>
    <row r="266" spans="23:25" x14ac:dyDescent="0.25">
      <c r="W266" s="105"/>
      <c r="X266" s="105"/>
      <c r="Y266" s="105"/>
    </row>
    <row r="267" spans="23:25" x14ac:dyDescent="0.25">
      <c r="W267" s="105"/>
      <c r="X267" s="105"/>
      <c r="Y267" s="105"/>
    </row>
    <row r="268" spans="23:25" x14ac:dyDescent="0.25">
      <c r="W268" s="105"/>
      <c r="X268" s="105"/>
      <c r="Y268" s="105"/>
    </row>
    <row r="269" spans="23:25" x14ac:dyDescent="0.25">
      <c r="W269" s="105"/>
      <c r="X269" s="105"/>
      <c r="Y269" s="105"/>
    </row>
    <row r="270" spans="23:25" x14ac:dyDescent="0.25">
      <c r="W270" s="105"/>
      <c r="X270" s="105"/>
      <c r="Y270" s="105"/>
    </row>
    <row r="271" spans="23:25" x14ac:dyDescent="0.25">
      <c r="W271" s="105"/>
      <c r="X271" s="105"/>
      <c r="Y271" s="105"/>
    </row>
    <row r="272" spans="23:25" x14ac:dyDescent="0.25">
      <c r="W272" s="105"/>
      <c r="X272" s="105"/>
      <c r="Y272" s="105"/>
    </row>
    <row r="273" spans="23:25" x14ac:dyDescent="0.25">
      <c r="W273" s="105"/>
      <c r="X273" s="105"/>
      <c r="Y273" s="105"/>
    </row>
    <row r="274" spans="23:25" x14ac:dyDescent="0.25">
      <c r="W274" s="105"/>
      <c r="X274" s="105"/>
      <c r="Y274" s="105"/>
    </row>
    <row r="275" spans="23:25" x14ac:dyDescent="0.25">
      <c r="W275" s="105"/>
      <c r="X275" s="105"/>
      <c r="Y275" s="105"/>
    </row>
    <row r="276" spans="23:25" x14ac:dyDescent="0.25">
      <c r="W276" s="105"/>
      <c r="X276" s="105"/>
      <c r="Y276" s="105"/>
    </row>
    <row r="277" spans="23:25" x14ac:dyDescent="0.25">
      <c r="W277" s="105"/>
      <c r="X277" s="105"/>
      <c r="Y277" s="105"/>
    </row>
    <row r="278" spans="23:25" x14ac:dyDescent="0.25">
      <c r="W278" s="105"/>
      <c r="X278" s="105"/>
      <c r="Y278" s="105"/>
    </row>
    <row r="279" spans="23:25" x14ac:dyDescent="0.25">
      <c r="W279" s="105"/>
      <c r="X279" s="105"/>
      <c r="Y279" s="105"/>
    </row>
    <row r="280" spans="23:25" x14ac:dyDescent="0.25">
      <c r="W280" s="105"/>
      <c r="X280" s="105"/>
      <c r="Y280" s="105"/>
    </row>
    <row r="281" spans="23:25" x14ac:dyDescent="0.25">
      <c r="W281" s="105"/>
      <c r="X281" s="105"/>
      <c r="Y281" s="105"/>
    </row>
    <row r="282" spans="23:25" x14ac:dyDescent="0.25">
      <c r="W282" s="105"/>
      <c r="X282" s="105"/>
      <c r="Y282" s="105"/>
    </row>
    <row r="283" spans="23:25" x14ac:dyDescent="0.25">
      <c r="W283" s="105"/>
      <c r="X283" s="105"/>
      <c r="Y283" s="105"/>
    </row>
    <row r="284" spans="23:25" x14ac:dyDescent="0.25">
      <c r="W284" s="105"/>
      <c r="X284" s="105"/>
      <c r="Y284" s="105"/>
    </row>
    <row r="285" spans="23:25" x14ac:dyDescent="0.25">
      <c r="W285" s="105"/>
      <c r="X285" s="105"/>
      <c r="Y285" s="105"/>
    </row>
    <row r="286" spans="23:25" x14ac:dyDescent="0.25">
      <c r="W286" s="105"/>
      <c r="X286" s="105"/>
      <c r="Y286" s="105"/>
    </row>
    <row r="287" spans="23:25" x14ac:dyDescent="0.25">
      <c r="W287" s="105"/>
      <c r="X287" s="105"/>
      <c r="Y287" s="105"/>
    </row>
    <row r="288" spans="23:25" x14ac:dyDescent="0.25">
      <c r="W288" s="105"/>
      <c r="X288" s="105"/>
      <c r="Y288" s="105"/>
    </row>
    <row r="289" spans="23:25" x14ac:dyDescent="0.25">
      <c r="W289" s="105"/>
      <c r="X289" s="105"/>
      <c r="Y289" s="105"/>
    </row>
    <row r="290" spans="23:25" x14ac:dyDescent="0.25">
      <c r="W290" s="105"/>
      <c r="X290" s="105"/>
      <c r="Y290" s="105"/>
    </row>
    <row r="291" spans="23:25" x14ac:dyDescent="0.25">
      <c r="W291" s="105"/>
      <c r="X291" s="105"/>
      <c r="Y291" s="105"/>
    </row>
    <row r="292" spans="23:25" x14ac:dyDescent="0.25">
      <c r="W292" s="105"/>
      <c r="X292" s="105"/>
      <c r="Y292" s="105"/>
    </row>
    <row r="293" spans="23:25" x14ac:dyDescent="0.25">
      <c r="W293" s="105"/>
      <c r="X293" s="105"/>
      <c r="Y293" s="105"/>
    </row>
    <row r="294" spans="23:25" x14ac:dyDescent="0.25">
      <c r="W294" s="105"/>
      <c r="X294" s="105"/>
      <c r="Y294" s="105"/>
    </row>
    <row r="295" spans="23:25" x14ac:dyDescent="0.25">
      <c r="W295" s="105"/>
      <c r="X295" s="105"/>
      <c r="Y295" s="105"/>
    </row>
    <row r="296" spans="23:25" x14ac:dyDescent="0.25">
      <c r="W296" s="105"/>
      <c r="X296" s="105"/>
      <c r="Y296" s="105"/>
    </row>
    <row r="297" spans="23:25" x14ac:dyDescent="0.25">
      <c r="W297" s="105"/>
      <c r="X297" s="105"/>
      <c r="Y297" s="105"/>
    </row>
    <row r="298" spans="23:25" x14ac:dyDescent="0.25">
      <c r="W298" s="105"/>
      <c r="X298" s="105"/>
      <c r="Y298" s="105"/>
    </row>
    <row r="299" spans="23:25" x14ac:dyDescent="0.25">
      <c r="W299" s="105"/>
      <c r="X299" s="105"/>
      <c r="Y299" s="105"/>
    </row>
    <row r="300" spans="23:25" x14ac:dyDescent="0.25">
      <c r="W300" s="105"/>
      <c r="X300" s="105"/>
      <c r="Y300" s="105"/>
    </row>
    <row r="301" spans="23:25" x14ac:dyDescent="0.25">
      <c r="W301" s="105"/>
      <c r="X301" s="105"/>
      <c r="Y301" s="105"/>
    </row>
    <row r="302" spans="23:25" x14ac:dyDescent="0.25">
      <c r="W302" s="105"/>
      <c r="X302" s="105"/>
      <c r="Y302" s="105"/>
    </row>
    <row r="303" spans="23:25" x14ac:dyDescent="0.25">
      <c r="W303" s="105"/>
      <c r="X303" s="105"/>
      <c r="Y303" s="105"/>
    </row>
    <row r="304" spans="23:25" x14ac:dyDescent="0.25">
      <c r="W304" s="105"/>
      <c r="X304" s="105"/>
      <c r="Y304" s="105"/>
    </row>
    <row r="305" spans="23:25" x14ac:dyDescent="0.25">
      <c r="W305" s="105"/>
      <c r="X305" s="105"/>
      <c r="Y305" s="105"/>
    </row>
    <row r="306" spans="23:25" x14ac:dyDescent="0.25">
      <c r="W306" s="105"/>
      <c r="X306" s="105"/>
      <c r="Y306" s="105"/>
    </row>
    <row r="307" spans="23:25" x14ac:dyDescent="0.25">
      <c r="W307" s="105"/>
      <c r="X307" s="105"/>
      <c r="Y307" s="105"/>
    </row>
    <row r="308" spans="23:25" x14ac:dyDescent="0.25">
      <c r="W308" s="105"/>
      <c r="X308" s="105"/>
      <c r="Y308" s="105"/>
    </row>
    <row r="309" spans="23:25" x14ac:dyDescent="0.25">
      <c r="W309" s="105"/>
      <c r="X309" s="105"/>
      <c r="Y309" s="105"/>
    </row>
    <row r="310" spans="23:25" x14ac:dyDescent="0.25">
      <c r="W310" s="105"/>
      <c r="X310" s="105"/>
      <c r="Y310" s="105"/>
    </row>
    <row r="311" spans="23:25" x14ac:dyDescent="0.25">
      <c r="W311" s="105"/>
      <c r="X311" s="105"/>
      <c r="Y311" s="105"/>
    </row>
    <row r="312" spans="23:25" x14ac:dyDescent="0.25">
      <c r="W312" s="105"/>
      <c r="X312" s="105"/>
      <c r="Y312" s="105"/>
    </row>
    <row r="313" spans="23:25" x14ac:dyDescent="0.25">
      <c r="W313" s="105"/>
      <c r="X313" s="105"/>
      <c r="Y313" s="105"/>
    </row>
    <row r="314" spans="23:25" x14ac:dyDescent="0.25">
      <c r="W314" s="105"/>
      <c r="X314" s="105"/>
      <c r="Y314" s="105"/>
    </row>
    <row r="315" spans="23:25" x14ac:dyDescent="0.25">
      <c r="W315" s="105"/>
      <c r="X315" s="105"/>
      <c r="Y315" s="105"/>
    </row>
    <row r="316" spans="23:25" x14ac:dyDescent="0.25">
      <c r="W316" s="105"/>
      <c r="X316" s="105"/>
      <c r="Y316" s="105"/>
    </row>
    <row r="317" spans="23:25" x14ac:dyDescent="0.25">
      <c r="W317" s="105"/>
      <c r="X317" s="105"/>
      <c r="Y317" s="105"/>
    </row>
    <row r="318" spans="23:25" x14ac:dyDescent="0.25">
      <c r="W318" s="105"/>
      <c r="X318" s="105"/>
      <c r="Y318" s="105"/>
    </row>
    <row r="319" spans="23:25" x14ac:dyDescent="0.25">
      <c r="W319" s="105"/>
      <c r="X319" s="105"/>
      <c r="Y319" s="105"/>
    </row>
    <row r="320" spans="23:25" x14ac:dyDescent="0.25">
      <c r="W320" s="105"/>
      <c r="X320" s="105"/>
      <c r="Y320" s="105"/>
    </row>
    <row r="321" spans="23:25" x14ac:dyDescent="0.25">
      <c r="W321" s="105"/>
      <c r="X321" s="105"/>
      <c r="Y321" s="105"/>
    </row>
    <row r="322" spans="23:25" x14ac:dyDescent="0.25">
      <c r="W322" s="105"/>
      <c r="X322" s="105"/>
      <c r="Y322" s="105"/>
    </row>
    <row r="323" spans="23:25" x14ac:dyDescent="0.25">
      <c r="W323" s="105"/>
      <c r="X323" s="105"/>
      <c r="Y323" s="105"/>
    </row>
    <row r="324" spans="23:25" x14ac:dyDescent="0.25">
      <c r="W324" s="105"/>
      <c r="X324" s="105"/>
      <c r="Y324" s="105"/>
    </row>
    <row r="325" spans="23:25" x14ac:dyDescent="0.25">
      <c r="W325" s="105"/>
      <c r="X325" s="105"/>
      <c r="Y325" s="105"/>
    </row>
    <row r="326" spans="23:25" x14ac:dyDescent="0.25">
      <c r="W326" s="105"/>
      <c r="X326" s="105"/>
      <c r="Y326" s="105"/>
    </row>
    <row r="327" spans="23:25" x14ac:dyDescent="0.25">
      <c r="W327" s="105"/>
      <c r="X327" s="105"/>
      <c r="Y327" s="105"/>
    </row>
    <row r="328" spans="23:25" x14ac:dyDescent="0.25">
      <c r="W328" s="105"/>
      <c r="X328" s="105"/>
      <c r="Y328" s="105"/>
    </row>
    <row r="329" spans="23:25" x14ac:dyDescent="0.25">
      <c r="W329" s="105"/>
      <c r="X329" s="105"/>
      <c r="Y329" s="105"/>
    </row>
    <row r="330" spans="23:25" x14ac:dyDescent="0.25">
      <c r="W330" s="105"/>
      <c r="X330" s="105"/>
      <c r="Y330" s="105"/>
    </row>
    <row r="331" spans="23:25" x14ac:dyDescent="0.25">
      <c r="W331" s="105"/>
      <c r="X331" s="105"/>
      <c r="Y331" s="105"/>
    </row>
    <row r="332" spans="23:25" x14ac:dyDescent="0.25">
      <c r="W332" s="105"/>
      <c r="X332" s="105"/>
      <c r="Y332" s="105"/>
    </row>
    <row r="333" spans="23:25" x14ac:dyDescent="0.25">
      <c r="W333" s="105"/>
      <c r="X333" s="105"/>
      <c r="Y333" s="105"/>
    </row>
    <row r="334" spans="23:25" x14ac:dyDescent="0.25">
      <c r="W334" s="105"/>
      <c r="X334" s="105"/>
      <c r="Y334" s="105"/>
    </row>
    <row r="335" spans="23:25" x14ac:dyDescent="0.25">
      <c r="W335" s="105"/>
      <c r="X335" s="105"/>
      <c r="Y335" s="105"/>
    </row>
    <row r="336" spans="23:25" x14ac:dyDescent="0.25">
      <c r="W336" s="105"/>
      <c r="X336" s="105"/>
      <c r="Y336" s="105"/>
    </row>
    <row r="337" spans="23:25" x14ac:dyDescent="0.25">
      <c r="W337" s="105"/>
      <c r="X337" s="105"/>
      <c r="Y337" s="105"/>
    </row>
    <row r="338" spans="23:25" x14ac:dyDescent="0.25">
      <c r="W338" s="105"/>
      <c r="X338" s="105"/>
      <c r="Y338" s="105"/>
    </row>
    <row r="339" spans="23:25" x14ac:dyDescent="0.25">
      <c r="W339" s="105"/>
      <c r="X339" s="105"/>
      <c r="Y339" s="105"/>
    </row>
    <row r="340" spans="23:25" x14ac:dyDescent="0.25">
      <c r="W340" s="105"/>
      <c r="X340" s="105"/>
      <c r="Y340" s="105"/>
    </row>
    <row r="341" spans="23:25" x14ac:dyDescent="0.25">
      <c r="W341" s="105"/>
      <c r="X341" s="105"/>
      <c r="Y341" s="105"/>
    </row>
    <row r="342" spans="23:25" x14ac:dyDescent="0.25">
      <c r="W342" s="105"/>
      <c r="X342" s="105"/>
      <c r="Y342" s="105"/>
    </row>
    <row r="343" spans="23:25" x14ac:dyDescent="0.25">
      <c r="W343" s="105"/>
      <c r="X343" s="105"/>
      <c r="Y343" s="105"/>
    </row>
    <row r="344" spans="23:25" x14ac:dyDescent="0.25">
      <c r="W344" s="105"/>
      <c r="X344" s="105"/>
      <c r="Y344" s="105"/>
    </row>
    <row r="345" spans="23:25" x14ac:dyDescent="0.25">
      <c r="W345" s="105"/>
      <c r="X345" s="105"/>
      <c r="Y345" s="105"/>
    </row>
    <row r="346" spans="23:25" x14ac:dyDescent="0.25">
      <c r="W346" s="105"/>
      <c r="X346" s="105"/>
      <c r="Y346" s="105"/>
    </row>
    <row r="347" spans="23:25" x14ac:dyDescent="0.25">
      <c r="W347" s="105"/>
      <c r="X347" s="105"/>
      <c r="Y347" s="105"/>
    </row>
    <row r="348" spans="23:25" x14ac:dyDescent="0.25">
      <c r="W348" s="105"/>
      <c r="X348" s="105"/>
      <c r="Y348" s="105"/>
    </row>
    <row r="349" spans="23:25" x14ac:dyDescent="0.25">
      <c r="W349" s="105"/>
      <c r="X349" s="105"/>
      <c r="Y349" s="105"/>
    </row>
    <row r="350" spans="23:25" x14ac:dyDescent="0.25">
      <c r="W350" s="105"/>
      <c r="X350" s="105"/>
      <c r="Y350" s="105"/>
    </row>
    <row r="351" spans="23:25" x14ac:dyDescent="0.25">
      <c r="W351" s="105"/>
      <c r="X351" s="105"/>
      <c r="Y351" s="105"/>
    </row>
    <row r="352" spans="23:25" x14ac:dyDescent="0.25">
      <c r="W352" s="105"/>
      <c r="X352" s="105"/>
      <c r="Y352" s="105"/>
    </row>
    <row r="353" spans="23:25" x14ac:dyDescent="0.25">
      <c r="W353" s="105"/>
      <c r="X353" s="105"/>
      <c r="Y353" s="105"/>
    </row>
    <row r="354" spans="23:25" x14ac:dyDescent="0.25">
      <c r="W354" s="105"/>
      <c r="X354" s="105"/>
      <c r="Y354" s="105"/>
    </row>
    <row r="355" spans="23:25" x14ac:dyDescent="0.25">
      <c r="W355" s="105"/>
      <c r="X355" s="105"/>
      <c r="Y355" s="105"/>
    </row>
    <row r="356" spans="23:25" x14ac:dyDescent="0.25">
      <c r="W356" s="105"/>
      <c r="X356" s="105"/>
      <c r="Y356" s="105"/>
    </row>
    <row r="357" spans="23:25" x14ac:dyDescent="0.25">
      <c r="W357" s="105"/>
      <c r="X357" s="105"/>
      <c r="Y357" s="105"/>
    </row>
    <row r="358" spans="23:25" x14ac:dyDescent="0.25">
      <c r="W358" s="105"/>
      <c r="X358" s="105"/>
      <c r="Y358" s="105"/>
    </row>
    <row r="359" spans="23:25" x14ac:dyDescent="0.25">
      <c r="W359" s="105"/>
      <c r="X359" s="105"/>
      <c r="Y359" s="105"/>
    </row>
    <row r="360" spans="23:25" x14ac:dyDescent="0.25">
      <c r="W360" s="105"/>
      <c r="X360" s="105"/>
      <c r="Y360" s="105"/>
    </row>
    <row r="361" spans="23:25" x14ac:dyDescent="0.25">
      <c r="W361" s="105"/>
      <c r="X361" s="105"/>
      <c r="Y361" s="105"/>
    </row>
    <row r="362" spans="23:25" x14ac:dyDescent="0.25">
      <c r="W362" s="105"/>
      <c r="X362" s="105"/>
      <c r="Y362" s="105"/>
    </row>
    <row r="363" spans="23:25" x14ac:dyDescent="0.25">
      <c r="W363" s="105"/>
      <c r="X363" s="105"/>
      <c r="Y363" s="105"/>
    </row>
    <row r="364" spans="23:25" x14ac:dyDescent="0.25">
      <c r="W364" s="105"/>
      <c r="X364" s="105"/>
      <c r="Y364" s="105"/>
    </row>
    <row r="365" spans="23:25" x14ac:dyDescent="0.25">
      <c r="W365" s="105"/>
      <c r="X365" s="105"/>
      <c r="Y365" s="105"/>
    </row>
    <row r="366" spans="23:25" x14ac:dyDescent="0.25">
      <c r="W366" s="105"/>
      <c r="X366" s="105"/>
      <c r="Y366" s="105"/>
    </row>
    <row r="367" spans="23:25" x14ac:dyDescent="0.25">
      <c r="W367" s="105"/>
      <c r="X367" s="105"/>
      <c r="Y367" s="105"/>
    </row>
    <row r="368" spans="23:25" x14ac:dyDescent="0.25">
      <c r="W368" s="105"/>
      <c r="X368" s="105"/>
      <c r="Y368" s="105"/>
    </row>
    <row r="369" spans="23:25" x14ac:dyDescent="0.25">
      <c r="W369" s="105"/>
      <c r="X369" s="105"/>
      <c r="Y369" s="105"/>
    </row>
    <row r="370" spans="23:25" x14ac:dyDescent="0.25">
      <c r="W370" s="105"/>
      <c r="X370" s="105"/>
      <c r="Y370" s="105"/>
    </row>
    <row r="371" spans="23:25" x14ac:dyDescent="0.25">
      <c r="W371" s="105"/>
      <c r="X371" s="105"/>
      <c r="Y371" s="105"/>
    </row>
    <row r="372" spans="23:25" x14ac:dyDescent="0.25">
      <c r="W372" s="105"/>
      <c r="X372" s="105"/>
      <c r="Y372" s="105"/>
    </row>
    <row r="373" spans="23:25" x14ac:dyDescent="0.25">
      <c r="W373" s="105"/>
      <c r="X373" s="105"/>
      <c r="Y373" s="105"/>
    </row>
    <row r="374" spans="23:25" x14ac:dyDescent="0.25">
      <c r="W374" s="105"/>
      <c r="X374" s="105"/>
      <c r="Y374" s="105"/>
    </row>
    <row r="375" spans="23:25" x14ac:dyDescent="0.25">
      <c r="W375" s="105"/>
      <c r="X375" s="105"/>
      <c r="Y375" s="105"/>
    </row>
    <row r="376" spans="23:25" x14ac:dyDescent="0.25">
      <c r="W376" s="105"/>
      <c r="X376" s="105"/>
      <c r="Y376" s="105"/>
    </row>
    <row r="377" spans="23:25" x14ac:dyDescent="0.25">
      <c r="W377" s="105"/>
      <c r="X377" s="105"/>
      <c r="Y377" s="105"/>
    </row>
    <row r="378" spans="23:25" x14ac:dyDescent="0.25">
      <c r="W378" s="105"/>
      <c r="X378" s="105"/>
      <c r="Y378" s="105"/>
    </row>
    <row r="379" spans="23:25" x14ac:dyDescent="0.25">
      <c r="W379" s="105"/>
      <c r="X379" s="105"/>
      <c r="Y379" s="105"/>
    </row>
    <row r="380" spans="23:25" x14ac:dyDescent="0.25">
      <c r="W380" s="105"/>
      <c r="X380" s="105"/>
      <c r="Y380" s="105"/>
    </row>
    <row r="381" spans="23:25" x14ac:dyDescent="0.25">
      <c r="W381" s="105"/>
      <c r="X381" s="105"/>
      <c r="Y381" s="105"/>
    </row>
    <row r="382" spans="23:25" x14ac:dyDescent="0.25">
      <c r="W382" s="105"/>
      <c r="X382" s="105"/>
      <c r="Y382" s="105"/>
    </row>
    <row r="383" spans="23:25" x14ac:dyDescent="0.25">
      <c r="W383" s="105"/>
      <c r="X383" s="105"/>
      <c r="Y383" s="105"/>
    </row>
    <row r="384" spans="23:25" x14ac:dyDescent="0.25">
      <c r="W384" s="105"/>
      <c r="X384" s="105"/>
      <c r="Y384" s="105"/>
    </row>
    <row r="385" spans="23:25" x14ac:dyDescent="0.25">
      <c r="W385" s="105"/>
      <c r="X385" s="105"/>
      <c r="Y385" s="105"/>
    </row>
    <row r="386" spans="23:25" x14ac:dyDescent="0.25">
      <c r="W386" s="105"/>
      <c r="X386" s="105"/>
      <c r="Y386" s="105"/>
    </row>
    <row r="387" spans="23:25" x14ac:dyDescent="0.25">
      <c r="W387" s="105"/>
      <c r="X387" s="105"/>
      <c r="Y387" s="105"/>
    </row>
    <row r="388" spans="23:25" x14ac:dyDescent="0.25">
      <c r="W388" s="105"/>
      <c r="X388" s="105"/>
      <c r="Y388" s="105"/>
    </row>
    <row r="389" spans="23:25" x14ac:dyDescent="0.25">
      <c r="W389" s="105"/>
      <c r="X389" s="105"/>
      <c r="Y389" s="105"/>
    </row>
    <row r="390" spans="23:25" x14ac:dyDescent="0.25">
      <c r="W390" s="105"/>
      <c r="X390" s="105"/>
      <c r="Y390" s="105"/>
    </row>
    <row r="391" spans="23:25" x14ac:dyDescent="0.25">
      <c r="W391" s="105"/>
      <c r="X391" s="105"/>
      <c r="Y391" s="105"/>
    </row>
    <row r="392" spans="23:25" x14ac:dyDescent="0.25">
      <c r="W392" s="105"/>
      <c r="X392" s="105"/>
      <c r="Y392" s="105"/>
    </row>
    <row r="393" spans="23:25" x14ac:dyDescent="0.25">
      <c r="W393" s="105"/>
      <c r="X393" s="105"/>
      <c r="Y393" s="105"/>
    </row>
    <row r="394" spans="23:25" x14ac:dyDescent="0.25">
      <c r="W394" s="105"/>
      <c r="X394" s="105"/>
      <c r="Y394" s="105"/>
    </row>
    <row r="395" spans="23:25" x14ac:dyDescent="0.25">
      <c r="W395" s="105"/>
      <c r="X395" s="105"/>
      <c r="Y395" s="105"/>
    </row>
    <row r="396" spans="23:25" x14ac:dyDescent="0.25">
      <c r="W396" s="105"/>
      <c r="X396" s="105"/>
      <c r="Y396" s="105"/>
    </row>
    <row r="397" spans="23:25" x14ac:dyDescent="0.25">
      <c r="W397" s="105"/>
      <c r="X397" s="105"/>
      <c r="Y397" s="105"/>
    </row>
    <row r="398" spans="23:25" x14ac:dyDescent="0.25">
      <c r="W398" s="105"/>
      <c r="X398" s="105"/>
      <c r="Y398" s="105"/>
    </row>
    <row r="399" spans="23:25" x14ac:dyDescent="0.25">
      <c r="W399" s="105"/>
      <c r="X399" s="105"/>
      <c r="Y399" s="105"/>
    </row>
    <row r="400" spans="23:25" x14ac:dyDescent="0.25">
      <c r="W400" s="105"/>
      <c r="X400" s="105"/>
      <c r="Y400" s="105"/>
    </row>
    <row r="401" spans="23:25" x14ac:dyDescent="0.25">
      <c r="W401" s="105"/>
      <c r="X401" s="105"/>
      <c r="Y401" s="105"/>
    </row>
    <row r="402" spans="23:25" x14ac:dyDescent="0.25">
      <c r="W402" s="105"/>
      <c r="X402" s="105"/>
      <c r="Y402" s="105"/>
    </row>
    <row r="403" spans="23:25" x14ac:dyDescent="0.25">
      <c r="W403" s="105"/>
      <c r="X403" s="105"/>
      <c r="Y403" s="105"/>
    </row>
    <row r="50001" spans="1:3" x14ac:dyDescent="0.25">
      <c r="A50001" t="s">
        <v>12</v>
      </c>
      <c r="B50001" t="s">
        <v>12</v>
      </c>
    </row>
    <row r="50002" spans="1:3" x14ac:dyDescent="0.25">
      <c r="C50002" s="43" t="s">
        <v>12</v>
      </c>
    </row>
  </sheetData>
  <mergeCells count="1">
    <mergeCell ref="A1:B1"/>
  </mergeCells>
  <phoneticPr fontId="8" type="noConversion"/>
  <hyperlinks>
    <hyperlink ref="A1:B1" location="MAIN_DASHBOARD!A1" display="&lt;&lt;&lt; BACK TO MAIN" xr:uid="{0C548493-A912-4CD4-A9B7-7999A3DF5459}"/>
    <hyperlink ref="E1" location="SalesMenu!A1" display="&lt;&lt; goto Sales Menu" xr:uid="{B7A424FA-FFE1-41ED-A863-DCE40AA43C63}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B0EC1-71B0-4B53-8E33-CE7D820F6868}">
  <sheetPr codeName="Sheet7"/>
  <dimension ref="A1:AE22"/>
  <sheetViews>
    <sheetView topLeftCell="O1" workbookViewId="0">
      <selection activeCell="Y18" sqref="Y18"/>
    </sheetView>
  </sheetViews>
  <sheetFormatPr defaultRowHeight="15" x14ac:dyDescent="0.25"/>
  <cols>
    <col min="1" max="1" width="9.140625" style="1"/>
    <col min="2" max="2" width="13.85546875" style="1" customWidth="1"/>
    <col min="3" max="3" width="9.140625" style="1"/>
    <col min="4" max="4" width="11.7109375" style="1" customWidth="1"/>
    <col min="5" max="5" width="23.85546875" style="1" customWidth="1"/>
    <col min="6" max="6" width="9.140625" style="1"/>
    <col min="7" max="7" width="9.5703125" style="1" customWidth="1"/>
    <col min="8" max="8" width="11.85546875" style="1" customWidth="1"/>
    <col min="9" max="9" width="19.140625" style="1" customWidth="1"/>
    <col min="10" max="10" width="12.5703125" style="1" customWidth="1"/>
    <col min="11" max="11" width="12.42578125" style="1" customWidth="1"/>
    <col min="12" max="12" width="17.42578125" style="1" customWidth="1"/>
    <col min="13" max="13" width="14.5703125" style="1" customWidth="1"/>
    <col min="14" max="14" width="18.85546875" style="1" customWidth="1"/>
    <col min="15" max="15" width="20.5703125" style="1" customWidth="1"/>
    <col min="16" max="17" width="16" style="1" customWidth="1"/>
    <col min="18" max="20" width="15.140625" style="1" customWidth="1"/>
    <col min="21" max="29" width="9.140625" style="1"/>
    <col min="30" max="30" width="19.42578125" style="1" customWidth="1"/>
    <col min="31" max="31" width="18.28515625" style="1" customWidth="1"/>
    <col min="32" max="16384" width="9.140625" style="1"/>
  </cols>
  <sheetData>
    <row r="1" spans="1:31" x14ac:dyDescent="0.25">
      <c r="A1" s="642" t="s">
        <v>3799</v>
      </c>
      <c r="B1" s="642"/>
      <c r="E1" s="450" t="s">
        <v>3800</v>
      </c>
    </row>
    <row r="3" spans="1:31" x14ac:dyDescent="0.25">
      <c r="E3" s="43">
        <f>COUNTA(PurchaseHistoryTable[Item Description])</f>
        <v>7</v>
      </c>
    </row>
    <row r="4" spans="1:31" ht="19.5" customHeight="1" x14ac:dyDescent="0.25">
      <c r="C4" s="451" t="s">
        <v>0</v>
      </c>
      <c r="D4" s="452" t="s">
        <v>1</v>
      </c>
      <c r="E4" s="452" t="s">
        <v>2</v>
      </c>
      <c r="F4" s="452" t="s">
        <v>1772</v>
      </c>
      <c r="G4" s="452" t="s">
        <v>3393</v>
      </c>
      <c r="H4" s="452" t="s">
        <v>3392</v>
      </c>
      <c r="I4" s="452" t="s">
        <v>3406</v>
      </c>
      <c r="J4" s="452" t="s">
        <v>3394</v>
      </c>
      <c r="K4" s="452" t="s">
        <v>3395</v>
      </c>
      <c r="L4" s="452" t="s">
        <v>3396</v>
      </c>
      <c r="M4" s="452" t="s">
        <v>3397</v>
      </c>
      <c r="N4" s="452" t="s">
        <v>3401</v>
      </c>
      <c r="O4" s="452" t="s">
        <v>3425</v>
      </c>
      <c r="P4" s="452" t="s">
        <v>3399</v>
      </c>
      <c r="Q4" s="452" t="s">
        <v>3400</v>
      </c>
      <c r="R4" s="452" t="s">
        <v>3402</v>
      </c>
      <c r="S4" s="452" t="s">
        <v>3420</v>
      </c>
      <c r="T4" s="452" t="s">
        <v>3422</v>
      </c>
      <c r="U4" s="452" t="s">
        <v>3418</v>
      </c>
      <c r="V4" s="452" t="s">
        <v>3417</v>
      </c>
      <c r="W4" s="452" t="s">
        <v>3414</v>
      </c>
      <c r="X4" s="452" t="s">
        <v>3415</v>
      </c>
      <c r="Y4" s="452" t="s">
        <v>3416</v>
      </c>
      <c r="Z4" s="452" t="s">
        <v>3424</v>
      </c>
      <c r="AA4" s="453" t="s">
        <v>3798</v>
      </c>
      <c r="AD4" s="1" t="s">
        <v>3434</v>
      </c>
      <c r="AE4" s="1" t="s">
        <v>3437</v>
      </c>
    </row>
    <row r="5" spans="1:31" x14ac:dyDescent="0.25">
      <c r="C5" s="454">
        <v>1</v>
      </c>
      <c r="D5" s="455">
        <v>1207</v>
      </c>
      <c r="E5" s="456" t="s">
        <v>242</v>
      </c>
      <c r="F5" s="455" t="s">
        <v>1393</v>
      </c>
      <c r="G5" s="457">
        <v>3</v>
      </c>
      <c r="H5" s="458">
        <v>160</v>
      </c>
      <c r="I5" s="458">
        <v>53.333333333333336</v>
      </c>
      <c r="J5" s="459">
        <v>0.5</v>
      </c>
      <c r="K5" s="460">
        <v>80</v>
      </c>
      <c r="L5" s="461">
        <v>26.666666666666664</v>
      </c>
      <c r="M5" s="461">
        <v>240</v>
      </c>
      <c r="N5" s="458" t="s">
        <v>3352</v>
      </c>
      <c r="O5" s="462">
        <v>45312</v>
      </c>
      <c r="P5" s="463" t="s">
        <v>3467</v>
      </c>
      <c r="Q5" s="464" t="s">
        <v>3468</v>
      </c>
      <c r="R5" s="465">
        <v>216</v>
      </c>
      <c r="S5" s="465">
        <v>0</v>
      </c>
      <c r="T5" s="462"/>
      <c r="U5" s="466">
        <v>51</v>
      </c>
      <c r="V5" s="466">
        <v>72</v>
      </c>
      <c r="W5" s="467">
        <v>2024</v>
      </c>
      <c r="X5" s="467">
        <v>2</v>
      </c>
      <c r="Y5" s="467">
        <v>21</v>
      </c>
      <c r="Z5" s="455">
        <v>219</v>
      </c>
      <c r="AA5" s="468">
        <v>45312</v>
      </c>
      <c r="AD5" s="1">
        <f>VALUE(PurchaseHistoryTable[[#This Row],[TransDate]])</f>
        <v>45312</v>
      </c>
      <c r="AE5" s="1">
        <f>VALUE(PurchaseHistoryTable[[#This Row],[PrevUpDate]])</f>
        <v>0</v>
      </c>
    </row>
    <row r="6" spans="1:31" x14ac:dyDescent="0.25">
      <c r="C6" s="469">
        <v>2</v>
      </c>
      <c r="D6" s="455">
        <v>1012</v>
      </c>
      <c r="E6" s="456" t="s">
        <v>35</v>
      </c>
      <c r="F6" s="455" t="s">
        <v>24</v>
      </c>
      <c r="G6" s="457">
        <v>2</v>
      </c>
      <c r="H6" s="460">
        <v>1600</v>
      </c>
      <c r="I6" s="460">
        <v>800</v>
      </c>
      <c r="J6" s="459">
        <v>0.5</v>
      </c>
      <c r="K6" s="460">
        <v>1200</v>
      </c>
      <c r="L6" s="461">
        <v>400</v>
      </c>
      <c r="M6" s="461">
        <v>2400</v>
      </c>
      <c r="N6" s="460" t="s">
        <v>3341</v>
      </c>
      <c r="O6" s="470">
        <v>45312</v>
      </c>
      <c r="P6" s="471" t="s">
        <v>3478</v>
      </c>
      <c r="Q6" s="472" t="s">
        <v>3479</v>
      </c>
      <c r="R6" s="473">
        <v>21</v>
      </c>
      <c r="S6" s="473">
        <v>0</v>
      </c>
      <c r="T6" s="462"/>
      <c r="U6" s="466">
        <v>832</v>
      </c>
      <c r="V6" s="466">
        <v>1020</v>
      </c>
      <c r="W6" s="467">
        <v>2024</v>
      </c>
      <c r="X6" s="455">
        <v>1</v>
      </c>
      <c r="Y6" s="455">
        <v>21</v>
      </c>
      <c r="Z6" s="455">
        <v>23</v>
      </c>
      <c r="AA6" s="468">
        <v>45312</v>
      </c>
      <c r="AD6" s="1">
        <f>VALUE(PurchaseHistoryTable[[#This Row],[TransDate]])</f>
        <v>45312</v>
      </c>
      <c r="AE6" s="1">
        <f>VALUE(PurchaseHistoryTable[[#This Row],[PrevUpDate]])</f>
        <v>0</v>
      </c>
    </row>
    <row r="7" spans="1:31" x14ac:dyDescent="0.25">
      <c r="C7" s="469">
        <v>3</v>
      </c>
      <c r="D7" s="455">
        <v>1012</v>
      </c>
      <c r="E7" s="456" t="s">
        <v>35</v>
      </c>
      <c r="F7" s="455" t="s">
        <v>24</v>
      </c>
      <c r="G7" s="457">
        <v>3</v>
      </c>
      <c r="H7" s="460">
        <v>2400</v>
      </c>
      <c r="I7" s="460">
        <v>800</v>
      </c>
      <c r="J7" s="459">
        <v>0.6</v>
      </c>
      <c r="K7" s="460">
        <v>1280</v>
      </c>
      <c r="L7" s="461">
        <v>480</v>
      </c>
      <c r="M7" s="461">
        <v>3840</v>
      </c>
      <c r="N7" s="460" t="s">
        <v>3469</v>
      </c>
      <c r="O7" s="470">
        <v>45312</v>
      </c>
      <c r="P7" s="471">
        <v>2112</v>
      </c>
      <c r="Q7" s="472">
        <v>1212</v>
      </c>
      <c r="R7" s="473">
        <v>23</v>
      </c>
      <c r="S7" s="473">
        <v>0</v>
      </c>
      <c r="T7" s="462"/>
      <c r="U7" s="466">
        <v>800</v>
      </c>
      <c r="V7" s="466">
        <v>1200</v>
      </c>
      <c r="W7" s="467">
        <v>2024</v>
      </c>
      <c r="X7" s="455">
        <v>1</v>
      </c>
      <c r="Y7" s="455">
        <v>21</v>
      </c>
      <c r="Z7" s="455">
        <v>26</v>
      </c>
      <c r="AA7" s="468">
        <v>45312</v>
      </c>
      <c r="AD7" s="1">
        <f>VALUE(PurchaseHistoryTable[[#This Row],[TransDate]])</f>
        <v>45312</v>
      </c>
      <c r="AE7" s="1">
        <f>VALUE(PurchaseHistoryTable[[#This Row],[PrevUpDate]])</f>
        <v>0</v>
      </c>
    </row>
    <row r="8" spans="1:31" x14ac:dyDescent="0.25">
      <c r="C8" s="469">
        <v>4</v>
      </c>
      <c r="D8" s="455">
        <v>1013</v>
      </c>
      <c r="E8" s="456" t="s">
        <v>36</v>
      </c>
      <c r="F8" s="455" t="s">
        <v>24</v>
      </c>
      <c r="G8" s="457">
        <v>5</v>
      </c>
      <c r="H8" s="460">
        <v>6000</v>
      </c>
      <c r="I8" s="460">
        <v>1200</v>
      </c>
      <c r="J8" s="459">
        <v>0.25</v>
      </c>
      <c r="K8" s="460">
        <v>1500</v>
      </c>
      <c r="L8" s="461">
        <v>300</v>
      </c>
      <c r="M8" s="461">
        <v>7500</v>
      </c>
      <c r="N8" s="460" t="s">
        <v>3469</v>
      </c>
      <c r="O8" s="470">
        <v>45312</v>
      </c>
      <c r="P8" s="471">
        <v>2112</v>
      </c>
      <c r="Q8" s="472">
        <v>1212</v>
      </c>
      <c r="R8" s="473">
        <v>22</v>
      </c>
      <c r="S8" s="473">
        <v>0</v>
      </c>
      <c r="T8" s="462"/>
      <c r="U8" s="466">
        <v>1244</v>
      </c>
      <c r="V8" s="466">
        <v>1475</v>
      </c>
      <c r="W8" s="467">
        <v>2024</v>
      </c>
      <c r="X8" s="455">
        <v>1</v>
      </c>
      <c r="Y8" s="455">
        <v>21</v>
      </c>
      <c r="Z8" s="455">
        <v>27</v>
      </c>
      <c r="AA8" s="468">
        <v>45312</v>
      </c>
      <c r="AD8" s="1">
        <f>VALUE(PurchaseHistoryTable[[#This Row],[TransDate]])</f>
        <v>45312</v>
      </c>
      <c r="AE8" s="1">
        <f>VALUE(PurchaseHistoryTable[[#This Row],[PrevUpDate]])</f>
        <v>0</v>
      </c>
    </row>
    <row r="9" spans="1:31" x14ac:dyDescent="0.25">
      <c r="C9" s="469">
        <v>5</v>
      </c>
      <c r="D9" s="455">
        <v>1014</v>
      </c>
      <c r="E9" s="456" t="s">
        <v>37</v>
      </c>
      <c r="F9" s="455" t="s">
        <v>24</v>
      </c>
      <c r="G9" s="457">
        <v>2</v>
      </c>
      <c r="H9" s="460">
        <v>3000</v>
      </c>
      <c r="I9" s="460">
        <v>1500</v>
      </c>
      <c r="J9" s="459">
        <v>0.3</v>
      </c>
      <c r="K9" s="460">
        <v>1950</v>
      </c>
      <c r="L9" s="461">
        <v>450</v>
      </c>
      <c r="M9" s="461">
        <v>3900</v>
      </c>
      <c r="N9" s="460" t="s">
        <v>3469</v>
      </c>
      <c r="O9" s="470">
        <v>45313</v>
      </c>
      <c r="P9" s="471">
        <v>2112</v>
      </c>
      <c r="Q9" s="472">
        <v>1212</v>
      </c>
      <c r="R9" s="473">
        <v>23</v>
      </c>
      <c r="S9" s="473">
        <v>0</v>
      </c>
      <c r="T9" s="470"/>
      <c r="U9" s="466">
        <v>1526</v>
      </c>
      <c r="V9" s="466">
        <v>1895</v>
      </c>
      <c r="W9" s="467">
        <v>2024</v>
      </c>
      <c r="X9" s="455">
        <v>1</v>
      </c>
      <c r="Y9" s="455">
        <v>22</v>
      </c>
      <c r="Z9" s="455">
        <v>25</v>
      </c>
      <c r="AA9" s="468">
        <v>45313</v>
      </c>
      <c r="AD9" s="1">
        <f>VALUE(PurchaseHistoryTable[[#This Row],[TransDate]])</f>
        <v>45313</v>
      </c>
      <c r="AE9" s="1">
        <f>VALUE(PurchaseHistoryTable[[#This Row],[PrevUpDate]])</f>
        <v>0</v>
      </c>
    </row>
    <row r="10" spans="1:31" x14ac:dyDescent="0.25">
      <c r="C10" s="469">
        <v>6</v>
      </c>
      <c r="D10" s="455">
        <v>1070</v>
      </c>
      <c r="E10" s="456" t="s">
        <v>100</v>
      </c>
      <c r="F10" s="455" t="s">
        <v>24</v>
      </c>
      <c r="G10" s="457">
        <v>1</v>
      </c>
      <c r="H10" s="460">
        <v>980</v>
      </c>
      <c r="I10" s="460">
        <v>980</v>
      </c>
      <c r="J10" s="459">
        <v>0.3</v>
      </c>
      <c r="K10" s="460">
        <v>1274</v>
      </c>
      <c r="L10" s="461">
        <v>294</v>
      </c>
      <c r="M10" s="461">
        <v>1274</v>
      </c>
      <c r="N10" s="460" t="s">
        <v>3342</v>
      </c>
      <c r="O10" s="470">
        <v>45321</v>
      </c>
      <c r="P10" s="471" t="s">
        <v>3801</v>
      </c>
      <c r="Q10" s="472">
        <v>123566</v>
      </c>
      <c r="R10" s="473">
        <v>79</v>
      </c>
      <c r="S10" s="473">
        <v>0</v>
      </c>
      <c r="T10" s="470"/>
      <c r="U10" s="466">
        <v>970</v>
      </c>
      <c r="V10" s="466">
        <v>1150</v>
      </c>
      <c r="W10" s="467">
        <v>2024</v>
      </c>
      <c r="X10" s="455">
        <v>1</v>
      </c>
      <c r="Y10" s="455">
        <v>30</v>
      </c>
      <c r="Z10" s="455">
        <v>80</v>
      </c>
      <c r="AA10" s="468">
        <v>45321</v>
      </c>
      <c r="AD10" s="1">
        <f>VALUE(PurchaseHistoryTable[[#This Row],[TransDate]])</f>
        <v>45321</v>
      </c>
      <c r="AE10" s="1">
        <f>VALUE(PurchaseHistoryTable[[#This Row],[PrevUpDate]])</f>
        <v>0</v>
      </c>
    </row>
    <row r="11" spans="1:31" x14ac:dyDescent="0.25">
      <c r="C11" s="469">
        <v>7</v>
      </c>
      <c r="D11" s="474">
        <v>1408</v>
      </c>
      <c r="E11" s="475" t="s">
        <v>475</v>
      </c>
      <c r="F11" s="474" t="s">
        <v>24</v>
      </c>
      <c r="G11" s="457">
        <v>2</v>
      </c>
      <c r="H11" s="460">
        <v>40</v>
      </c>
      <c r="I11" s="460">
        <v>20</v>
      </c>
      <c r="J11" s="459">
        <v>0.3</v>
      </c>
      <c r="K11" s="460">
        <v>26</v>
      </c>
      <c r="L11" s="461">
        <v>6</v>
      </c>
      <c r="M11" s="461">
        <v>52</v>
      </c>
      <c r="N11" s="460" t="s">
        <v>3342</v>
      </c>
      <c r="O11" s="470">
        <v>45321</v>
      </c>
      <c r="P11" s="471" t="s">
        <v>3801</v>
      </c>
      <c r="Q11" s="472">
        <v>123566</v>
      </c>
      <c r="R11" s="473">
        <v>417</v>
      </c>
      <c r="S11" s="473">
        <v>0</v>
      </c>
      <c r="T11" s="470"/>
      <c r="U11" s="466">
        <v>15</v>
      </c>
      <c r="V11" s="466">
        <v>25</v>
      </c>
      <c r="W11" s="467">
        <v>2024</v>
      </c>
      <c r="X11" s="455">
        <v>1</v>
      </c>
      <c r="Y11" s="455">
        <v>30</v>
      </c>
      <c r="Z11" s="455">
        <v>419</v>
      </c>
      <c r="AA11" s="468">
        <v>45321</v>
      </c>
      <c r="AD11" s="1">
        <f>VALUE(PurchaseHistoryTable[[#This Row],[TransDate]])</f>
        <v>45321</v>
      </c>
      <c r="AE11" s="1">
        <f>VALUE(PurchaseHistoryTable[[#This Row],[PrevUpDate]])</f>
        <v>0</v>
      </c>
    </row>
    <row r="12" spans="1:31" x14ac:dyDescent="0.25">
      <c r="C12" s="476">
        <v>8</v>
      </c>
      <c r="D12" s="477"/>
      <c r="E12" s="478"/>
      <c r="F12" s="477"/>
      <c r="G12" s="479"/>
      <c r="H12" s="480"/>
      <c r="I12" s="480"/>
      <c r="J12" s="481"/>
      <c r="K12" s="480"/>
      <c r="L12" s="482"/>
      <c r="M12" s="482"/>
      <c r="N12" s="480"/>
      <c r="O12" s="483"/>
      <c r="P12" s="484"/>
      <c r="Q12" s="485"/>
      <c r="R12" s="486"/>
      <c r="S12" s="486"/>
      <c r="T12" s="483"/>
      <c r="U12" s="487"/>
      <c r="V12" s="487"/>
      <c r="W12" s="488"/>
      <c r="X12" s="477"/>
      <c r="Y12" s="477"/>
      <c r="Z12" s="477"/>
      <c r="AA12" s="489"/>
      <c r="AD12" s="1">
        <f>VALUE(PurchaseHistoryTable[[#This Row],[TransDate]])</f>
        <v>0</v>
      </c>
      <c r="AE12" s="182">
        <f>VALUE(PurchaseHistoryTable[[#This Row],[PrevUpDate]])</f>
        <v>0</v>
      </c>
    </row>
    <row r="13" spans="1:31" x14ac:dyDescent="0.25">
      <c r="C13" s="513"/>
      <c r="D13" s="490"/>
      <c r="E13" s="491"/>
      <c r="F13" s="490"/>
      <c r="G13" s="492"/>
      <c r="H13" s="493"/>
      <c r="I13" s="493"/>
      <c r="J13" s="494"/>
      <c r="K13" s="493"/>
      <c r="L13" s="495"/>
      <c r="M13" s="495"/>
      <c r="N13" s="493"/>
      <c r="O13" s="496"/>
      <c r="P13" s="497"/>
      <c r="Q13" s="498"/>
      <c r="R13" s="499"/>
      <c r="S13" s="499"/>
      <c r="T13" s="496"/>
      <c r="U13" s="500"/>
      <c r="V13" s="500"/>
      <c r="W13" s="501"/>
      <c r="X13" s="490"/>
      <c r="Y13" s="490"/>
      <c r="Z13" s="490"/>
      <c r="AA13" s="490"/>
      <c r="AD13" s="1" t="e">
        <f>VALUE(PurchaseHistoryTable[[#This Row],[TransDate]])</f>
        <v>#VALUE!</v>
      </c>
      <c r="AE13" s="182" t="e">
        <f>VALUE(PurchaseHistoryTable[[#This Row],[PrevUpDate]])</f>
        <v>#VALUE!</v>
      </c>
    </row>
    <row r="14" spans="1:31" x14ac:dyDescent="0.25">
      <c r="C14" s="514"/>
      <c r="D14" s="427"/>
      <c r="E14" s="502"/>
      <c r="F14" s="427"/>
      <c r="G14" s="503"/>
      <c r="H14" s="504"/>
      <c r="I14" s="504"/>
      <c r="J14" s="505"/>
      <c r="K14" s="504"/>
      <c r="L14" s="506"/>
      <c r="M14" s="506"/>
      <c r="N14" s="504"/>
      <c r="O14" s="507"/>
      <c r="P14" s="508"/>
      <c r="Q14" s="509"/>
      <c r="R14" s="510"/>
      <c r="S14" s="510"/>
      <c r="T14" s="507"/>
      <c r="U14" s="511"/>
      <c r="V14" s="511"/>
      <c r="W14" s="512"/>
      <c r="X14" s="427"/>
      <c r="Y14" s="427"/>
      <c r="Z14" s="427"/>
      <c r="AA14" s="427"/>
      <c r="AD14" s="1" t="e">
        <f>VALUE(PurchaseHistoryTable[[#This Row],[TransDate]])</f>
        <v>#VALUE!</v>
      </c>
      <c r="AE14" s="182" t="e">
        <f>VALUE(PurchaseHistoryTable[[#This Row],[PrevUpDate]])</f>
        <v>#VALUE!</v>
      </c>
    </row>
    <row r="15" spans="1:31" x14ac:dyDescent="0.25">
      <c r="C15" s="514"/>
      <c r="D15" s="427"/>
      <c r="E15" s="502"/>
      <c r="F15" s="427"/>
      <c r="G15" s="503"/>
      <c r="H15" s="504"/>
      <c r="I15" s="504"/>
      <c r="J15" s="505"/>
      <c r="K15" s="504"/>
      <c r="L15" s="506"/>
      <c r="M15" s="506"/>
      <c r="N15" s="504"/>
      <c r="O15" s="507"/>
      <c r="P15" s="508"/>
      <c r="Q15" s="509"/>
      <c r="R15" s="510"/>
      <c r="S15" s="510"/>
      <c r="T15" s="507"/>
      <c r="U15" s="511"/>
      <c r="V15" s="511"/>
      <c r="W15" s="512"/>
      <c r="X15" s="427"/>
      <c r="Y15" s="427"/>
      <c r="Z15" s="427"/>
      <c r="AA15" s="427"/>
      <c r="AD15" s="1" t="e">
        <f>VALUE(PurchaseHistoryTable[[#This Row],[TransDate]])</f>
        <v>#VALUE!</v>
      </c>
      <c r="AE15" s="182" t="e">
        <f>VALUE(PurchaseHistoryTable[[#This Row],[PrevUpDate]])</f>
        <v>#VALUE!</v>
      </c>
    </row>
    <row r="16" spans="1:31" x14ac:dyDescent="0.25">
      <c r="C16" s="514"/>
      <c r="D16" s="427"/>
      <c r="E16" s="502"/>
      <c r="F16" s="427"/>
      <c r="G16" s="503"/>
      <c r="H16" s="504"/>
      <c r="I16" s="504"/>
      <c r="J16" s="505"/>
      <c r="K16" s="504"/>
      <c r="L16" s="506"/>
      <c r="M16" s="506"/>
      <c r="N16" s="504"/>
      <c r="O16" s="507"/>
      <c r="P16" s="508"/>
      <c r="Q16" s="509"/>
      <c r="R16" s="510"/>
      <c r="S16" s="510"/>
      <c r="T16" s="507"/>
      <c r="U16" s="511"/>
      <c r="V16" s="511"/>
      <c r="W16" s="512"/>
      <c r="X16" s="427"/>
      <c r="Y16" s="427"/>
      <c r="Z16" s="427"/>
      <c r="AA16" s="427"/>
    </row>
    <row r="17" spans="3:27" x14ac:dyDescent="0.25">
      <c r="C17" s="514"/>
      <c r="D17" s="427"/>
      <c r="E17" s="502"/>
      <c r="F17" s="427"/>
      <c r="G17" s="503"/>
      <c r="H17" s="504"/>
      <c r="I17" s="504"/>
      <c r="J17" s="505"/>
      <c r="K17" s="504"/>
      <c r="L17" s="506"/>
      <c r="M17" s="506"/>
      <c r="N17" s="504"/>
      <c r="O17" s="507"/>
      <c r="P17" s="508"/>
      <c r="Q17" s="509"/>
      <c r="R17" s="510"/>
      <c r="S17" s="510"/>
      <c r="T17" s="507"/>
      <c r="U17" s="511"/>
      <c r="V17" s="511"/>
      <c r="W17" s="512"/>
      <c r="X17" s="427"/>
      <c r="Y17" s="427"/>
      <c r="Z17" s="427"/>
      <c r="AA17" s="427"/>
    </row>
    <row r="18" spans="3:27" x14ac:dyDescent="0.25">
      <c r="C18" s="514"/>
      <c r="D18" s="427"/>
      <c r="E18" s="502"/>
      <c r="F18" s="427"/>
      <c r="G18" s="503"/>
      <c r="H18" s="504"/>
      <c r="I18" s="504"/>
      <c r="J18" s="505"/>
      <c r="K18" s="504"/>
      <c r="L18" s="506"/>
      <c r="M18" s="506"/>
      <c r="N18" s="504"/>
      <c r="O18" s="507"/>
      <c r="P18" s="508"/>
      <c r="Q18" s="509"/>
      <c r="R18" s="510"/>
      <c r="S18" s="510"/>
      <c r="T18" s="507"/>
      <c r="U18" s="511"/>
      <c r="V18" s="511"/>
      <c r="W18" s="512"/>
      <c r="X18" s="427"/>
      <c r="Y18" s="427"/>
      <c r="Z18" s="427"/>
      <c r="AA18" s="427"/>
    </row>
    <row r="19" spans="3:27" x14ac:dyDescent="0.25">
      <c r="C19" s="514"/>
      <c r="D19" s="427"/>
      <c r="E19" s="502"/>
      <c r="F19" s="427"/>
      <c r="G19" s="503"/>
      <c r="H19" s="504"/>
      <c r="I19" s="504"/>
      <c r="J19" s="505"/>
      <c r="K19" s="504"/>
      <c r="L19" s="506"/>
      <c r="M19" s="506"/>
      <c r="N19" s="504"/>
      <c r="O19" s="507"/>
      <c r="P19" s="508"/>
      <c r="Q19" s="509"/>
      <c r="R19" s="510"/>
      <c r="S19" s="510"/>
      <c r="T19" s="507"/>
      <c r="U19" s="511"/>
      <c r="V19" s="511"/>
      <c r="W19" s="512"/>
      <c r="X19" s="427"/>
      <c r="Y19" s="427"/>
      <c r="Z19" s="427"/>
      <c r="AA19" s="427"/>
    </row>
    <row r="20" spans="3:27" x14ac:dyDescent="0.25">
      <c r="C20" s="514"/>
      <c r="D20" s="427"/>
      <c r="E20" s="502"/>
      <c r="F20" s="427"/>
      <c r="G20" s="503"/>
      <c r="H20" s="504"/>
      <c r="I20" s="504"/>
      <c r="J20" s="505"/>
      <c r="K20" s="504"/>
      <c r="L20" s="506"/>
      <c r="M20" s="506"/>
      <c r="N20" s="504"/>
      <c r="O20" s="507"/>
      <c r="P20" s="508"/>
      <c r="Q20" s="509"/>
      <c r="R20" s="510"/>
      <c r="S20" s="510"/>
      <c r="T20" s="507"/>
      <c r="U20" s="511"/>
      <c r="V20" s="511"/>
      <c r="W20" s="512"/>
      <c r="X20" s="427"/>
      <c r="Y20" s="427"/>
      <c r="Z20" s="427"/>
      <c r="AA20" s="427"/>
    </row>
    <row r="21" spans="3:27" x14ac:dyDescent="0.25">
      <c r="C21" s="514"/>
      <c r="D21" s="427"/>
      <c r="E21" s="502"/>
      <c r="F21" s="427"/>
      <c r="G21" s="503"/>
      <c r="H21" s="504"/>
      <c r="I21" s="504"/>
      <c r="J21" s="505"/>
      <c r="K21" s="504"/>
      <c r="L21" s="506"/>
      <c r="M21" s="506"/>
      <c r="N21" s="504"/>
      <c r="O21" s="507"/>
      <c r="P21" s="508"/>
      <c r="Q21" s="509"/>
      <c r="R21" s="510"/>
      <c r="S21" s="510"/>
      <c r="T21" s="507"/>
      <c r="U21" s="511"/>
      <c r="V21" s="511"/>
      <c r="W21" s="512"/>
      <c r="X21" s="427"/>
      <c r="Y21" s="427"/>
      <c r="Z21" s="427"/>
      <c r="AA21" s="427"/>
    </row>
    <row r="22" spans="3:27" x14ac:dyDescent="0.25">
      <c r="C22" s="514"/>
      <c r="D22" s="427"/>
      <c r="E22" s="502"/>
      <c r="F22" s="427"/>
      <c r="G22" s="503"/>
      <c r="H22" s="504"/>
      <c r="I22" s="504"/>
      <c r="J22" s="505"/>
      <c r="K22" s="504"/>
      <c r="L22" s="506"/>
      <c r="M22" s="506"/>
      <c r="N22" s="504"/>
      <c r="O22" s="507"/>
      <c r="P22" s="508"/>
      <c r="Q22" s="509"/>
      <c r="R22" s="510"/>
      <c r="S22" s="510"/>
      <c r="T22" s="507"/>
      <c r="U22" s="511"/>
      <c r="V22" s="511"/>
      <c r="W22" s="512"/>
      <c r="X22" s="427"/>
      <c r="Y22" s="427"/>
      <c r="Z22" s="427"/>
      <c r="AA22" s="427"/>
    </row>
  </sheetData>
  <mergeCells count="1">
    <mergeCell ref="A1:B1"/>
  </mergeCells>
  <phoneticPr fontId="8" type="noConversion"/>
  <hyperlinks>
    <hyperlink ref="A1:B1" location="MAIN_DASHBOARD!A1" display="&lt;&lt;&lt; back to MainDashBoard" xr:uid="{E7902DD0-505C-4E56-9C81-F2A60AEB5F84}"/>
    <hyperlink ref="E1" location="PurchaseMenu!A1" display="&lt;&lt; back To PurchaseMenu" xr:uid="{6D6D505D-1D43-4751-B193-863669BED5C1}"/>
  </hyperlinks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3F545-D264-44AD-8755-F4B4FC6BB7D5}">
  <sheetPr codeName="Sheet4"/>
  <dimension ref="C4:P32"/>
  <sheetViews>
    <sheetView workbookViewId="0">
      <pane xSplit="5" ySplit="5" topLeftCell="G6" activePane="bottomRight" state="frozen"/>
      <selection pane="topRight" activeCell="F1" sqref="F1"/>
      <selection pane="bottomLeft" activeCell="A6" sqref="A6"/>
      <selection pane="bottomRight" activeCell="H5" sqref="H5"/>
    </sheetView>
  </sheetViews>
  <sheetFormatPr defaultRowHeight="15" x14ac:dyDescent="0.25"/>
  <cols>
    <col min="1" max="2" width="9.140625" style="1"/>
    <col min="3" max="3" width="6.5703125" style="1" customWidth="1"/>
    <col min="4" max="4" width="11.7109375" style="1" customWidth="1"/>
    <col min="5" max="5" width="22.7109375" style="1" customWidth="1"/>
    <col min="6" max="6" width="11.5703125" style="1" customWidth="1"/>
    <col min="7" max="7" width="22.7109375" style="1" customWidth="1"/>
    <col min="8" max="8" width="14.85546875" style="178" customWidth="1"/>
    <col min="9" max="9" width="11.85546875" style="1" customWidth="1"/>
    <col min="10" max="10" width="14.140625" style="1" bestFit="1" customWidth="1"/>
    <col min="11" max="11" width="14.5703125" style="1" customWidth="1"/>
    <col min="12" max="12" width="14.85546875" style="178" customWidth="1"/>
    <col min="13" max="13" width="11.7109375" style="1" customWidth="1"/>
    <col min="14" max="14" width="10.42578125" style="1" customWidth="1"/>
    <col min="15" max="15" width="16.5703125" style="1" customWidth="1"/>
    <col min="16" max="16" width="19.42578125" style="1" customWidth="1"/>
    <col min="17" max="16384" width="9.140625" style="1"/>
  </cols>
  <sheetData>
    <row r="4" spans="3:16" x14ac:dyDescent="0.25">
      <c r="C4" s="175" t="s">
        <v>0</v>
      </c>
      <c r="D4" s="175" t="s">
        <v>1</v>
      </c>
      <c r="E4" s="175" t="s">
        <v>3380</v>
      </c>
      <c r="F4" s="175" t="s">
        <v>3421</v>
      </c>
      <c r="G4" s="175" t="s">
        <v>3430</v>
      </c>
      <c r="H4" s="179" t="s">
        <v>3431</v>
      </c>
      <c r="I4" s="180" t="s">
        <v>3432</v>
      </c>
      <c r="J4" s="180" t="s">
        <v>3433</v>
      </c>
      <c r="K4" s="180" t="s">
        <v>3420</v>
      </c>
      <c r="L4" s="179" t="s">
        <v>3419</v>
      </c>
      <c r="M4" s="180" t="s">
        <v>3418</v>
      </c>
      <c r="N4" s="180" t="s">
        <v>3417</v>
      </c>
      <c r="O4" s="181" t="s">
        <v>3438</v>
      </c>
      <c r="P4" s="181" t="s">
        <v>3439</v>
      </c>
    </row>
    <row r="5" spans="3:16" x14ac:dyDescent="0.25">
      <c r="C5" s="154">
        <v>1</v>
      </c>
      <c r="D5" s="154">
        <v>1034</v>
      </c>
      <c r="E5" s="154" t="s">
        <v>58</v>
      </c>
      <c r="F5" s="154" t="s">
        <v>3436</v>
      </c>
      <c r="G5" s="154"/>
      <c r="H5" s="177"/>
      <c r="I5" s="176"/>
      <c r="J5" s="176"/>
      <c r="K5" s="154"/>
      <c r="L5" s="177"/>
      <c r="M5" s="176"/>
      <c r="N5" s="176"/>
      <c r="O5" s="176">
        <f t="array" ref="O5">MAX(IF(PurchaseHistoryTable[SKU Code]=D5,PurchaseHistoryTable[TransDate]))</f>
        <v>0</v>
      </c>
    </row>
    <row r="6" spans="3:16" x14ac:dyDescent="0.25">
      <c r="C6" s="1">
        <v>2</v>
      </c>
      <c r="D6" s="1">
        <v>1564</v>
      </c>
      <c r="E6" s="1" t="s">
        <v>653</v>
      </c>
      <c r="F6" s="154" t="s">
        <v>3436</v>
      </c>
      <c r="G6" s="154"/>
      <c r="H6" s="177"/>
      <c r="K6" s="154"/>
      <c r="L6" s="177"/>
      <c r="M6" s="176"/>
      <c r="N6" s="176"/>
      <c r="O6" s="176">
        <f t="array" ref="O6">MAX(IF(PurchaseHistoryTable[SKU Code]=D6,PurchaseHistoryTable[TransDate]))</f>
        <v>0</v>
      </c>
    </row>
    <row r="7" spans="3:16" x14ac:dyDescent="0.25">
      <c r="C7" s="154">
        <v>3</v>
      </c>
      <c r="D7" s="1">
        <v>2369</v>
      </c>
      <c r="E7" s="1" t="s">
        <v>1555</v>
      </c>
      <c r="F7" s="154" t="s">
        <v>3436</v>
      </c>
      <c r="G7" s="154"/>
      <c r="H7" s="177"/>
      <c r="K7" s="154"/>
      <c r="L7" s="177"/>
      <c r="M7" s="176"/>
      <c r="N7" s="176"/>
      <c r="O7" s="176">
        <f t="array" ref="O7">MAX(IF(PurchaseHistoryTable[SKU Code]=D7,PurchaseHistoryTable[TransDate]))</f>
        <v>0</v>
      </c>
    </row>
    <row r="8" spans="3:16" x14ac:dyDescent="0.25">
      <c r="C8" s="1">
        <v>4</v>
      </c>
      <c r="D8" s="1">
        <v>2458</v>
      </c>
      <c r="E8" s="1" t="s">
        <v>1655</v>
      </c>
      <c r="F8" s="154" t="s">
        <v>3436</v>
      </c>
      <c r="G8" s="154"/>
      <c r="H8" s="177"/>
      <c r="K8" s="154"/>
      <c r="L8" s="177"/>
      <c r="M8" s="176"/>
      <c r="N8" s="176"/>
      <c r="O8" s="176">
        <f t="array" ref="O8">MAX(IF(PurchaseHistoryTable[SKU Code]=D8,PurchaseHistoryTable[TransDate]))</f>
        <v>0</v>
      </c>
    </row>
    <row r="9" spans="3:16" x14ac:dyDescent="0.25">
      <c r="C9" s="154">
        <v>5</v>
      </c>
      <c r="D9" s="1">
        <v>3569</v>
      </c>
      <c r="E9" s="1" t="s">
        <v>3435</v>
      </c>
      <c r="F9" s="154" t="s">
        <v>3436</v>
      </c>
      <c r="G9" s="154"/>
      <c r="H9" s="177"/>
      <c r="K9" s="154"/>
      <c r="L9" s="177"/>
      <c r="M9" s="176"/>
      <c r="N9" s="176"/>
      <c r="O9" s="176">
        <f t="array" ref="O9">MAX(IF(PurchaseHistoryTable[SKU Code]=D9,PurchaseHistoryTable[TransDate]))</f>
        <v>0</v>
      </c>
    </row>
    <row r="10" spans="3:16" x14ac:dyDescent="0.25">
      <c r="C10" s="1">
        <v>6</v>
      </c>
      <c r="D10" s="1">
        <v>1159</v>
      </c>
      <c r="E10" s="1" t="s">
        <v>194</v>
      </c>
      <c r="F10" s="154"/>
      <c r="G10" s="154"/>
      <c r="H10" s="177"/>
      <c r="K10" s="154"/>
      <c r="L10" s="177"/>
      <c r="M10" s="176"/>
      <c r="N10" s="176"/>
      <c r="O10" s="176">
        <f t="array" ref="O10">MAX(IF(PurchaseHistoryTable[SKU Code]=D10,PurchaseHistoryTable[TransDate]))</f>
        <v>0</v>
      </c>
    </row>
    <row r="11" spans="3:16" x14ac:dyDescent="0.25">
      <c r="C11" s="154">
        <v>7</v>
      </c>
      <c r="D11" s="1">
        <v>1015</v>
      </c>
      <c r="E11" s="1" t="s">
        <v>38</v>
      </c>
      <c r="F11" s="108"/>
      <c r="G11" s="154"/>
      <c r="H11" s="177"/>
      <c r="K11" s="154"/>
      <c r="L11" s="177"/>
      <c r="M11" s="176"/>
      <c r="N11" s="176"/>
      <c r="O11" s="183">
        <f t="array" ref="O11">MAX(IF(PurchaseHistoryTable[SKU Code]=D11,PurchaseHistoryTable[TransDate]))</f>
        <v>0</v>
      </c>
    </row>
    <row r="12" spans="3:16" x14ac:dyDescent="0.25">
      <c r="G12" s="154"/>
      <c r="H12" s="177"/>
      <c r="K12" s="154"/>
      <c r="L12" s="177"/>
      <c r="M12" s="176"/>
      <c r="N12" s="176"/>
      <c r="O12" s="176"/>
    </row>
    <row r="13" spans="3:16" x14ac:dyDescent="0.25">
      <c r="C13" s="154"/>
      <c r="G13" s="154"/>
      <c r="H13" s="177"/>
      <c r="K13" s="154"/>
      <c r="L13" s="177"/>
      <c r="M13" s="176"/>
      <c r="N13" s="176"/>
      <c r="O13" s="176"/>
    </row>
    <row r="14" spans="3:16" x14ac:dyDescent="0.25">
      <c r="G14" s="154"/>
      <c r="H14" s="177"/>
      <c r="K14" s="154"/>
      <c r="L14" s="177"/>
      <c r="M14" s="176"/>
      <c r="N14" s="176"/>
      <c r="O14" s="176"/>
    </row>
    <row r="15" spans="3:16" x14ac:dyDescent="0.25">
      <c r="C15" s="154"/>
      <c r="G15" s="154"/>
      <c r="H15" s="177"/>
      <c r="K15" s="154"/>
      <c r="L15" s="177"/>
      <c r="M15" s="176"/>
      <c r="N15" s="176"/>
      <c r="O15" s="176"/>
    </row>
    <row r="16" spans="3:16" x14ac:dyDescent="0.25">
      <c r="G16" s="154"/>
      <c r="H16" s="177"/>
      <c r="K16" s="154"/>
      <c r="L16" s="177"/>
      <c r="M16" s="176"/>
      <c r="N16" s="176"/>
      <c r="O16" s="176"/>
    </row>
    <row r="17" spans="3:15" x14ac:dyDescent="0.25">
      <c r="C17" s="154"/>
      <c r="G17" s="154"/>
      <c r="H17" s="177"/>
      <c r="K17" s="154"/>
      <c r="L17" s="177"/>
      <c r="M17" s="176"/>
      <c r="N17" s="176"/>
      <c r="O17" s="176"/>
    </row>
    <row r="18" spans="3:15" x14ac:dyDescent="0.25">
      <c r="G18" s="154"/>
      <c r="H18" s="177"/>
      <c r="K18" s="154"/>
      <c r="L18" s="177"/>
      <c r="M18" s="176"/>
      <c r="N18" s="176"/>
      <c r="O18" s="176"/>
    </row>
    <row r="19" spans="3:15" x14ac:dyDescent="0.25">
      <c r="C19" s="154"/>
      <c r="D19" s="154"/>
      <c r="E19" s="154"/>
      <c r="F19" s="154"/>
      <c r="G19" s="154"/>
      <c r="H19" s="177"/>
      <c r="K19" s="154"/>
      <c r="L19" s="177"/>
      <c r="M19" s="176"/>
      <c r="N19" s="176"/>
      <c r="O19" s="176"/>
    </row>
    <row r="20" spans="3:15" x14ac:dyDescent="0.25">
      <c r="G20" s="154"/>
      <c r="H20" s="177"/>
      <c r="K20" s="154"/>
      <c r="L20" s="177"/>
    </row>
    <row r="21" spans="3:15" x14ac:dyDescent="0.25">
      <c r="C21" s="154"/>
      <c r="G21" s="154"/>
      <c r="H21" s="177"/>
      <c r="K21" s="154"/>
      <c r="L21" s="177"/>
    </row>
    <row r="22" spans="3:15" x14ac:dyDescent="0.25">
      <c r="G22" s="154"/>
      <c r="H22" s="177"/>
      <c r="K22" s="154"/>
      <c r="L22" s="177"/>
    </row>
    <row r="23" spans="3:15" x14ac:dyDescent="0.25">
      <c r="C23" s="154"/>
      <c r="G23" s="154"/>
      <c r="H23" s="177"/>
      <c r="K23" s="154"/>
      <c r="L23" s="177"/>
    </row>
    <row r="24" spans="3:15" x14ac:dyDescent="0.25">
      <c r="G24" s="154"/>
      <c r="H24" s="177"/>
      <c r="K24" s="154"/>
      <c r="L24" s="177"/>
    </row>
    <row r="25" spans="3:15" x14ac:dyDescent="0.25">
      <c r="C25" s="154"/>
      <c r="G25" s="154"/>
      <c r="H25" s="177"/>
      <c r="K25" s="154"/>
      <c r="L25" s="177"/>
    </row>
    <row r="26" spans="3:15" x14ac:dyDescent="0.25">
      <c r="G26" s="154"/>
      <c r="H26" s="177"/>
      <c r="K26" s="154"/>
      <c r="L26" s="177"/>
    </row>
    <row r="27" spans="3:15" x14ac:dyDescent="0.25">
      <c r="C27" s="154"/>
      <c r="G27" s="154"/>
      <c r="H27" s="177"/>
      <c r="K27" s="154"/>
      <c r="L27" s="177"/>
    </row>
    <row r="28" spans="3:15" x14ac:dyDescent="0.25">
      <c r="G28" s="154"/>
      <c r="H28" s="177"/>
      <c r="K28" s="154"/>
      <c r="L28" s="177"/>
    </row>
    <row r="29" spans="3:15" x14ac:dyDescent="0.25">
      <c r="C29" s="154"/>
      <c r="G29" s="154"/>
      <c r="H29" s="177"/>
      <c r="K29" s="154"/>
      <c r="L29" s="177"/>
    </row>
    <row r="30" spans="3:15" x14ac:dyDescent="0.25">
      <c r="G30" s="154"/>
      <c r="H30" s="177"/>
      <c r="K30" s="154"/>
      <c r="L30" s="177"/>
    </row>
    <row r="31" spans="3:15" x14ac:dyDescent="0.25">
      <c r="C31" s="154"/>
      <c r="G31" s="154"/>
      <c r="H31" s="177"/>
      <c r="K31" s="154"/>
      <c r="L31" s="177"/>
    </row>
    <row r="32" spans="3:15" x14ac:dyDescent="0.25">
      <c r="G32" s="154"/>
      <c r="H32" s="177"/>
      <c r="K32" s="154"/>
      <c r="L32" s="177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EDD34-8C86-4FAD-B29F-27369D42A2C3}">
  <sheetPr codeName="Sheet5"/>
  <dimension ref="A1:G1560"/>
  <sheetViews>
    <sheetView workbookViewId="0">
      <pane xSplit="1" ySplit="5" topLeftCell="B24" activePane="bottomRight" state="frozen"/>
      <selection pane="topRight" activeCell="B1" sqref="B1"/>
      <selection pane="bottomLeft" activeCell="A3" sqref="A3"/>
      <selection pane="bottomRight" activeCell="F16" sqref="F16"/>
    </sheetView>
  </sheetViews>
  <sheetFormatPr defaultRowHeight="15" x14ac:dyDescent="0.25"/>
  <cols>
    <col min="1" max="1" width="33.28515625" customWidth="1"/>
    <col min="4" max="4" width="45.5703125" customWidth="1"/>
    <col min="5" max="5" width="10.5703125" style="11" customWidth="1"/>
    <col min="6" max="6" width="13.140625" style="11" customWidth="1"/>
    <col min="7" max="7" width="9.140625" style="11"/>
  </cols>
  <sheetData>
    <row r="1" spans="1:7" x14ac:dyDescent="0.25">
      <c r="A1">
        <v>1</v>
      </c>
      <c r="B1">
        <v>2</v>
      </c>
      <c r="C1">
        <v>3</v>
      </c>
      <c r="D1">
        <v>4</v>
      </c>
      <c r="E1" s="11">
        <v>5</v>
      </c>
      <c r="F1" s="11">
        <v>6</v>
      </c>
      <c r="G1" s="11">
        <v>7</v>
      </c>
    </row>
    <row r="4" spans="1:7" x14ac:dyDescent="0.25">
      <c r="A4" s="65" t="s">
        <v>1771</v>
      </c>
      <c r="B4" s="53" t="s">
        <v>0</v>
      </c>
      <c r="C4" s="53" t="s">
        <v>13</v>
      </c>
      <c r="D4" s="54" t="s">
        <v>3380</v>
      </c>
      <c r="E4" s="55" t="s">
        <v>3381</v>
      </c>
      <c r="F4" s="57" t="s">
        <v>3384</v>
      </c>
      <c r="G4" s="66" t="s">
        <v>3383</v>
      </c>
    </row>
    <row r="5" spans="1:7" x14ac:dyDescent="0.25">
      <c r="A5" s="62" t="s">
        <v>1773</v>
      </c>
      <c r="B5" s="62">
        <v>1</v>
      </c>
      <c r="C5" s="62">
        <v>1001</v>
      </c>
      <c r="D5" s="63" t="s">
        <v>23</v>
      </c>
      <c r="E5" s="64" t="s">
        <v>24</v>
      </c>
      <c r="F5" s="64">
        <v>10</v>
      </c>
      <c r="G5" s="67">
        <v>5</v>
      </c>
    </row>
    <row r="6" spans="1:7" x14ac:dyDescent="0.25">
      <c r="A6" s="62" t="s">
        <v>1774</v>
      </c>
      <c r="B6" s="62">
        <v>2</v>
      </c>
      <c r="C6" s="62">
        <v>1002</v>
      </c>
      <c r="D6" s="63" t="s">
        <v>25</v>
      </c>
      <c r="E6" s="64" t="s">
        <v>24</v>
      </c>
      <c r="F6" s="64">
        <v>8</v>
      </c>
      <c r="G6" s="67">
        <v>6</v>
      </c>
    </row>
    <row r="7" spans="1:7" x14ac:dyDescent="0.25">
      <c r="A7" s="62" t="s">
        <v>1775</v>
      </c>
      <c r="B7" s="62">
        <v>3</v>
      </c>
      <c r="C7" s="62">
        <v>1003</v>
      </c>
      <c r="D7" s="63" t="s">
        <v>26</v>
      </c>
      <c r="E7" s="64" t="s">
        <v>24</v>
      </c>
      <c r="F7" s="64">
        <v>4</v>
      </c>
      <c r="G7" s="67">
        <v>7</v>
      </c>
    </row>
    <row r="8" spans="1:7" x14ac:dyDescent="0.25">
      <c r="A8" s="62" t="s">
        <v>1776</v>
      </c>
      <c r="B8" s="62">
        <v>4</v>
      </c>
      <c r="C8" s="62">
        <v>1004</v>
      </c>
      <c r="D8" s="63" t="s">
        <v>27</v>
      </c>
      <c r="E8" s="64" t="s">
        <v>24</v>
      </c>
      <c r="F8" s="64">
        <v>-2</v>
      </c>
      <c r="G8" s="67">
        <v>8</v>
      </c>
    </row>
    <row r="9" spans="1:7" x14ac:dyDescent="0.25">
      <c r="A9" s="62" t="s">
        <v>1777</v>
      </c>
      <c r="B9" s="62">
        <v>5</v>
      </c>
      <c r="C9" s="62">
        <v>1005</v>
      </c>
      <c r="D9" s="63" t="s">
        <v>28</v>
      </c>
      <c r="E9" s="64" t="s">
        <v>24</v>
      </c>
      <c r="F9" s="64">
        <v>7</v>
      </c>
      <c r="G9" s="67">
        <v>9</v>
      </c>
    </row>
    <row r="10" spans="1:7" x14ac:dyDescent="0.25">
      <c r="A10" s="62" t="s">
        <v>1778</v>
      </c>
      <c r="B10" s="62">
        <v>6</v>
      </c>
      <c r="C10" s="62">
        <v>1006</v>
      </c>
      <c r="D10" s="63" t="s">
        <v>29</v>
      </c>
      <c r="E10" s="64" t="s">
        <v>24</v>
      </c>
      <c r="F10" s="64">
        <v>15</v>
      </c>
      <c r="G10" s="67">
        <v>10</v>
      </c>
    </row>
    <row r="11" spans="1:7" x14ac:dyDescent="0.25">
      <c r="A11" s="62" t="s">
        <v>1779</v>
      </c>
      <c r="B11" s="62">
        <v>7</v>
      </c>
      <c r="C11" s="62">
        <v>1007</v>
      </c>
      <c r="D11" s="63" t="s">
        <v>30</v>
      </c>
      <c r="E11" s="64" t="s">
        <v>24</v>
      </c>
      <c r="F11" s="64">
        <v>16</v>
      </c>
      <c r="G11" s="67">
        <v>11</v>
      </c>
    </row>
    <row r="12" spans="1:7" x14ac:dyDescent="0.25">
      <c r="A12" s="62" t="s">
        <v>1780</v>
      </c>
      <c r="B12" s="62">
        <v>8</v>
      </c>
      <c r="C12" s="62">
        <v>1008</v>
      </c>
      <c r="D12" s="63" t="s">
        <v>31</v>
      </c>
      <c r="E12" s="64" t="s">
        <v>24</v>
      </c>
      <c r="F12" s="64">
        <v>17</v>
      </c>
      <c r="G12" s="67">
        <v>12</v>
      </c>
    </row>
    <row r="13" spans="1:7" x14ac:dyDescent="0.25">
      <c r="A13" s="62" t="s">
        <v>1781</v>
      </c>
      <c r="B13" s="62">
        <v>9</v>
      </c>
      <c r="C13" s="62">
        <v>1009</v>
      </c>
      <c r="D13" s="63" t="s">
        <v>32</v>
      </c>
      <c r="E13" s="64" t="s">
        <v>24</v>
      </c>
      <c r="F13" s="64">
        <v>18</v>
      </c>
      <c r="G13" s="67">
        <v>13</v>
      </c>
    </row>
    <row r="14" spans="1:7" x14ac:dyDescent="0.25">
      <c r="A14" s="62" t="s">
        <v>1782</v>
      </c>
      <c r="B14" s="62">
        <v>10</v>
      </c>
      <c r="C14" s="62">
        <v>1010</v>
      </c>
      <c r="D14" s="63" t="s">
        <v>33</v>
      </c>
      <c r="E14" s="64" t="s">
        <v>24</v>
      </c>
      <c r="F14" s="64">
        <v>19</v>
      </c>
      <c r="G14" s="67">
        <v>14</v>
      </c>
    </row>
    <row r="15" spans="1:7" x14ac:dyDescent="0.25">
      <c r="A15" s="62" t="s">
        <v>1783</v>
      </c>
      <c r="B15" s="62">
        <v>11</v>
      </c>
      <c r="C15" s="62">
        <v>1011</v>
      </c>
      <c r="D15" s="63" t="s">
        <v>34</v>
      </c>
      <c r="E15" s="64" t="s">
        <v>24</v>
      </c>
      <c r="F15" s="64">
        <v>20</v>
      </c>
      <c r="G15" s="67">
        <v>15</v>
      </c>
    </row>
    <row r="16" spans="1:7" x14ac:dyDescent="0.25">
      <c r="A16" s="62" t="s">
        <v>1784</v>
      </c>
      <c r="B16" s="62">
        <v>12</v>
      </c>
      <c r="C16" s="62">
        <v>1012</v>
      </c>
      <c r="D16" s="63" t="s">
        <v>35</v>
      </c>
      <c r="E16" s="64" t="s">
        <v>24</v>
      </c>
      <c r="F16" s="64">
        <v>26</v>
      </c>
      <c r="G16" s="67">
        <v>16</v>
      </c>
    </row>
    <row r="17" spans="1:7" x14ac:dyDescent="0.25">
      <c r="A17" s="62" t="s">
        <v>1785</v>
      </c>
      <c r="B17" s="62">
        <v>13</v>
      </c>
      <c r="C17" s="62">
        <v>1013</v>
      </c>
      <c r="D17" s="63" t="s">
        <v>36</v>
      </c>
      <c r="E17" s="64" t="s">
        <v>24</v>
      </c>
      <c r="F17" s="64">
        <v>27</v>
      </c>
      <c r="G17" s="67">
        <v>17</v>
      </c>
    </row>
    <row r="18" spans="1:7" x14ac:dyDescent="0.25">
      <c r="A18" s="62" t="s">
        <v>1786</v>
      </c>
      <c r="B18" s="62">
        <v>14</v>
      </c>
      <c r="C18" s="62">
        <v>1014</v>
      </c>
      <c r="D18" s="63" t="s">
        <v>37</v>
      </c>
      <c r="E18" s="64" t="s">
        <v>24</v>
      </c>
      <c r="F18" s="64">
        <v>25</v>
      </c>
      <c r="G18" s="67">
        <v>18</v>
      </c>
    </row>
    <row r="19" spans="1:7" x14ac:dyDescent="0.25">
      <c r="A19" s="62" t="s">
        <v>1787</v>
      </c>
      <c r="B19" s="62">
        <v>15</v>
      </c>
      <c r="C19" s="62">
        <v>1015</v>
      </c>
      <c r="D19" s="63" t="s">
        <v>38</v>
      </c>
      <c r="E19" s="64" t="s">
        <v>24</v>
      </c>
      <c r="F19" s="64">
        <v>32</v>
      </c>
      <c r="G19" s="67">
        <v>19</v>
      </c>
    </row>
    <row r="20" spans="1:7" x14ac:dyDescent="0.25">
      <c r="A20" s="62" t="s">
        <v>1788</v>
      </c>
      <c r="B20" s="62">
        <v>16</v>
      </c>
      <c r="C20" s="62">
        <v>1016</v>
      </c>
      <c r="D20" s="63" t="s">
        <v>39</v>
      </c>
      <c r="E20" s="64" t="s">
        <v>24</v>
      </c>
      <c r="F20" s="64">
        <v>25</v>
      </c>
      <c r="G20" s="67">
        <v>20</v>
      </c>
    </row>
    <row r="21" spans="1:7" x14ac:dyDescent="0.25">
      <c r="A21" s="62" t="s">
        <v>1789</v>
      </c>
      <c r="B21" s="62">
        <v>17</v>
      </c>
      <c r="C21" s="62">
        <v>1017</v>
      </c>
      <c r="D21" s="63" t="s">
        <v>40</v>
      </c>
      <c r="E21" s="64" t="s">
        <v>24</v>
      </c>
      <c r="F21" s="64">
        <v>26</v>
      </c>
      <c r="G21" s="67">
        <v>21</v>
      </c>
    </row>
    <row r="22" spans="1:7" x14ac:dyDescent="0.25">
      <c r="A22" s="62" t="s">
        <v>1790</v>
      </c>
      <c r="B22" s="62">
        <v>18</v>
      </c>
      <c r="C22" s="62">
        <v>1018</v>
      </c>
      <c r="D22" s="63" t="s">
        <v>41</v>
      </c>
      <c r="E22" s="64" t="s">
        <v>24</v>
      </c>
      <c r="F22" s="64">
        <v>27</v>
      </c>
      <c r="G22" s="67">
        <v>22</v>
      </c>
    </row>
    <row r="23" spans="1:7" x14ac:dyDescent="0.25">
      <c r="A23" s="62" t="s">
        <v>1791</v>
      </c>
      <c r="B23" s="62">
        <v>19</v>
      </c>
      <c r="C23" s="62">
        <v>1019</v>
      </c>
      <c r="D23" s="63" t="s">
        <v>42</v>
      </c>
      <c r="E23" s="64" t="s">
        <v>24</v>
      </c>
      <c r="F23" s="64">
        <v>28</v>
      </c>
      <c r="G23" s="67">
        <v>23</v>
      </c>
    </row>
    <row r="24" spans="1:7" x14ac:dyDescent="0.25">
      <c r="A24" s="62" t="s">
        <v>1792</v>
      </c>
      <c r="B24" s="62">
        <v>20</v>
      </c>
      <c r="C24" s="62">
        <v>1020</v>
      </c>
      <c r="D24" s="63" t="s">
        <v>43</v>
      </c>
      <c r="E24" s="64" t="s">
        <v>24</v>
      </c>
      <c r="F24" s="64">
        <v>29</v>
      </c>
      <c r="G24" s="67">
        <v>24</v>
      </c>
    </row>
    <row r="25" spans="1:7" x14ac:dyDescent="0.25">
      <c r="A25" s="62" t="s">
        <v>1793</v>
      </c>
      <c r="B25" s="62">
        <v>21</v>
      </c>
      <c r="C25" s="62">
        <v>1021</v>
      </c>
      <c r="D25" s="63" t="s">
        <v>44</v>
      </c>
      <c r="E25" s="64" t="s">
        <v>24</v>
      </c>
      <c r="F25" s="64">
        <v>30</v>
      </c>
      <c r="G25" s="67">
        <v>25</v>
      </c>
    </row>
    <row r="26" spans="1:7" x14ac:dyDescent="0.25">
      <c r="A26" s="62" t="s">
        <v>1794</v>
      </c>
      <c r="B26" s="62">
        <v>22</v>
      </c>
      <c r="C26" s="62">
        <v>1022</v>
      </c>
      <c r="D26" s="63" t="s">
        <v>45</v>
      </c>
      <c r="E26" s="64" t="s">
        <v>24</v>
      </c>
      <c r="F26" s="64">
        <v>31</v>
      </c>
      <c r="G26" s="67">
        <v>26</v>
      </c>
    </row>
    <row r="27" spans="1:7" x14ac:dyDescent="0.25">
      <c r="A27" s="62" t="s">
        <v>1795</v>
      </c>
      <c r="B27" s="62">
        <v>23</v>
      </c>
      <c r="C27" s="62">
        <v>1023</v>
      </c>
      <c r="D27" s="63" t="s">
        <v>46</v>
      </c>
      <c r="E27" s="64" t="s">
        <v>24</v>
      </c>
      <c r="F27" s="64">
        <v>32</v>
      </c>
      <c r="G27" s="67">
        <v>27</v>
      </c>
    </row>
    <row r="28" spans="1:7" x14ac:dyDescent="0.25">
      <c r="A28" s="62" t="s">
        <v>1796</v>
      </c>
      <c r="B28" s="62">
        <v>24</v>
      </c>
      <c r="C28" s="62">
        <v>1024</v>
      </c>
      <c r="D28" s="63" t="s">
        <v>47</v>
      </c>
      <c r="E28" s="64" t="s">
        <v>24</v>
      </c>
      <c r="F28" s="64">
        <v>33</v>
      </c>
      <c r="G28" s="67">
        <v>28</v>
      </c>
    </row>
    <row r="29" spans="1:7" x14ac:dyDescent="0.25">
      <c r="A29" s="62" t="s">
        <v>1797</v>
      </c>
      <c r="B29" s="62">
        <v>25</v>
      </c>
      <c r="C29" s="62">
        <v>1025</v>
      </c>
      <c r="D29" s="63" t="s">
        <v>48</v>
      </c>
      <c r="E29" s="64" t="s">
        <v>24</v>
      </c>
      <c r="F29" s="64">
        <v>34</v>
      </c>
      <c r="G29" s="67">
        <v>29</v>
      </c>
    </row>
    <row r="30" spans="1:7" x14ac:dyDescent="0.25">
      <c r="A30" s="62" t="s">
        <v>1798</v>
      </c>
      <c r="B30" s="62">
        <v>26</v>
      </c>
      <c r="C30" s="62">
        <v>1026</v>
      </c>
      <c r="D30" s="63" t="s">
        <v>49</v>
      </c>
      <c r="E30" s="64" t="s">
        <v>24</v>
      </c>
      <c r="F30" s="64">
        <v>35</v>
      </c>
      <c r="G30" s="67">
        <v>30</v>
      </c>
    </row>
    <row r="31" spans="1:7" x14ac:dyDescent="0.25">
      <c r="A31" s="62" t="s">
        <v>1799</v>
      </c>
      <c r="B31" s="62">
        <v>27</v>
      </c>
      <c r="C31" s="62">
        <v>1027</v>
      </c>
      <c r="D31" s="63" t="s">
        <v>50</v>
      </c>
      <c r="E31" s="64" t="s">
        <v>24</v>
      </c>
      <c r="F31" s="64">
        <v>34</v>
      </c>
      <c r="G31" s="67">
        <v>31</v>
      </c>
    </row>
    <row r="32" spans="1:7" x14ac:dyDescent="0.25">
      <c r="A32" s="62" t="s">
        <v>1800</v>
      </c>
      <c r="B32" s="62">
        <v>28</v>
      </c>
      <c r="C32" s="62">
        <v>1028</v>
      </c>
      <c r="D32" s="63" t="s">
        <v>51</v>
      </c>
      <c r="E32" s="64" t="s">
        <v>24</v>
      </c>
      <c r="F32" s="64">
        <v>37</v>
      </c>
      <c r="G32" s="67">
        <v>32</v>
      </c>
    </row>
    <row r="33" spans="1:7" x14ac:dyDescent="0.25">
      <c r="A33" s="62" t="s">
        <v>1801</v>
      </c>
      <c r="B33" s="62">
        <v>29</v>
      </c>
      <c r="C33" s="62">
        <v>1029</v>
      </c>
      <c r="D33" s="63" t="s">
        <v>52</v>
      </c>
      <c r="E33" s="64" t="s">
        <v>24</v>
      </c>
      <c r="F33" s="64">
        <v>38</v>
      </c>
      <c r="G33" s="67">
        <v>33</v>
      </c>
    </row>
    <row r="34" spans="1:7" x14ac:dyDescent="0.25">
      <c r="A34" s="62" t="s">
        <v>1802</v>
      </c>
      <c r="B34" s="62">
        <v>30</v>
      </c>
      <c r="C34" s="62">
        <v>1030</v>
      </c>
      <c r="D34" s="63" t="s">
        <v>53</v>
      </c>
      <c r="E34" s="64" t="s">
        <v>24</v>
      </c>
      <c r="F34" s="64">
        <v>39</v>
      </c>
      <c r="G34" s="67">
        <v>34</v>
      </c>
    </row>
    <row r="35" spans="1:7" x14ac:dyDescent="0.25">
      <c r="A35" s="62" t="s">
        <v>1803</v>
      </c>
      <c r="B35" s="62">
        <v>31</v>
      </c>
      <c r="C35" s="62">
        <v>1031</v>
      </c>
      <c r="D35" s="63" t="s">
        <v>54</v>
      </c>
      <c r="E35" s="64" t="s">
        <v>55</v>
      </c>
      <c r="F35" s="64">
        <v>40</v>
      </c>
      <c r="G35" s="67">
        <v>35</v>
      </c>
    </row>
    <row r="36" spans="1:7" x14ac:dyDescent="0.25">
      <c r="A36" s="62" t="s">
        <v>1804</v>
      </c>
      <c r="B36" s="62">
        <v>32</v>
      </c>
      <c r="C36" s="62">
        <v>1032</v>
      </c>
      <c r="D36" s="63" t="s">
        <v>56</v>
      </c>
      <c r="E36" s="64" t="s">
        <v>55</v>
      </c>
      <c r="F36" s="64">
        <v>71</v>
      </c>
      <c r="G36" s="67">
        <v>36</v>
      </c>
    </row>
    <row r="37" spans="1:7" x14ac:dyDescent="0.25">
      <c r="A37" s="62" t="s">
        <v>1805</v>
      </c>
      <c r="B37" s="62">
        <v>33</v>
      </c>
      <c r="C37" s="62">
        <v>1033</v>
      </c>
      <c r="D37" s="63" t="s">
        <v>57</v>
      </c>
      <c r="E37" s="64" t="s">
        <v>24</v>
      </c>
      <c r="F37" s="64">
        <v>42</v>
      </c>
      <c r="G37" s="67">
        <v>37</v>
      </c>
    </row>
    <row r="38" spans="1:7" x14ac:dyDescent="0.25">
      <c r="A38" s="62" t="s">
        <v>1806</v>
      </c>
      <c r="B38" s="62">
        <v>34</v>
      </c>
      <c r="C38" s="62">
        <v>1034</v>
      </c>
      <c r="D38" s="63" t="s">
        <v>58</v>
      </c>
      <c r="E38" s="64" t="s">
        <v>24</v>
      </c>
      <c r="F38" s="64">
        <v>41</v>
      </c>
      <c r="G38" s="67">
        <v>38</v>
      </c>
    </row>
    <row r="39" spans="1:7" x14ac:dyDescent="0.25">
      <c r="A39" s="62" t="s">
        <v>1807</v>
      </c>
      <c r="B39" s="62">
        <v>35</v>
      </c>
      <c r="C39" s="62">
        <v>1035</v>
      </c>
      <c r="D39" s="63" t="s">
        <v>59</v>
      </c>
      <c r="E39" s="64" t="s">
        <v>55</v>
      </c>
      <c r="F39" s="64">
        <v>42</v>
      </c>
      <c r="G39" s="67">
        <v>39</v>
      </c>
    </row>
    <row r="40" spans="1:7" x14ac:dyDescent="0.25">
      <c r="A40" s="62" t="s">
        <v>1808</v>
      </c>
      <c r="B40" s="62">
        <v>36</v>
      </c>
      <c r="C40" s="62">
        <v>1036</v>
      </c>
      <c r="D40" s="63" t="s">
        <v>60</v>
      </c>
      <c r="E40" s="64" t="s">
        <v>55</v>
      </c>
      <c r="F40" s="64">
        <v>43</v>
      </c>
      <c r="G40" s="67">
        <v>40</v>
      </c>
    </row>
    <row r="41" spans="1:7" x14ac:dyDescent="0.25">
      <c r="A41" s="62" t="s">
        <v>1809</v>
      </c>
      <c r="B41" s="62">
        <v>37</v>
      </c>
      <c r="C41" s="62">
        <v>1037</v>
      </c>
      <c r="D41" s="63" t="s">
        <v>61</v>
      </c>
      <c r="E41" s="64" t="s">
        <v>55</v>
      </c>
      <c r="F41" s="64">
        <v>46</v>
      </c>
      <c r="G41" s="67">
        <v>41</v>
      </c>
    </row>
    <row r="42" spans="1:7" x14ac:dyDescent="0.25">
      <c r="A42" s="62" t="s">
        <v>1810</v>
      </c>
      <c r="B42" s="62">
        <v>38</v>
      </c>
      <c r="C42" s="62">
        <v>1038</v>
      </c>
      <c r="D42" s="63" t="s">
        <v>62</v>
      </c>
      <c r="E42" s="64" t="s">
        <v>55</v>
      </c>
      <c r="F42" s="64">
        <v>44</v>
      </c>
      <c r="G42" s="67">
        <v>42</v>
      </c>
    </row>
    <row r="43" spans="1:7" x14ac:dyDescent="0.25">
      <c r="A43" s="62" t="s">
        <v>1811</v>
      </c>
      <c r="B43" s="62">
        <v>39</v>
      </c>
      <c r="C43" s="62">
        <v>1039</v>
      </c>
      <c r="D43" s="63" t="s">
        <v>63</v>
      </c>
      <c r="E43" s="64" t="s">
        <v>55</v>
      </c>
      <c r="F43" s="64">
        <v>48</v>
      </c>
      <c r="G43" s="67">
        <v>43</v>
      </c>
    </row>
    <row r="44" spans="1:7" x14ac:dyDescent="0.25">
      <c r="A44" s="62" t="s">
        <v>1812</v>
      </c>
      <c r="B44" s="62">
        <v>40</v>
      </c>
      <c r="C44" s="62">
        <v>1040</v>
      </c>
      <c r="D44" s="63" t="s">
        <v>64</v>
      </c>
      <c r="E44" s="64" t="s">
        <v>55</v>
      </c>
      <c r="F44" s="64">
        <v>49</v>
      </c>
      <c r="G44" s="67">
        <v>44</v>
      </c>
    </row>
    <row r="45" spans="1:7" x14ac:dyDescent="0.25">
      <c r="A45" s="62" t="s">
        <v>1813</v>
      </c>
      <c r="B45" s="62">
        <v>41</v>
      </c>
      <c r="C45" s="62">
        <v>1041</v>
      </c>
      <c r="D45" s="63" t="s">
        <v>65</v>
      </c>
      <c r="E45" s="64" t="s">
        <v>55</v>
      </c>
      <c r="F45" s="64">
        <v>50</v>
      </c>
      <c r="G45" s="67">
        <v>45</v>
      </c>
    </row>
    <row r="46" spans="1:7" x14ac:dyDescent="0.25">
      <c r="A46" s="62" t="s">
        <v>1814</v>
      </c>
      <c r="B46" s="62">
        <v>42</v>
      </c>
      <c r="C46" s="62">
        <v>1042</v>
      </c>
      <c r="D46" s="63" t="s">
        <v>66</v>
      </c>
      <c r="E46" s="64" t="s">
        <v>24</v>
      </c>
      <c r="F46" s="64">
        <v>51</v>
      </c>
      <c r="G46" s="67">
        <v>46</v>
      </c>
    </row>
    <row r="47" spans="1:7" x14ac:dyDescent="0.25">
      <c r="A47" s="62" t="s">
        <v>1815</v>
      </c>
      <c r="B47" s="62">
        <v>43</v>
      </c>
      <c r="C47" s="62">
        <v>1043</v>
      </c>
      <c r="D47" s="63" t="s">
        <v>67</v>
      </c>
      <c r="E47" s="64" t="s">
        <v>24</v>
      </c>
      <c r="F47" s="64">
        <v>50</v>
      </c>
      <c r="G47" s="67">
        <v>47</v>
      </c>
    </row>
    <row r="48" spans="1:7" x14ac:dyDescent="0.25">
      <c r="A48" s="62" t="s">
        <v>1816</v>
      </c>
      <c r="B48" s="62">
        <v>44</v>
      </c>
      <c r="C48" s="62">
        <v>1044</v>
      </c>
      <c r="D48" s="63" t="s">
        <v>68</v>
      </c>
      <c r="E48" s="64" t="s">
        <v>24</v>
      </c>
      <c r="F48" s="64">
        <v>53</v>
      </c>
      <c r="G48" s="67">
        <v>48</v>
      </c>
    </row>
    <row r="49" spans="1:7" x14ac:dyDescent="0.25">
      <c r="A49" s="62" t="s">
        <v>1817</v>
      </c>
      <c r="B49" s="62">
        <v>45</v>
      </c>
      <c r="C49" s="62">
        <v>1045</v>
      </c>
      <c r="D49" s="63" t="s">
        <v>69</v>
      </c>
      <c r="E49" s="64" t="s">
        <v>24</v>
      </c>
      <c r="F49" s="64">
        <v>54</v>
      </c>
      <c r="G49" s="67">
        <v>49</v>
      </c>
    </row>
    <row r="50" spans="1:7" x14ac:dyDescent="0.25">
      <c r="A50" s="62" t="s">
        <v>1818</v>
      </c>
      <c r="B50" s="62">
        <v>46</v>
      </c>
      <c r="C50" s="62">
        <v>1046</v>
      </c>
      <c r="D50" s="63" t="s">
        <v>71</v>
      </c>
      <c r="E50" s="64" t="s">
        <v>24</v>
      </c>
      <c r="F50" s="64">
        <v>51</v>
      </c>
      <c r="G50" s="67">
        <v>50</v>
      </c>
    </row>
    <row r="51" spans="1:7" x14ac:dyDescent="0.25">
      <c r="A51" s="62" t="s">
        <v>1819</v>
      </c>
      <c r="B51" s="62">
        <v>47</v>
      </c>
      <c r="C51" s="62">
        <v>1047</v>
      </c>
      <c r="D51" s="63" t="s">
        <v>73</v>
      </c>
      <c r="E51" s="64" t="s">
        <v>24</v>
      </c>
      <c r="F51" s="64">
        <v>56</v>
      </c>
      <c r="G51" s="67">
        <v>51</v>
      </c>
    </row>
    <row r="52" spans="1:7" x14ac:dyDescent="0.25">
      <c r="A52" s="62" t="s">
        <v>1820</v>
      </c>
      <c r="B52" s="62">
        <v>48</v>
      </c>
      <c r="C52" s="62">
        <v>1048</v>
      </c>
      <c r="D52" s="63" t="s">
        <v>74</v>
      </c>
      <c r="E52" s="64" t="s">
        <v>24</v>
      </c>
      <c r="F52" s="64">
        <v>53</v>
      </c>
      <c r="G52" s="67">
        <v>52</v>
      </c>
    </row>
    <row r="53" spans="1:7" x14ac:dyDescent="0.25">
      <c r="A53" s="62" t="s">
        <v>1821</v>
      </c>
      <c r="B53" s="62">
        <v>49</v>
      </c>
      <c r="C53" s="62">
        <v>1049</v>
      </c>
      <c r="D53" s="63" t="s">
        <v>75</v>
      </c>
      <c r="E53" s="64" t="s">
        <v>24</v>
      </c>
      <c r="F53" s="64">
        <v>58</v>
      </c>
      <c r="G53" s="67">
        <v>53</v>
      </c>
    </row>
    <row r="54" spans="1:7" x14ac:dyDescent="0.25">
      <c r="A54" s="62" t="s">
        <v>1822</v>
      </c>
      <c r="B54" s="62">
        <v>50</v>
      </c>
      <c r="C54" s="62">
        <v>1050</v>
      </c>
      <c r="D54" s="63" t="s">
        <v>77</v>
      </c>
      <c r="E54" s="64" t="s">
        <v>24</v>
      </c>
      <c r="F54" s="64">
        <v>54</v>
      </c>
      <c r="G54" s="67">
        <v>54</v>
      </c>
    </row>
    <row r="55" spans="1:7" x14ac:dyDescent="0.25">
      <c r="A55" s="62" t="s">
        <v>1823</v>
      </c>
      <c r="B55" s="62">
        <v>51</v>
      </c>
      <c r="C55" s="62">
        <v>1051</v>
      </c>
      <c r="D55" s="63" t="s">
        <v>78</v>
      </c>
      <c r="E55" s="64" t="s">
        <v>24</v>
      </c>
      <c r="F55" s="64">
        <v>52</v>
      </c>
      <c r="G55" s="67">
        <v>55</v>
      </c>
    </row>
    <row r="56" spans="1:7" x14ac:dyDescent="0.25">
      <c r="A56" s="62" t="s">
        <v>1824</v>
      </c>
      <c r="B56" s="62">
        <v>52</v>
      </c>
      <c r="C56" s="62">
        <v>1052</v>
      </c>
      <c r="D56" s="63" t="s">
        <v>79</v>
      </c>
      <c r="E56" s="64" t="s">
        <v>24</v>
      </c>
      <c r="F56" s="64">
        <v>61</v>
      </c>
      <c r="G56" s="67">
        <v>56</v>
      </c>
    </row>
    <row r="57" spans="1:7" x14ac:dyDescent="0.25">
      <c r="A57" s="62" t="s">
        <v>1825</v>
      </c>
      <c r="B57" s="62">
        <v>53</v>
      </c>
      <c r="C57" s="62">
        <v>1053</v>
      </c>
      <c r="D57" s="63" t="s">
        <v>80</v>
      </c>
      <c r="E57" s="64" t="s">
        <v>24</v>
      </c>
      <c r="F57" s="64">
        <v>62</v>
      </c>
      <c r="G57" s="67">
        <v>57</v>
      </c>
    </row>
    <row r="58" spans="1:7" x14ac:dyDescent="0.25">
      <c r="A58" s="62" t="s">
        <v>1826</v>
      </c>
      <c r="B58" s="62">
        <v>54</v>
      </c>
      <c r="C58" s="62">
        <v>1054</v>
      </c>
      <c r="D58" s="63" t="s">
        <v>81</v>
      </c>
      <c r="E58" s="64" t="s">
        <v>24</v>
      </c>
      <c r="F58" s="64">
        <v>63</v>
      </c>
      <c r="G58" s="67">
        <v>58</v>
      </c>
    </row>
    <row r="59" spans="1:7" x14ac:dyDescent="0.25">
      <c r="A59" s="62" t="s">
        <v>1827</v>
      </c>
      <c r="B59" s="62">
        <v>55</v>
      </c>
      <c r="C59" s="62">
        <v>1055</v>
      </c>
      <c r="D59" s="63" t="s">
        <v>82</v>
      </c>
      <c r="E59" s="64" t="s">
        <v>24</v>
      </c>
      <c r="F59" s="64">
        <v>64</v>
      </c>
      <c r="G59" s="67">
        <v>59</v>
      </c>
    </row>
    <row r="60" spans="1:7" x14ac:dyDescent="0.25">
      <c r="A60" s="62" t="s">
        <v>1828</v>
      </c>
      <c r="B60" s="62">
        <v>56</v>
      </c>
      <c r="C60" s="62">
        <v>1056</v>
      </c>
      <c r="D60" s="63" t="s">
        <v>83</v>
      </c>
      <c r="E60" s="64" t="s">
        <v>24</v>
      </c>
      <c r="F60" s="64">
        <v>58</v>
      </c>
      <c r="G60" s="67">
        <v>60</v>
      </c>
    </row>
    <row r="61" spans="1:7" x14ac:dyDescent="0.25">
      <c r="A61" s="62" t="s">
        <v>1829</v>
      </c>
      <c r="B61" s="62">
        <v>57</v>
      </c>
      <c r="C61" s="62">
        <v>1057</v>
      </c>
      <c r="D61" s="63" t="s">
        <v>85</v>
      </c>
      <c r="E61" s="64" t="s">
        <v>24</v>
      </c>
      <c r="F61" s="64">
        <v>66</v>
      </c>
      <c r="G61" s="67">
        <v>61</v>
      </c>
    </row>
    <row r="62" spans="1:7" x14ac:dyDescent="0.25">
      <c r="A62" s="62" t="s">
        <v>1830</v>
      </c>
      <c r="B62" s="62">
        <v>58</v>
      </c>
      <c r="C62" s="62">
        <v>1058</v>
      </c>
      <c r="D62" s="63" t="s">
        <v>86</v>
      </c>
      <c r="E62" s="64" t="s">
        <v>24</v>
      </c>
      <c r="F62" s="64">
        <v>67</v>
      </c>
      <c r="G62" s="67">
        <v>62</v>
      </c>
    </row>
    <row r="63" spans="1:7" x14ac:dyDescent="0.25">
      <c r="A63" s="62" t="s">
        <v>1831</v>
      </c>
      <c r="B63" s="62">
        <v>59</v>
      </c>
      <c r="C63" s="62">
        <v>1059</v>
      </c>
      <c r="D63" s="63" t="s">
        <v>87</v>
      </c>
      <c r="E63" s="64" t="s">
        <v>24</v>
      </c>
      <c r="F63" s="64">
        <v>66</v>
      </c>
      <c r="G63" s="67">
        <v>63</v>
      </c>
    </row>
    <row r="64" spans="1:7" x14ac:dyDescent="0.25">
      <c r="A64" s="62" t="s">
        <v>1832</v>
      </c>
      <c r="B64" s="62">
        <v>60</v>
      </c>
      <c r="C64" s="62">
        <v>1060</v>
      </c>
      <c r="D64" s="63" t="s">
        <v>88</v>
      </c>
      <c r="E64" s="64" t="s">
        <v>24</v>
      </c>
      <c r="F64" s="64">
        <v>69</v>
      </c>
      <c r="G64" s="67">
        <v>64</v>
      </c>
    </row>
    <row r="65" spans="1:7" x14ac:dyDescent="0.25">
      <c r="A65" s="62" t="s">
        <v>1833</v>
      </c>
      <c r="B65" s="62">
        <v>61</v>
      </c>
      <c r="C65" s="62">
        <v>1061</v>
      </c>
      <c r="D65" s="63" t="s">
        <v>89</v>
      </c>
      <c r="E65" s="64" t="s">
        <v>24</v>
      </c>
      <c r="F65" s="64">
        <v>70</v>
      </c>
      <c r="G65" s="67">
        <v>65</v>
      </c>
    </row>
    <row r="66" spans="1:7" x14ac:dyDescent="0.25">
      <c r="A66" s="62" t="s">
        <v>1834</v>
      </c>
      <c r="B66" s="62">
        <v>62</v>
      </c>
      <c r="C66" s="62">
        <v>1062</v>
      </c>
      <c r="D66" s="63" t="s">
        <v>91</v>
      </c>
      <c r="E66" s="64" t="s">
        <v>24</v>
      </c>
      <c r="F66" s="64">
        <v>71</v>
      </c>
      <c r="G66" s="67">
        <v>66</v>
      </c>
    </row>
    <row r="67" spans="1:7" x14ac:dyDescent="0.25">
      <c r="A67" s="62" t="s">
        <v>1835</v>
      </c>
      <c r="B67" s="62">
        <v>63</v>
      </c>
      <c r="C67" s="62">
        <v>1063</v>
      </c>
      <c r="D67" s="63" t="s">
        <v>92</v>
      </c>
      <c r="E67" s="64" t="s">
        <v>93</v>
      </c>
      <c r="F67" s="64">
        <v>70</v>
      </c>
      <c r="G67" s="67">
        <v>67</v>
      </c>
    </row>
    <row r="68" spans="1:7" x14ac:dyDescent="0.25">
      <c r="A68" s="62" t="s">
        <v>1836</v>
      </c>
      <c r="B68" s="62">
        <v>64</v>
      </c>
      <c r="C68" s="62">
        <v>1064</v>
      </c>
      <c r="D68" s="63" t="s">
        <v>94</v>
      </c>
      <c r="E68" s="64" t="s">
        <v>93</v>
      </c>
      <c r="F68" s="64">
        <v>73</v>
      </c>
      <c r="G68" s="67">
        <v>68</v>
      </c>
    </row>
    <row r="69" spans="1:7" x14ac:dyDescent="0.25">
      <c r="A69" s="62" t="s">
        <v>1837</v>
      </c>
      <c r="B69" s="62">
        <v>65</v>
      </c>
      <c r="C69" s="62">
        <v>1065</v>
      </c>
      <c r="D69" s="63" t="s">
        <v>95</v>
      </c>
      <c r="E69" s="64" t="s">
        <v>24</v>
      </c>
      <c r="F69" s="64">
        <v>74</v>
      </c>
      <c r="G69" s="67">
        <v>69</v>
      </c>
    </row>
    <row r="70" spans="1:7" x14ac:dyDescent="0.25">
      <c r="A70" s="62" t="s">
        <v>1838</v>
      </c>
      <c r="B70" s="62">
        <v>66</v>
      </c>
      <c r="C70" s="62">
        <v>1066</v>
      </c>
      <c r="D70" s="63" t="s">
        <v>96</v>
      </c>
      <c r="E70" s="64" t="s">
        <v>24</v>
      </c>
      <c r="F70" s="64">
        <v>75</v>
      </c>
      <c r="G70" s="67">
        <v>70</v>
      </c>
    </row>
    <row r="71" spans="1:7" x14ac:dyDescent="0.25">
      <c r="A71" s="62" t="s">
        <v>1839</v>
      </c>
      <c r="B71" s="62">
        <v>67</v>
      </c>
      <c r="C71" s="62">
        <v>1067</v>
      </c>
      <c r="D71" s="63" t="s">
        <v>97</v>
      </c>
      <c r="E71" s="64" t="s">
        <v>24</v>
      </c>
      <c r="F71" s="64">
        <v>76</v>
      </c>
      <c r="G71" s="67">
        <v>71</v>
      </c>
    </row>
    <row r="72" spans="1:7" x14ac:dyDescent="0.25">
      <c r="A72" s="62" t="s">
        <v>1840</v>
      </c>
      <c r="B72" s="62">
        <v>68</v>
      </c>
      <c r="C72" s="62">
        <v>1068</v>
      </c>
      <c r="D72" s="63" t="s">
        <v>98</v>
      </c>
      <c r="E72" s="64" t="s">
        <v>24</v>
      </c>
      <c r="F72" s="64">
        <v>77</v>
      </c>
      <c r="G72" s="67">
        <v>72</v>
      </c>
    </row>
    <row r="73" spans="1:7" x14ac:dyDescent="0.25">
      <c r="A73" s="62" t="s">
        <v>1841</v>
      </c>
      <c r="B73" s="62">
        <v>69</v>
      </c>
      <c r="C73" s="62">
        <v>1069</v>
      </c>
      <c r="D73" s="63" t="s">
        <v>99</v>
      </c>
      <c r="E73" s="64" t="s">
        <v>24</v>
      </c>
      <c r="F73" s="64">
        <v>78</v>
      </c>
      <c r="G73" s="67">
        <v>73</v>
      </c>
    </row>
    <row r="74" spans="1:7" x14ac:dyDescent="0.25">
      <c r="A74" s="62" t="s">
        <v>1842</v>
      </c>
      <c r="B74" s="62">
        <v>70</v>
      </c>
      <c r="C74" s="62">
        <v>1070</v>
      </c>
      <c r="D74" s="63" t="s">
        <v>100</v>
      </c>
      <c r="E74" s="64" t="s">
        <v>24</v>
      </c>
      <c r="F74" s="64">
        <v>80</v>
      </c>
      <c r="G74" s="67">
        <v>74</v>
      </c>
    </row>
    <row r="75" spans="1:7" x14ac:dyDescent="0.25">
      <c r="A75" s="62" t="s">
        <v>1843</v>
      </c>
      <c r="B75" s="62">
        <v>71</v>
      </c>
      <c r="C75" s="62">
        <v>1071</v>
      </c>
      <c r="D75" s="63" t="s">
        <v>101</v>
      </c>
      <c r="E75" s="64" t="s">
        <v>24</v>
      </c>
      <c r="F75" s="64">
        <v>80</v>
      </c>
      <c r="G75" s="67">
        <v>75</v>
      </c>
    </row>
    <row r="76" spans="1:7" x14ac:dyDescent="0.25">
      <c r="A76" s="62" t="s">
        <v>1844</v>
      </c>
      <c r="B76" s="62">
        <v>72</v>
      </c>
      <c r="C76" s="62">
        <v>1072</v>
      </c>
      <c r="D76" s="63" t="s">
        <v>102</v>
      </c>
      <c r="E76" s="64" t="s">
        <v>24</v>
      </c>
      <c r="F76" s="64">
        <v>78</v>
      </c>
      <c r="G76" s="67">
        <v>76</v>
      </c>
    </row>
    <row r="77" spans="1:7" x14ac:dyDescent="0.25">
      <c r="A77" s="62" t="s">
        <v>1845</v>
      </c>
      <c r="B77" s="62">
        <v>73</v>
      </c>
      <c r="C77" s="62">
        <v>1073</v>
      </c>
      <c r="D77" s="63" t="s">
        <v>103</v>
      </c>
      <c r="E77" s="64" t="s">
        <v>24</v>
      </c>
      <c r="F77" s="64">
        <v>82</v>
      </c>
      <c r="G77" s="67">
        <v>77</v>
      </c>
    </row>
    <row r="78" spans="1:7" x14ac:dyDescent="0.25">
      <c r="A78" s="62" t="s">
        <v>1846</v>
      </c>
      <c r="B78" s="62">
        <v>74</v>
      </c>
      <c r="C78" s="62">
        <v>1074</v>
      </c>
      <c r="D78" s="63" t="s">
        <v>104</v>
      </c>
      <c r="E78" s="64" t="s">
        <v>24</v>
      </c>
      <c r="F78" s="64">
        <v>83</v>
      </c>
      <c r="G78" s="67">
        <v>78</v>
      </c>
    </row>
    <row r="79" spans="1:7" x14ac:dyDescent="0.25">
      <c r="A79" s="62" t="s">
        <v>1847</v>
      </c>
      <c r="B79" s="62">
        <v>75</v>
      </c>
      <c r="C79" s="62">
        <v>1075</v>
      </c>
      <c r="D79" s="63" t="s">
        <v>105</v>
      </c>
      <c r="E79" s="64" t="s">
        <v>24</v>
      </c>
      <c r="F79" s="64">
        <v>83</v>
      </c>
      <c r="G79" s="67">
        <v>79</v>
      </c>
    </row>
    <row r="80" spans="1:7" x14ac:dyDescent="0.25">
      <c r="A80" s="62" t="s">
        <v>1848</v>
      </c>
      <c r="B80" s="62">
        <v>76</v>
      </c>
      <c r="C80" s="62">
        <v>1076</v>
      </c>
      <c r="D80" s="63" t="s">
        <v>106</v>
      </c>
      <c r="E80" s="64" t="s">
        <v>24</v>
      </c>
      <c r="F80" s="64">
        <v>85</v>
      </c>
      <c r="G80" s="67">
        <v>80</v>
      </c>
    </row>
    <row r="81" spans="1:7" x14ac:dyDescent="0.25">
      <c r="A81" s="62" t="s">
        <v>1849</v>
      </c>
      <c r="B81" s="62">
        <v>77</v>
      </c>
      <c r="C81" s="62">
        <v>1077</v>
      </c>
      <c r="D81" s="63" t="s">
        <v>108</v>
      </c>
      <c r="E81" s="64" t="s">
        <v>24</v>
      </c>
      <c r="F81" s="64">
        <v>86</v>
      </c>
      <c r="G81" s="67">
        <v>81</v>
      </c>
    </row>
    <row r="82" spans="1:7" x14ac:dyDescent="0.25">
      <c r="A82" s="62" t="s">
        <v>1850</v>
      </c>
      <c r="B82" s="62">
        <v>78</v>
      </c>
      <c r="C82" s="62">
        <v>1078</v>
      </c>
      <c r="D82" s="63" t="s">
        <v>109</v>
      </c>
      <c r="E82" s="64" t="s">
        <v>24</v>
      </c>
      <c r="F82" s="64">
        <v>87</v>
      </c>
      <c r="G82" s="67">
        <v>82</v>
      </c>
    </row>
    <row r="83" spans="1:7" x14ac:dyDescent="0.25">
      <c r="A83" s="62" t="s">
        <v>1851</v>
      </c>
      <c r="B83" s="62">
        <v>79</v>
      </c>
      <c r="C83" s="62">
        <v>1079</v>
      </c>
      <c r="D83" s="63" t="s">
        <v>110</v>
      </c>
      <c r="E83" s="64" t="s">
        <v>24</v>
      </c>
      <c r="F83" s="64">
        <v>88</v>
      </c>
      <c r="G83" s="67">
        <v>83</v>
      </c>
    </row>
    <row r="84" spans="1:7" x14ac:dyDescent="0.25">
      <c r="A84" s="62" t="s">
        <v>1852</v>
      </c>
      <c r="B84" s="62">
        <v>80</v>
      </c>
      <c r="C84" s="62">
        <v>1080</v>
      </c>
      <c r="D84" s="63" t="s">
        <v>111</v>
      </c>
      <c r="E84" s="64" t="s">
        <v>24</v>
      </c>
      <c r="F84" s="64">
        <v>89</v>
      </c>
      <c r="G84" s="67">
        <v>84</v>
      </c>
    </row>
    <row r="85" spans="1:7" x14ac:dyDescent="0.25">
      <c r="A85" s="62" t="s">
        <v>1853</v>
      </c>
      <c r="B85" s="62">
        <v>81</v>
      </c>
      <c r="C85" s="62">
        <v>1081</v>
      </c>
      <c r="D85" s="63" t="s">
        <v>112</v>
      </c>
      <c r="E85" s="64" t="s">
        <v>24</v>
      </c>
      <c r="F85" s="64">
        <v>90</v>
      </c>
      <c r="G85" s="67">
        <v>85</v>
      </c>
    </row>
    <row r="86" spans="1:7" x14ac:dyDescent="0.25">
      <c r="A86" s="62" t="s">
        <v>1854</v>
      </c>
      <c r="B86" s="62">
        <v>82</v>
      </c>
      <c r="C86" s="62">
        <v>1082</v>
      </c>
      <c r="D86" s="63" t="s">
        <v>113</v>
      </c>
      <c r="E86" s="64" t="s">
        <v>24</v>
      </c>
      <c r="F86" s="64">
        <v>91</v>
      </c>
      <c r="G86" s="67">
        <v>86</v>
      </c>
    </row>
    <row r="87" spans="1:7" x14ac:dyDescent="0.25">
      <c r="A87" s="62" t="s">
        <v>1855</v>
      </c>
      <c r="B87" s="62">
        <v>83</v>
      </c>
      <c r="C87" s="62">
        <v>1083</v>
      </c>
      <c r="D87" s="63" t="s">
        <v>115</v>
      </c>
      <c r="E87" s="64" t="s">
        <v>24</v>
      </c>
      <c r="F87" s="64">
        <v>92</v>
      </c>
      <c r="G87" s="67">
        <v>87</v>
      </c>
    </row>
    <row r="88" spans="1:7" x14ac:dyDescent="0.25">
      <c r="A88" s="62" t="s">
        <v>1856</v>
      </c>
      <c r="B88" s="62">
        <v>84</v>
      </c>
      <c r="C88" s="62">
        <v>1084</v>
      </c>
      <c r="D88" s="63" t="s">
        <v>116</v>
      </c>
      <c r="E88" s="64" t="s">
        <v>24</v>
      </c>
      <c r="F88" s="64">
        <v>93</v>
      </c>
      <c r="G88" s="67">
        <v>88</v>
      </c>
    </row>
    <row r="89" spans="1:7" x14ac:dyDescent="0.25">
      <c r="A89" s="62" t="s">
        <v>1857</v>
      </c>
      <c r="B89" s="62">
        <v>85</v>
      </c>
      <c r="C89" s="62">
        <v>1085</v>
      </c>
      <c r="D89" s="63" t="s">
        <v>117</v>
      </c>
      <c r="E89" s="64" t="s">
        <v>24</v>
      </c>
      <c r="F89" s="64">
        <v>94</v>
      </c>
      <c r="G89" s="67">
        <v>89</v>
      </c>
    </row>
    <row r="90" spans="1:7" x14ac:dyDescent="0.25">
      <c r="A90" s="62" t="s">
        <v>1858</v>
      </c>
      <c r="B90" s="62">
        <v>86</v>
      </c>
      <c r="C90" s="62">
        <v>1086</v>
      </c>
      <c r="D90" s="63" t="s">
        <v>118</v>
      </c>
      <c r="E90" s="64" t="s">
        <v>24</v>
      </c>
      <c r="F90" s="64">
        <v>95</v>
      </c>
      <c r="G90" s="67">
        <v>90</v>
      </c>
    </row>
    <row r="91" spans="1:7" x14ac:dyDescent="0.25">
      <c r="A91" s="62" t="s">
        <v>1859</v>
      </c>
      <c r="B91" s="62">
        <v>87</v>
      </c>
      <c r="C91" s="62">
        <v>1087</v>
      </c>
      <c r="D91" s="63" t="s">
        <v>119</v>
      </c>
      <c r="E91" s="64" t="s">
        <v>24</v>
      </c>
      <c r="F91" s="64">
        <v>96</v>
      </c>
      <c r="G91" s="67">
        <v>91</v>
      </c>
    </row>
    <row r="92" spans="1:7" x14ac:dyDescent="0.25">
      <c r="A92" s="62" t="s">
        <v>1860</v>
      </c>
      <c r="B92" s="62">
        <v>88</v>
      </c>
      <c r="C92" s="62">
        <v>1088</v>
      </c>
      <c r="D92" s="63" t="s">
        <v>120</v>
      </c>
      <c r="E92" s="64" t="s">
        <v>24</v>
      </c>
      <c r="F92" s="64">
        <v>97</v>
      </c>
      <c r="G92" s="67">
        <v>92</v>
      </c>
    </row>
    <row r="93" spans="1:7" x14ac:dyDescent="0.25">
      <c r="A93" s="62" t="s">
        <v>1861</v>
      </c>
      <c r="B93" s="62">
        <v>89</v>
      </c>
      <c r="C93" s="62">
        <v>1089</v>
      </c>
      <c r="D93" s="63" t="s">
        <v>121</v>
      </c>
      <c r="E93" s="64" t="s">
        <v>24</v>
      </c>
      <c r="F93" s="64">
        <v>98</v>
      </c>
      <c r="G93" s="67">
        <v>93</v>
      </c>
    </row>
    <row r="94" spans="1:7" x14ac:dyDescent="0.25">
      <c r="A94" s="62" t="s">
        <v>1862</v>
      </c>
      <c r="B94" s="62">
        <v>90</v>
      </c>
      <c r="C94" s="62">
        <v>1090</v>
      </c>
      <c r="D94" s="63" t="s">
        <v>122</v>
      </c>
      <c r="E94" s="64" t="s">
        <v>24</v>
      </c>
      <c r="F94" s="64">
        <v>99</v>
      </c>
      <c r="G94" s="67">
        <v>94</v>
      </c>
    </row>
    <row r="95" spans="1:7" x14ac:dyDescent="0.25">
      <c r="A95" s="62" t="s">
        <v>1863</v>
      </c>
      <c r="B95" s="62">
        <v>91</v>
      </c>
      <c r="C95" s="62">
        <v>1091</v>
      </c>
      <c r="D95" s="63" t="s">
        <v>123</v>
      </c>
      <c r="E95" s="64" t="s">
        <v>24</v>
      </c>
      <c r="F95" s="64">
        <v>100</v>
      </c>
      <c r="G95" s="67">
        <v>95</v>
      </c>
    </row>
    <row r="96" spans="1:7" x14ac:dyDescent="0.25">
      <c r="A96" s="62" t="s">
        <v>1864</v>
      </c>
      <c r="B96" s="62">
        <v>92</v>
      </c>
      <c r="C96" s="62">
        <v>1092</v>
      </c>
      <c r="D96" s="63" t="s">
        <v>125</v>
      </c>
      <c r="E96" s="64" t="s">
        <v>24</v>
      </c>
      <c r="F96" s="64">
        <v>101</v>
      </c>
      <c r="G96" s="67">
        <v>96</v>
      </c>
    </row>
    <row r="97" spans="1:7" x14ac:dyDescent="0.25">
      <c r="A97" s="62" t="s">
        <v>1865</v>
      </c>
      <c r="B97" s="62">
        <v>93</v>
      </c>
      <c r="C97" s="62">
        <v>1093</v>
      </c>
      <c r="D97" s="63" t="s">
        <v>126</v>
      </c>
      <c r="E97" s="64" t="s">
        <v>24</v>
      </c>
      <c r="F97" s="64">
        <v>102</v>
      </c>
      <c r="G97" s="67">
        <v>97</v>
      </c>
    </row>
    <row r="98" spans="1:7" x14ac:dyDescent="0.25">
      <c r="A98" s="62" t="s">
        <v>1866</v>
      </c>
      <c r="B98" s="62">
        <v>94</v>
      </c>
      <c r="C98" s="62">
        <v>1094</v>
      </c>
      <c r="D98" s="63" t="s">
        <v>127</v>
      </c>
      <c r="E98" s="64" t="s">
        <v>24</v>
      </c>
      <c r="F98" s="64">
        <v>103</v>
      </c>
      <c r="G98" s="67">
        <v>98</v>
      </c>
    </row>
    <row r="99" spans="1:7" x14ac:dyDescent="0.25">
      <c r="A99" s="62" t="s">
        <v>1867</v>
      </c>
      <c r="B99" s="62">
        <v>95</v>
      </c>
      <c r="C99" s="62">
        <v>1095</v>
      </c>
      <c r="D99" s="63" t="s">
        <v>129</v>
      </c>
      <c r="E99" s="64" t="s">
        <v>24</v>
      </c>
      <c r="F99" s="64">
        <v>104</v>
      </c>
      <c r="G99" s="67">
        <v>99</v>
      </c>
    </row>
    <row r="100" spans="1:7" x14ac:dyDescent="0.25">
      <c r="A100" s="62" t="s">
        <v>1868</v>
      </c>
      <c r="B100" s="62">
        <v>96</v>
      </c>
      <c r="C100" s="62">
        <v>1096</v>
      </c>
      <c r="D100" s="63" t="s">
        <v>130</v>
      </c>
      <c r="E100" s="64" t="s">
        <v>24</v>
      </c>
      <c r="F100" s="64">
        <v>105</v>
      </c>
      <c r="G100" s="67">
        <v>100</v>
      </c>
    </row>
    <row r="101" spans="1:7" x14ac:dyDescent="0.25">
      <c r="A101" s="62" t="s">
        <v>1869</v>
      </c>
      <c r="B101" s="62">
        <v>97</v>
      </c>
      <c r="C101" s="62">
        <v>1097</v>
      </c>
      <c r="D101" s="63" t="s">
        <v>131</v>
      </c>
      <c r="E101" s="64" t="s">
        <v>24</v>
      </c>
      <c r="F101" s="64">
        <v>106</v>
      </c>
      <c r="G101" s="67">
        <v>101</v>
      </c>
    </row>
    <row r="102" spans="1:7" x14ac:dyDescent="0.25">
      <c r="A102" s="62" t="s">
        <v>1870</v>
      </c>
      <c r="B102" s="62">
        <v>98</v>
      </c>
      <c r="C102" s="62">
        <v>1098</v>
      </c>
      <c r="D102" s="63" t="s">
        <v>132</v>
      </c>
      <c r="E102" s="64" t="s">
        <v>24</v>
      </c>
      <c r="F102" s="64">
        <v>107</v>
      </c>
      <c r="G102" s="67">
        <v>102</v>
      </c>
    </row>
    <row r="103" spans="1:7" x14ac:dyDescent="0.25">
      <c r="A103" s="62" t="s">
        <v>1871</v>
      </c>
      <c r="B103" s="62">
        <v>99</v>
      </c>
      <c r="C103" s="62">
        <v>1099</v>
      </c>
      <c r="D103" s="63" t="s">
        <v>133</v>
      </c>
      <c r="E103" s="64" t="s">
        <v>24</v>
      </c>
      <c r="F103" s="64">
        <v>108</v>
      </c>
      <c r="G103" s="67">
        <v>103</v>
      </c>
    </row>
    <row r="104" spans="1:7" x14ac:dyDescent="0.25">
      <c r="A104" s="62" t="s">
        <v>1872</v>
      </c>
      <c r="B104" s="62">
        <v>100</v>
      </c>
      <c r="C104" s="62">
        <v>1100</v>
      </c>
      <c r="D104" s="63" t="s">
        <v>134</v>
      </c>
      <c r="E104" s="64" t="s">
        <v>24</v>
      </c>
      <c r="F104" s="64">
        <v>88</v>
      </c>
      <c r="G104" s="67">
        <v>104</v>
      </c>
    </row>
    <row r="105" spans="1:7" x14ac:dyDescent="0.25">
      <c r="A105" s="62" t="s">
        <v>1873</v>
      </c>
      <c r="B105" s="62">
        <v>101</v>
      </c>
      <c r="C105" s="62">
        <v>1101</v>
      </c>
      <c r="D105" s="63" t="s">
        <v>135</v>
      </c>
      <c r="E105" s="64" t="s">
        <v>24</v>
      </c>
      <c r="F105" s="64">
        <v>106</v>
      </c>
      <c r="G105" s="67">
        <v>105</v>
      </c>
    </row>
    <row r="106" spans="1:7" x14ac:dyDescent="0.25">
      <c r="A106" s="62" t="s">
        <v>1874</v>
      </c>
      <c r="B106" s="62">
        <v>102</v>
      </c>
      <c r="C106" s="62">
        <v>1102</v>
      </c>
      <c r="D106" s="63" t="s">
        <v>136</v>
      </c>
      <c r="E106" s="64" t="s">
        <v>24</v>
      </c>
      <c r="F106" s="64">
        <v>100</v>
      </c>
      <c r="G106" s="67">
        <v>106</v>
      </c>
    </row>
    <row r="107" spans="1:7" x14ac:dyDescent="0.25">
      <c r="A107" s="62" t="s">
        <v>1875</v>
      </c>
      <c r="B107" s="62">
        <v>103</v>
      </c>
      <c r="C107" s="62">
        <v>1103</v>
      </c>
      <c r="D107" s="63" t="s">
        <v>137</v>
      </c>
      <c r="E107" s="64" t="s">
        <v>24</v>
      </c>
      <c r="F107" s="64">
        <v>112</v>
      </c>
      <c r="G107" s="67">
        <v>107</v>
      </c>
    </row>
    <row r="108" spans="1:7" x14ac:dyDescent="0.25">
      <c r="A108" s="62" t="s">
        <v>1876</v>
      </c>
      <c r="B108" s="62">
        <v>104</v>
      </c>
      <c r="C108" s="62">
        <v>1104</v>
      </c>
      <c r="D108" s="63" t="s">
        <v>138</v>
      </c>
      <c r="E108" s="64" t="s">
        <v>24</v>
      </c>
      <c r="F108" s="64">
        <v>113</v>
      </c>
      <c r="G108" s="67">
        <v>108</v>
      </c>
    </row>
    <row r="109" spans="1:7" x14ac:dyDescent="0.25">
      <c r="A109" s="62" t="s">
        <v>1877</v>
      </c>
      <c r="B109" s="62">
        <v>105</v>
      </c>
      <c r="C109" s="62">
        <v>1105</v>
      </c>
      <c r="D109" s="63" t="s">
        <v>139</v>
      </c>
      <c r="E109" s="64" t="s">
        <v>24</v>
      </c>
      <c r="F109" s="64">
        <v>114</v>
      </c>
      <c r="G109" s="67">
        <v>109</v>
      </c>
    </row>
    <row r="110" spans="1:7" x14ac:dyDescent="0.25">
      <c r="A110" s="62" t="s">
        <v>1878</v>
      </c>
      <c r="B110" s="62">
        <v>106</v>
      </c>
      <c r="C110" s="62">
        <v>1106</v>
      </c>
      <c r="D110" s="63" t="s">
        <v>140</v>
      </c>
      <c r="E110" s="64" t="s">
        <v>24</v>
      </c>
      <c r="F110" s="64">
        <v>115</v>
      </c>
      <c r="G110" s="67">
        <v>110</v>
      </c>
    </row>
    <row r="111" spans="1:7" x14ac:dyDescent="0.25">
      <c r="A111" s="62" t="s">
        <v>1879</v>
      </c>
      <c r="B111" s="62">
        <v>107</v>
      </c>
      <c r="C111" s="62">
        <v>1107</v>
      </c>
      <c r="D111" s="63" t="s">
        <v>141</v>
      </c>
      <c r="E111" s="64" t="s">
        <v>24</v>
      </c>
      <c r="F111" s="64">
        <v>116</v>
      </c>
      <c r="G111" s="67">
        <v>111</v>
      </c>
    </row>
    <row r="112" spans="1:7" x14ac:dyDescent="0.25">
      <c r="A112" s="62" t="s">
        <v>1880</v>
      </c>
      <c r="B112" s="62">
        <v>108</v>
      </c>
      <c r="C112" s="62">
        <v>1108</v>
      </c>
      <c r="D112" s="63" t="s">
        <v>142</v>
      </c>
      <c r="E112" s="64" t="s">
        <v>24</v>
      </c>
      <c r="F112" s="64">
        <v>98</v>
      </c>
      <c r="G112" s="67">
        <v>112</v>
      </c>
    </row>
    <row r="113" spans="1:7" x14ac:dyDescent="0.25">
      <c r="A113" s="62" t="s">
        <v>1881</v>
      </c>
      <c r="B113" s="62">
        <v>109</v>
      </c>
      <c r="C113" s="62">
        <v>1109</v>
      </c>
      <c r="D113" s="63" t="s">
        <v>143</v>
      </c>
      <c r="E113" s="64" t="s">
        <v>24</v>
      </c>
      <c r="F113" s="64">
        <v>101</v>
      </c>
      <c r="G113" s="67">
        <v>113</v>
      </c>
    </row>
    <row r="114" spans="1:7" x14ac:dyDescent="0.25">
      <c r="A114" s="62" t="s">
        <v>1882</v>
      </c>
      <c r="B114" s="62">
        <v>110</v>
      </c>
      <c r="C114" s="62">
        <v>1110</v>
      </c>
      <c r="D114" s="63" t="s">
        <v>144</v>
      </c>
      <c r="E114" s="64" t="s">
        <v>24</v>
      </c>
      <c r="F114" s="64">
        <v>119</v>
      </c>
      <c r="G114" s="67">
        <v>114</v>
      </c>
    </row>
    <row r="115" spans="1:7" x14ac:dyDescent="0.25">
      <c r="A115" s="62" t="s">
        <v>1883</v>
      </c>
      <c r="B115" s="62">
        <v>111</v>
      </c>
      <c r="C115" s="62">
        <v>1111</v>
      </c>
      <c r="D115" s="63" t="s">
        <v>145</v>
      </c>
      <c r="E115" s="64" t="s">
        <v>24</v>
      </c>
      <c r="F115" s="64">
        <v>120</v>
      </c>
      <c r="G115" s="67">
        <v>115</v>
      </c>
    </row>
    <row r="116" spans="1:7" x14ac:dyDescent="0.25">
      <c r="A116" s="62" t="s">
        <v>1884</v>
      </c>
      <c r="B116" s="62">
        <v>112</v>
      </c>
      <c r="C116" s="62">
        <v>1112</v>
      </c>
      <c r="D116" s="63" t="s">
        <v>146</v>
      </c>
      <c r="E116" s="64" t="s">
        <v>24</v>
      </c>
      <c r="F116" s="64">
        <v>121</v>
      </c>
      <c r="G116" s="67">
        <v>116</v>
      </c>
    </row>
    <row r="117" spans="1:7" x14ac:dyDescent="0.25">
      <c r="A117" s="62" t="s">
        <v>1885</v>
      </c>
      <c r="B117" s="62">
        <v>113</v>
      </c>
      <c r="C117" s="62">
        <v>1113</v>
      </c>
      <c r="D117" s="63" t="s">
        <v>147</v>
      </c>
      <c r="E117" s="64" t="s">
        <v>24</v>
      </c>
      <c r="F117" s="64">
        <v>122</v>
      </c>
      <c r="G117" s="67">
        <v>117</v>
      </c>
    </row>
    <row r="118" spans="1:7" x14ac:dyDescent="0.25">
      <c r="A118" s="62" t="s">
        <v>1886</v>
      </c>
      <c r="B118" s="62">
        <v>114</v>
      </c>
      <c r="C118" s="62">
        <v>1114</v>
      </c>
      <c r="D118" s="63" t="s">
        <v>148</v>
      </c>
      <c r="E118" s="64" t="s">
        <v>24</v>
      </c>
      <c r="F118" s="64">
        <v>123</v>
      </c>
      <c r="G118" s="67">
        <v>118</v>
      </c>
    </row>
    <row r="119" spans="1:7" x14ac:dyDescent="0.25">
      <c r="A119" s="62" t="s">
        <v>1887</v>
      </c>
      <c r="B119" s="62">
        <v>115</v>
      </c>
      <c r="C119" s="62">
        <v>1115</v>
      </c>
      <c r="D119" s="63" t="s">
        <v>149</v>
      </c>
      <c r="E119" s="64" t="s">
        <v>24</v>
      </c>
      <c r="F119" s="64">
        <v>124</v>
      </c>
      <c r="G119" s="67">
        <v>119</v>
      </c>
    </row>
    <row r="120" spans="1:7" x14ac:dyDescent="0.25">
      <c r="A120" s="62" t="s">
        <v>1888</v>
      </c>
      <c r="B120" s="62">
        <v>116</v>
      </c>
      <c r="C120" s="62">
        <v>1116</v>
      </c>
      <c r="D120" s="63" t="s">
        <v>150</v>
      </c>
      <c r="E120" s="64" t="s">
        <v>24</v>
      </c>
      <c r="F120" s="64">
        <v>125</v>
      </c>
      <c r="G120" s="67">
        <v>120</v>
      </c>
    </row>
    <row r="121" spans="1:7" x14ac:dyDescent="0.25">
      <c r="A121" s="62" t="s">
        <v>1889</v>
      </c>
      <c r="B121" s="62">
        <v>117</v>
      </c>
      <c r="C121" s="62">
        <v>1117</v>
      </c>
      <c r="D121" s="63" t="s">
        <v>151</v>
      </c>
      <c r="E121" s="64" t="s">
        <v>24</v>
      </c>
      <c r="F121" s="64">
        <v>126</v>
      </c>
      <c r="G121" s="67">
        <v>121</v>
      </c>
    </row>
    <row r="122" spans="1:7" x14ac:dyDescent="0.25">
      <c r="A122" s="62" t="s">
        <v>1890</v>
      </c>
      <c r="B122" s="62">
        <v>118</v>
      </c>
      <c r="C122" s="62">
        <v>1118</v>
      </c>
      <c r="D122" s="63" t="s">
        <v>152</v>
      </c>
      <c r="E122" s="64" t="s">
        <v>24</v>
      </c>
      <c r="F122" s="64">
        <v>127</v>
      </c>
      <c r="G122" s="67">
        <v>122</v>
      </c>
    </row>
    <row r="123" spans="1:7" x14ac:dyDescent="0.25">
      <c r="A123" s="62" t="s">
        <v>1891</v>
      </c>
      <c r="B123" s="62">
        <v>119</v>
      </c>
      <c r="C123" s="62">
        <v>1119</v>
      </c>
      <c r="D123" s="63" t="s">
        <v>153</v>
      </c>
      <c r="E123" s="64" t="s">
        <v>24</v>
      </c>
      <c r="F123" s="64">
        <v>128</v>
      </c>
      <c r="G123" s="67">
        <v>123</v>
      </c>
    </row>
    <row r="124" spans="1:7" x14ac:dyDescent="0.25">
      <c r="A124" s="62" t="s">
        <v>1892</v>
      </c>
      <c r="B124" s="62">
        <v>120</v>
      </c>
      <c r="C124" s="62">
        <v>1120</v>
      </c>
      <c r="D124" s="63" t="s">
        <v>154</v>
      </c>
      <c r="E124" s="64" t="s">
        <v>24</v>
      </c>
      <c r="F124" s="64">
        <v>129</v>
      </c>
      <c r="G124" s="67">
        <v>124</v>
      </c>
    </row>
    <row r="125" spans="1:7" x14ac:dyDescent="0.25">
      <c r="A125" s="62" t="s">
        <v>1893</v>
      </c>
      <c r="B125" s="62">
        <v>121</v>
      </c>
      <c r="C125" s="62">
        <v>1121</v>
      </c>
      <c r="D125" s="63" t="s">
        <v>155</v>
      </c>
      <c r="E125" s="64" t="s">
        <v>24</v>
      </c>
      <c r="F125" s="64">
        <v>130</v>
      </c>
      <c r="G125" s="67">
        <v>125</v>
      </c>
    </row>
    <row r="126" spans="1:7" x14ac:dyDescent="0.25">
      <c r="A126" s="62" t="s">
        <v>1894</v>
      </c>
      <c r="B126" s="62">
        <v>122</v>
      </c>
      <c r="C126" s="62">
        <v>1122</v>
      </c>
      <c r="D126" s="63" t="s">
        <v>156</v>
      </c>
      <c r="E126" s="64" t="s">
        <v>24</v>
      </c>
      <c r="F126" s="64">
        <v>131</v>
      </c>
      <c r="G126" s="67">
        <v>126</v>
      </c>
    </row>
    <row r="127" spans="1:7" x14ac:dyDescent="0.25">
      <c r="A127" s="62" t="s">
        <v>1895</v>
      </c>
      <c r="B127" s="62">
        <v>123</v>
      </c>
      <c r="C127" s="62">
        <v>1123</v>
      </c>
      <c r="D127" s="63" t="s">
        <v>157</v>
      </c>
      <c r="E127" s="64" t="s">
        <v>24</v>
      </c>
      <c r="F127" s="64">
        <v>132</v>
      </c>
      <c r="G127" s="67">
        <v>127</v>
      </c>
    </row>
    <row r="128" spans="1:7" x14ac:dyDescent="0.25">
      <c r="A128" s="62" t="s">
        <v>1896</v>
      </c>
      <c r="B128" s="62">
        <v>124</v>
      </c>
      <c r="C128" s="62">
        <v>1124</v>
      </c>
      <c r="D128" s="63" t="s">
        <v>158</v>
      </c>
      <c r="E128" s="64" t="s">
        <v>24</v>
      </c>
      <c r="F128" s="64">
        <v>133</v>
      </c>
      <c r="G128" s="67">
        <v>128</v>
      </c>
    </row>
    <row r="129" spans="1:7" x14ac:dyDescent="0.25">
      <c r="A129" s="62" t="s">
        <v>1897</v>
      </c>
      <c r="B129" s="62">
        <v>125</v>
      </c>
      <c r="C129" s="62">
        <v>1125</v>
      </c>
      <c r="D129" s="63" t="s">
        <v>159</v>
      </c>
      <c r="E129" s="64" t="s">
        <v>24</v>
      </c>
      <c r="F129" s="64">
        <v>134</v>
      </c>
      <c r="G129" s="67">
        <v>129</v>
      </c>
    </row>
    <row r="130" spans="1:7" x14ac:dyDescent="0.25">
      <c r="A130" s="62" t="s">
        <v>1898</v>
      </c>
      <c r="B130" s="62">
        <v>126</v>
      </c>
      <c r="C130" s="62">
        <v>1126</v>
      </c>
      <c r="D130" s="63" t="s">
        <v>160</v>
      </c>
      <c r="E130" s="64" t="s">
        <v>24</v>
      </c>
      <c r="F130" s="64">
        <v>135</v>
      </c>
      <c r="G130" s="67">
        <v>130</v>
      </c>
    </row>
    <row r="131" spans="1:7" x14ac:dyDescent="0.25">
      <c r="A131" s="62" t="s">
        <v>1899</v>
      </c>
      <c r="B131" s="62">
        <v>127</v>
      </c>
      <c r="C131" s="62">
        <v>1127</v>
      </c>
      <c r="D131" s="63" t="s">
        <v>161</v>
      </c>
      <c r="E131" s="64" t="s">
        <v>24</v>
      </c>
      <c r="F131" s="64">
        <v>130</v>
      </c>
      <c r="G131" s="67">
        <v>131</v>
      </c>
    </row>
    <row r="132" spans="1:7" x14ac:dyDescent="0.25">
      <c r="A132" s="62" t="s">
        <v>1900</v>
      </c>
      <c r="B132" s="62">
        <v>128</v>
      </c>
      <c r="C132" s="62">
        <v>1128</v>
      </c>
      <c r="D132" s="63" t="s">
        <v>162</v>
      </c>
      <c r="E132" s="64" t="s">
        <v>24</v>
      </c>
      <c r="F132" s="64">
        <v>137</v>
      </c>
      <c r="G132" s="67">
        <v>132</v>
      </c>
    </row>
    <row r="133" spans="1:7" x14ac:dyDescent="0.25">
      <c r="A133" s="62" t="s">
        <v>1901</v>
      </c>
      <c r="B133" s="62">
        <v>129</v>
      </c>
      <c r="C133" s="62">
        <v>1129</v>
      </c>
      <c r="D133" s="63" t="s">
        <v>163</v>
      </c>
      <c r="E133" s="64" t="s">
        <v>24</v>
      </c>
      <c r="F133" s="64">
        <v>138</v>
      </c>
      <c r="G133" s="67">
        <v>133</v>
      </c>
    </row>
    <row r="134" spans="1:7" x14ac:dyDescent="0.25">
      <c r="A134" s="62" t="s">
        <v>1902</v>
      </c>
      <c r="B134" s="62">
        <v>130</v>
      </c>
      <c r="C134" s="62">
        <v>1130</v>
      </c>
      <c r="D134" s="63" t="s">
        <v>164</v>
      </c>
      <c r="E134" s="64" t="s">
        <v>24</v>
      </c>
      <c r="F134" s="64">
        <v>139</v>
      </c>
      <c r="G134" s="67">
        <v>134</v>
      </c>
    </row>
    <row r="135" spans="1:7" x14ac:dyDescent="0.25">
      <c r="A135" s="62" t="s">
        <v>1903</v>
      </c>
      <c r="B135" s="62">
        <v>131</v>
      </c>
      <c r="C135" s="62">
        <v>1131</v>
      </c>
      <c r="D135" s="63" t="s">
        <v>165</v>
      </c>
      <c r="E135" s="64" t="s">
        <v>24</v>
      </c>
      <c r="F135" s="64">
        <v>140</v>
      </c>
      <c r="G135" s="67">
        <v>135</v>
      </c>
    </row>
    <row r="136" spans="1:7" x14ac:dyDescent="0.25">
      <c r="A136" s="62" t="s">
        <v>1904</v>
      </c>
      <c r="B136" s="62">
        <v>132</v>
      </c>
      <c r="C136" s="62">
        <v>1132</v>
      </c>
      <c r="D136" s="63" t="s">
        <v>166</v>
      </c>
      <c r="E136" s="64" t="s">
        <v>24</v>
      </c>
      <c r="F136" s="64">
        <v>141</v>
      </c>
      <c r="G136" s="67">
        <v>136</v>
      </c>
    </row>
    <row r="137" spans="1:7" x14ac:dyDescent="0.25">
      <c r="A137" s="62" t="s">
        <v>1905</v>
      </c>
      <c r="B137" s="62">
        <v>133</v>
      </c>
      <c r="C137" s="62">
        <v>1133</v>
      </c>
      <c r="D137" s="63" t="s">
        <v>167</v>
      </c>
      <c r="E137" s="64" t="s">
        <v>24</v>
      </c>
      <c r="F137" s="64">
        <v>142</v>
      </c>
      <c r="G137" s="67">
        <v>137</v>
      </c>
    </row>
    <row r="138" spans="1:7" x14ac:dyDescent="0.25">
      <c r="A138" s="62" t="s">
        <v>1906</v>
      </c>
      <c r="B138" s="62">
        <v>134</v>
      </c>
      <c r="C138" s="62">
        <v>1134</v>
      </c>
      <c r="D138" s="63" t="s">
        <v>168</v>
      </c>
      <c r="E138" s="64" t="s">
        <v>24</v>
      </c>
      <c r="F138" s="64">
        <v>133</v>
      </c>
      <c r="G138" s="67">
        <v>138</v>
      </c>
    </row>
    <row r="139" spans="1:7" x14ac:dyDescent="0.25">
      <c r="A139" s="62" t="s">
        <v>1907</v>
      </c>
      <c r="B139" s="62">
        <v>135</v>
      </c>
      <c r="C139" s="62">
        <v>1135</v>
      </c>
      <c r="D139" s="63" t="s">
        <v>169</v>
      </c>
      <c r="E139" s="64" t="s">
        <v>24</v>
      </c>
      <c r="F139" s="64">
        <v>144</v>
      </c>
      <c r="G139" s="67">
        <v>139</v>
      </c>
    </row>
    <row r="140" spans="1:7" x14ac:dyDescent="0.25">
      <c r="A140" s="62" t="s">
        <v>1908</v>
      </c>
      <c r="B140" s="62">
        <v>136</v>
      </c>
      <c r="C140" s="62">
        <v>1136</v>
      </c>
      <c r="D140" s="63" t="s">
        <v>170</v>
      </c>
      <c r="E140" s="64" t="s">
        <v>24</v>
      </c>
      <c r="F140" s="64">
        <v>145</v>
      </c>
      <c r="G140" s="67">
        <v>140</v>
      </c>
    </row>
    <row r="141" spans="1:7" x14ac:dyDescent="0.25">
      <c r="A141" s="62" t="s">
        <v>1909</v>
      </c>
      <c r="B141" s="62">
        <v>137</v>
      </c>
      <c r="C141" s="62">
        <v>1137</v>
      </c>
      <c r="D141" s="63" t="s">
        <v>171</v>
      </c>
      <c r="E141" s="64" t="s">
        <v>24</v>
      </c>
      <c r="F141" s="64">
        <v>146</v>
      </c>
      <c r="G141" s="67">
        <v>141</v>
      </c>
    </row>
    <row r="142" spans="1:7" x14ac:dyDescent="0.25">
      <c r="A142" s="62" t="s">
        <v>1910</v>
      </c>
      <c r="B142" s="62">
        <v>138</v>
      </c>
      <c r="C142" s="62">
        <v>1138</v>
      </c>
      <c r="D142" s="63" t="s">
        <v>172</v>
      </c>
      <c r="E142" s="64" t="s">
        <v>24</v>
      </c>
      <c r="F142" s="64">
        <v>147</v>
      </c>
      <c r="G142" s="67">
        <v>142</v>
      </c>
    </row>
    <row r="143" spans="1:7" x14ac:dyDescent="0.25">
      <c r="A143" s="62" t="s">
        <v>1911</v>
      </c>
      <c r="B143" s="62">
        <v>139</v>
      </c>
      <c r="C143" s="62">
        <v>1139</v>
      </c>
      <c r="D143" s="63" t="s">
        <v>173</v>
      </c>
      <c r="E143" s="64" t="s">
        <v>24</v>
      </c>
      <c r="F143" s="64">
        <v>148</v>
      </c>
      <c r="G143" s="67">
        <v>143</v>
      </c>
    </row>
    <row r="144" spans="1:7" x14ac:dyDescent="0.25">
      <c r="A144" s="62" t="s">
        <v>1912</v>
      </c>
      <c r="B144" s="62">
        <v>143</v>
      </c>
      <c r="C144" s="62">
        <v>1140</v>
      </c>
      <c r="D144" s="63" t="s">
        <v>174</v>
      </c>
      <c r="E144" s="64" t="s">
        <v>24</v>
      </c>
      <c r="F144" s="64">
        <v>149</v>
      </c>
      <c r="G144" s="67">
        <v>144</v>
      </c>
    </row>
    <row r="145" spans="1:7" x14ac:dyDescent="0.25">
      <c r="A145" s="62" t="s">
        <v>1913</v>
      </c>
      <c r="B145" s="62">
        <v>144</v>
      </c>
      <c r="C145" s="62">
        <v>1141</v>
      </c>
      <c r="D145" s="63" t="s">
        <v>175</v>
      </c>
      <c r="E145" s="64" t="s">
        <v>176</v>
      </c>
      <c r="F145" s="64">
        <v>150</v>
      </c>
      <c r="G145" s="67">
        <v>145</v>
      </c>
    </row>
    <row r="146" spans="1:7" x14ac:dyDescent="0.25">
      <c r="A146" s="62" t="s">
        <v>1914</v>
      </c>
      <c r="B146" s="62">
        <v>145</v>
      </c>
      <c r="C146" s="62">
        <v>1142</v>
      </c>
      <c r="D146" s="63" t="s">
        <v>177</v>
      </c>
      <c r="E146" s="64" t="s">
        <v>176</v>
      </c>
      <c r="F146" s="64">
        <v>151</v>
      </c>
      <c r="G146" s="67">
        <v>146</v>
      </c>
    </row>
    <row r="147" spans="1:7" x14ac:dyDescent="0.25">
      <c r="A147" s="62" t="s">
        <v>1915</v>
      </c>
      <c r="B147" s="62">
        <v>146</v>
      </c>
      <c r="C147" s="62">
        <v>1143</v>
      </c>
      <c r="D147" s="63" t="s">
        <v>178</v>
      </c>
      <c r="E147" s="64" t="s">
        <v>176</v>
      </c>
      <c r="F147" s="64">
        <v>152</v>
      </c>
      <c r="G147" s="67">
        <v>147</v>
      </c>
    </row>
    <row r="148" spans="1:7" x14ac:dyDescent="0.25">
      <c r="A148" s="62" t="s">
        <v>1916</v>
      </c>
      <c r="B148" s="62">
        <v>147</v>
      </c>
      <c r="C148" s="62">
        <v>1144</v>
      </c>
      <c r="D148" s="63" t="s">
        <v>179</v>
      </c>
      <c r="E148" s="64" t="s">
        <v>24</v>
      </c>
      <c r="F148" s="64">
        <v>153</v>
      </c>
      <c r="G148" s="67">
        <v>148</v>
      </c>
    </row>
    <row r="149" spans="1:7" x14ac:dyDescent="0.25">
      <c r="A149" s="62" t="s">
        <v>1917</v>
      </c>
      <c r="B149" s="62">
        <v>148</v>
      </c>
      <c r="C149" s="62">
        <v>1145</v>
      </c>
      <c r="D149" s="63" t="s">
        <v>180</v>
      </c>
      <c r="E149" s="64" t="s">
        <v>24</v>
      </c>
      <c r="F149" s="64">
        <v>154</v>
      </c>
      <c r="G149" s="67">
        <v>149</v>
      </c>
    </row>
    <row r="150" spans="1:7" x14ac:dyDescent="0.25">
      <c r="A150" s="62" t="s">
        <v>1918</v>
      </c>
      <c r="B150" s="62">
        <v>149</v>
      </c>
      <c r="C150" s="62">
        <v>1146</v>
      </c>
      <c r="D150" s="63" t="s">
        <v>181</v>
      </c>
      <c r="E150" s="64" t="s">
        <v>24</v>
      </c>
      <c r="F150" s="64">
        <v>150</v>
      </c>
      <c r="G150" s="67">
        <v>150</v>
      </c>
    </row>
    <row r="151" spans="1:7" x14ac:dyDescent="0.25">
      <c r="A151" s="62" t="s">
        <v>1919</v>
      </c>
      <c r="B151" s="62">
        <v>150</v>
      </c>
      <c r="C151" s="62">
        <v>1147</v>
      </c>
      <c r="D151" s="63" t="s">
        <v>182</v>
      </c>
      <c r="E151" s="64" t="s">
        <v>176</v>
      </c>
      <c r="F151" s="64">
        <v>156</v>
      </c>
      <c r="G151" s="67">
        <v>151</v>
      </c>
    </row>
    <row r="152" spans="1:7" x14ac:dyDescent="0.25">
      <c r="A152" s="62" t="s">
        <v>1920</v>
      </c>
      <c r="B152" s="62">
        <v>151</v>
      </c>
      <c r="C152" s="62">
        <v>1148</v>
      </c>
      <c r="D152" s="63" t="s">
        <v>183</v>
      </c>
      <c r="E152" s="64" t="s">
        <v>176</v>
      </c>
      <c r="F152" s="64">
        <v>157</v>
      </c>
      <c r="G152" s="67">
        <v>152</v>
      </c>
    </row>
    <row r="153" spans="1:7" x14ac:dyDescent="0.25">
      <c r="A153" s="62" t="s">
        <v>1921</v>
      </c>
      <c r="B153" s="62">
        <v>152</v>
      </c>
      <c r="C153" s="62">
        <v>1149</v>
      </c>
      <c r="D153" s="63" t="s">
        <v>184</v>
      </c>
      <c r="E153" s="64" t="s">
        <v>176</v>
      </c>
      <c r="F153" s="64">
        <v>158</v>
      </c>
      <c r="G153" s="67">
        <v>153</v>
      </c>
    </row>
    <row r="154" spans="1:7" x14ac:dyDescent="0.25">
      <c r="A154" s="62" t="s">
        <v>1922</v>
      </c>
      <c r="B154" s="62">
        <v>153</v>
      </c>
      <c r="C154" s="62">
        <v>1150</v>
      </c>
      <c r="D154" s="63" t="s">
        <v>185</v>
      </c>
      <c r="E154" s="64" t="s">
        <v>176</v>
      </c>
      <c r="F154" s="64">
        <v>159</v>
      </c>
      <c r="G154" s="67">
        <v>154</v>
      </c>
    </row>
    <row r="155" spans="1:7" x14ac:dyDescent="0.25">
      <c r="A155" s="62" t="s">
        <v>1923</v>
      </c>
      <c r="B155" s="62">
        <v>154</v>
      </c>
      <c r="C155" s="62">
        <v>1151</v>
      </c>
      <c r="D155" s="63" t="s">
        <v>186</v>
      </c>
      <c r="E155" s="64" t="s">
        <v>176</v>
      </c>
      <c r="F155" s="64">
        <v>160</v>
      </c>
      <c r="G155" s="67">
        <v>155</v>
      </c>
    </row>
    <row r="156" spans="1:7" x14ac:dyDescent="0.25">
      <c r="A156" s="62" t="s">
        <v>1924</v>
      </c>
      <c r="B156" s="62">
        <v>155</v>
      </c>
      <c r="C156" s="62">
        <v>1152</v>
      </c>
      <c r="D156" s="63" t="s">
        <v>187</v>
      </c>
      <c r="E156" s="64" t="s">
        <v>24</v>
      </c>
      <c r="F156" s="64">
        <v>161</v>
      </c>
      <c r="G156" s="67">
        <v>156</v>
      </c>
    </row>
    <row r="157" spans="1:7" x14ac:dyDescent="0.25">
      <c r="A157" s="62" t="s">
        <v>1925</v>
      </c>
      <c r="B157" s="62">
        <v>156</v>
      </c>
      <c r="C157" s="62">
        <v>1153</v>
      </c>
      <c r="D157" s="63" t="s">
        <v>188</v>
      </c>
      <c r="E157" s="64" t="s">
        <v>24</v>
      </c>
      <c r="F157" s="64">
        <v>162</v>
      </c>
      <c r="G157" s="67">
        <v>157</v>
      </c>
    </row>
    <row r="158" spans="1:7" x14ac:dyDescent="0.25">
      <c r="A158" s="62" t="s">
        <v>1926</v>
      </c>
      <c r="B158" s="62">
        <v>157</v>
      </c>
      <c r="C158" s="62">
        <v>1154</v>
      </c>
      <c r="D158" s="63" t="s">
        <v>189</v>
      </c>
      <c r="E158" s="64" t="s">
        <v>24</v>
      </c>
      <c r="F158" s="64">
        <v>163</v>
      </c>
      <c r="G158" s="67">
        <v>158</v>
      </c>
    </row>
    <row r="159" spans="1:7" x14ac:dyDescent="0.25">
      <c r="A159" s="62" t="s">
        <v>1927</v>
      </c>
      <c r="B159" s="62">
        <v>158</v>
      </c>
      <c r="C159" s="62">
        <v>1155</v>
      </c>
      <c r="D159" s="63" t="s">
        <v>190</v>
      </c>
      <c r="E159" s="64" t="s">
        <v>24</v>
      </c>
      <c r="F159" s="64">
        <v>160</v>
      </c>
      <c r="G159" s="67">
        <v>159</v>
      </c>
    </row>
    <row r="160" spans="1:7" x14ac:dyDescent="0.25">
      <c r="A160" s="62" t="s">
        <v>1928</v>
      </c>
      <c r="B160" s="62">
        <v>159</v>
      </c>
      <c r="C160" s="62">
        <v>1156</v>
      </c>
      <c r="D160" s="63" t="s">
        <v>191</v>
      </c>
      <c r="E160" s="64" t="s">
        <v>24</v>
      </c>
      <c r="F160" s="64">
        <v>165</v>
      </c>
      <c r="G160" s="67">
        <v>160</v>
      </c>
    </row>
    <row r="161" spans="1:7" x14ac:dyDescent="0.25">
      <c r="A161" s="62" t="s">
        <v>1929</v>
      </c>
      <c r="B161" s="62">
        <v>160</v>
      </c>
      <c r="C161" s="62">
        <v>1157</v>
      </c>
      <c r="D161" s="63" t="s">
        <v>192</v>
      </c>
      <c r="E161" s="64" t="s">
        <v>24</v>
      </c>
      <c r="F161" s="64">
        <v>166</v>
      </c>
      <c r="G161" s="67">
        <v>161</v>
      </c>
    </row>
    <row r="162" spans="1:7" x14ac:dyDescent="0.25">
      <c r="A162" s="62" t="s">
        <v>1930</v>
      </c>
      <c r="B162" s="62">
        <v>161</v>
      </c>
      <c r="C162" s="62">
        <v>1158</v>
      </c>
      <c r="D162" s="63" t="s">
        <v>193</v>
      </c>
      <c r="E162" s="64" t="s">
        <v>24</v>
      </c>
      <c r="F162" s="64">
        <v>163</v>
      </c>
      <c r="G162" s="67">
        <v>162</v>
      </c>
    </row>
    <row r="163" spans="1:7" x14ac:dyDescent="0.25">
      <c r="A163" s="62" t="s">
        <v>1931</v>
      </c>
      <c r="B163" s="62">
        <v>162</v>
      </c>
      <c r="C163" s="62">
        <v>1159</v>
      </c>
      <c r="D163" s="63" t="s">
        <v>194</v>
      </c>
      <c r="E163" s="64" t="s">
        <v>24</v>
      </c>
      <c r="F163" s="64">
        <v>159</v>
      </c>
      <c r="G163" s="67">
        <v>163</v>
      </c>
    </row>
    <row r="164" spans="1:7" x14ac:dyDescent="0.25">
      <c r="A164" s="62" t="s">
        <v>1932</v>
      </c>
      <c r="B164" s="62">
        <v>163</v>
      </c>
      <c r="C164" s="62">
        <v>1160</v>
      </c>
      <c r="D164" s="63" t="s">
        <v>195</v>
      </c>
      <c r="E164" s="64" t="s">
        <v>24</v>
      </c>
      <c r="F164" s="64">
        <v>169</v>
      </c>
      <c r="G164" s="67">
        <v>164</v>
      </c>
    </row>
    <row r="165" spans="1:7" x14ac:dyDescent="0.25">
      <c r="A165" s="62" t="s">
        <v>1933</v>
      </c>
      <c r="B165" s="62">
        <v>164</v>
      </c>
      <c r="C165" s="62">
        <v>1161</v>
      </c>
      <c r="D165" s="63" t="s">
        <v>196</v>
      </c>
      <c r="E165" s="64" t="s">
        <v>24</v>
      </c>
      <c r="F165" s="64">
        <v>170</v>
      </c>
      <c r="G165" s="67">
        <v>165</v>
      </c>
    </row>
    <row r="166" spans="1:7" x14ac:dyDescent="0.25">
      <c r="A166" s="62" t="s">
        <v>1934</v>
      </c>
      <c r="B166" s="62">
        <v>165</v>
      </c>
      <c r="C166" s="62">
        <v>1162</v>
      </c>
      <c r="D166" s="63" t="s">
        <v>197</v>
      </c>
      <c r="E166" s="64" t="s">
        <v>24</v>
      </c>
      <c r="F166" s="64">
        <v>171</v>
      </c>
      <c r="G166" s="67">
        <v>166</v>
      </c>
    </row>
    <row r="167" spans="1:7" x14ac:dyDescent="0.25">
      <c r="A167" s="62" t="s">
        <v>1935</v>
      </c>
      <c r="B167" s="62">
        <v>166</v>
      </c>
      <c r="C167" s="62">
        <v>1163</v>
      </c>
      <c r="D167" s="63" t="s">
        <v>198</v>
      </c>
      <c r="E167" s="64" t="s">
        <v>24</v>
      </c>
      <c r="F167" s="64">
        <v>172</v>
      </c>
      <c r="G167" s="67">
        <v>167</v>
      </c>
    </row>
    <row r="168" spans="1:7" x14ac:dyDescent="0.25">
      <c r="A168" s="62" t="s">
        <v>1936</v>
      </c>
      <c r="B168" s="62">
        <v>167</v>
      </c>
      <c r="C168" s="62">
        <v>1164</v>
      </c>
      <c r="D168" s="63" t="s">
        <v>199</v>
      </c>
      <c r="E168" s="64" t="s">
        <v>24</v>
      </c>
      <c r="F168" s="64">
        <v>173</v>
      </c>
      <c r="G168" s="67">
        <v>168</v>
      </c>
    </row>
    <row r="169" spans="1:7" x14ac:dyDescent="0.25">
      <c r="A169" s="62" t="s">
        <v>1937</v>
      </c>
      <c r="B169" s="62">
        <v>168</v>
      </c>
      <c r="C169" s="62">
        <v>1165</v>
      </c>
      <c r="D169" s="63" t="s">
        <v>200</v>
      </c>
      <c r="E169" s="64" t="s">
        <v>24</v>
      </c>
      <c r="F169" s="64">
        <v>174</v>
      </c>
      <c r="G169" s="67">
        <v>169</v>
      </c>
    </row>
    <row r="170" spans="1:7" x14ac:dyDescent="0.25">
      <c r="A170" s="62" t="s">
        <v>1938</v>
      </c>
      <c r="B170" s="62">
        <v>169</v>
      </c>
      <c r="C170" s="62">
        <v>1166</v>
      </c>
      <c r="D170" s="63" t="s">
        <v>201</v>
      </c>
      <c r="E170" s="64" t="s">
        <v>24</v>
      </c>
      <c r="F170" s="64">
        <v>175</v>
      </c>
      <c r="G170" s="67">
        <v>170</v>
      </c>
    </row>
    <row r="171" spans="1:7" x14ac:dyDescent="0.25">
      <c r="A171" s="62" t="s">
        <v>1939</v>
      </c>
      <c r="B171" s="62">
        <v>170</v>
      </c>
      <c r="C171" s="62">
        <v>1167</v>
      </c>
      <c r="D171" s="63" t="s">
        <v>202</v>
      </c>
      <c r="E171" s="64" t="s">
        <v>24</v>
      </c>
      <c r="F171" s="64">
        <v>176</v>
      </c>
      <c r="G171" s="67">
        <v>171</v>
      </c>
    </row>
    <row r="172" spans="1:7" x14ac:dyDescent="0.25">
      <c r="A172" s="62" t="s">
        <v>1940</v>
      </c>
      <c r="B172" s="62">
        <v>171</v>
      </c>
      <c r="C172" s="62">
        <v>1168</v>
      </c>
      <c r="D172" s="63" t="s">
        <v>203</v>
      </c>
      <c r="E172" s="64" t="s">
        <v>24</v>
      </c>
      <c r="F172" s="64">
        <v>175</v>
      </c>
      <c r="G172" s="67">
        <v>172</v>
      </c>
    </row>
    <row r="173" spans="1:7" x14ac:dyDescent="0.25">
      <c r="A173" s="62" t="s">
        <v>1941</v>
      </c>
      <c r="B173" s="62">
        <v>172</v>
      </c>
      <c r="C173" s="62">
        <v>1169</v>
      </c>
      <c r="D173" s="63" t="s">
        <v>204</v>
      </c>
      <c r="E173" s="64" t="s">
        <v>24</v>
      </c>
      <c r="F173" s="64">
        <v>164</v>
      </c>
      <c r="G173" s="67">
        <v>173</v>
      </c>
    </row>
    <row r="174" spans="1:7" x14ac:dyDescent="0.25">
      <c r="A174" s="62" t="s">
        <v>1942</v>
      </c>
      <c r="B174" s="62">
        <v>173</v>
      </c>
      <c r="C174" s="62">
        <v>1170</v>
      </c>
      <c r="D174" s="63" t="s">
        <v>205</v>
      </c>
      <c r="E174" s="64" t="s">
        <v>24</v>
      </c>
      <c r="F174" s="64">
        <v>179</v>
      </c>
      <c r="G174" s="67">
        <v>174</v>
      </c>
    </row>
    <row r="175" spans="1:7" x14ac:dyDescent="0.25">
      <c r="A175" s="62" t="s">
        <v>1943</v>
      </c>
      <c r="B175" s="62">
        <v>174</v>
      </c>
      <c r="C175" s="62">
        <v>1171</v>
      </c>
      <c r="D175" s="63" t="s">
        <v>206</v>
      </c>
      <c r="E175" s="64" t="s">
        <v>24</v>
      </c>
      <c r="F175" s="64">
        <v>180</v>
      </c>
      <c r="G175" s="67">
        <v>175</v>
      </c>
    </row>
    <row r="176" spans="1:7" x14ac:dyDescent="0.25">
      <c r="A176" s="62" t="s">
        <v>1944</v>
      </c>
      <c r="B176" s="62">
        <v>175</v>
      </c>
      <c r="C176" s="62">
        <v>1172</v>
      </c>
      <c r="D176" s="63" t="s">
        <v>207</v>
      </c>
      <c r="E176" s="64" t="s">
        <v>24</v>
      </c>
      <c r="F176" s="64">
        <v>181</v>
      </c>
      <c r="G176" s="67">
        <v>176</v>
      </c>
    </row>
    <row r="177" spans="1:7" x14ac:dyDescent="0.25">
      <c r="A177" s="62" t="s">
        <v>1945</v>
      </c>
      <c r="B177" s="62">
        <v>176</v>
      </c>
      <c r="C177" s="62">
        <v>1173</v>
      </c>
      <c r="D177" s="63" t="s">
        <v>208</v>
      </c>
      <c r="E177" s="64" t="s">
        <v>24</v>
      </c>
      <c r="F177" s="64">
        <v>182</v>
      </c>
      <c r="G177" s="67">
        <v>177</v>
      </c>
    </row>
    <row r="178" spans="1:7" x14ac:dyDescent="0.25">
      <c r="A178" s="62" t="s">
        <v>1946</v>
      </c>
      <c r="B178" s="62">
        <v>177</v>
      </c>
      <c r="C178" s="62">
        <v>1174</v>
      </c>
      <c r="D178" s="63" t="s">
        <v>209</v>
      </c>
      <c r="E178" s="64" t="s">
        <v>24</v>
      </c>
      <c r="F178" s="64">
        <v>183</v>
      </c>
      <c r="G178" s="67">
        <v>178</v>
      </c>
    </row>
    <row r="179" spans="1:7" x14ac:dyDescent="0.25">
      <c r="A179" s="62" t="s">
        <v>1947</v>
      </c>
      <c r="B179" s="62">
        <v>178</v>
      </c>
      <c r="C179" s="62">
        <v>1175</v>
      </c>
      <c r="D179" s="63" t="s">
        <v>210</v>
      </c>
      <c r="E179" s="64" t="s">
        <v>24</v>
      </c>
      <c r="F179" s="64">
        <v>184</v>
      </c>
      <c r="G179" s="67">
        <v>179</v>
      </c>
    </row>
    <row r="180" spans="1:7" x14ac:dyDescent="0.25">
      <c r="A180" s="62" t="s">
        <v>1948</v>
      </c>
      <c r="B180" s="62">
        <v>179</v>
      </c>
      <c r="C180" s="62">
        <v>1176</v>
      </c>
      <c r="D180" s="63" t="s">
        <v>211</v>
      </c>
      <c r="E180" s="64" t="s">
        <v>24</v>
      </c>
      <c r="F180" s="64">
        <v>185</v>
      </c>
      <c r="G180" s="67">
        <v>180</v>
      </c>
    </row>
    <row r="181" spans="1:7" x14ac:dyDescent="0.25">
      <c r="A181" s="62" t="s">
        <v>1949</v>
      </c>
      <c r="B181" s="62">
        <v>180</v>
      </c>
      <c r="C181" s="62">
        <v>1177</v>
      </c>
      <c r="D181" s="63" t="s">
        <v>212</v>
      </c>
      <c r="E181" s="64" t="s">
        <v>24</v>
      </c>
      <c r="F181" s="64">
        <v>186</v>
      </c>
      <c r="G181" s="67">
        <v>181</v>
      </c>
    </row>
    <row r="182" spans="1:7" x14ac:dyDescent="0.25">
      <c r="A182" s="62" t="s">
        <v>1950</v>
      </c>
      <c r="B182" s="62">
        <v>181</v>
      </c>
      <c r="C182" s="62">
        <v>1178</v>
      </c>
      <c r="D182" s="63" t="s">
        <v>213</v>
      </c>
      <c r="E182" s="64" t="s">
        <v>24</v>
      </c>
      <c r="F182" s="64">
        <v>187</v>
      </c>
      <c r="G182" s="67">
        <v>182</v>
      </c>
    </row>
    <row r="183" spans="1:7" x14ac:dyDescent="0.25">
      <c r="A183" s="62" t="s">
        <v>1951</v>
      </c>
      <c r="B183" s="62">
        <v>182</v>
      </c>
      <c r="C183" s="62">
        <v>1179</v>
      </c>
      <c r="D183" s="63" t="s">
        <v>214</v>
      </c>
      <c r="E183" s="64" t="s">
        <v>24</v>
      </c>
      <c r="F183" s="64">
        <v>188</v>
      </c>
      <c r="G183" s="67">
        <v>183</v>
      </c>
    </row>
    <row r="184" spans="1:7" x14ac:dyDescent="0.25">
      <c r="A184" s="62" t="s">
        <v>1952</v>
      </c>
      <c r="B184" s="62">
        <v>183</v>
      </c>
      <c r="C184" s="62">
        <v>1180</v>
      </c>
      <c r="D184" s="63" t="s">
        <v>215</v>
      </c>
      <c r="E184" s="64" t="s">
        <v>24</v>
      </c>
      <c r="F184" s="64">
        <v>189</v>
      </c>
      <c r="G184" s="67">
        <v>184</v>
      </c>
    </row>
    <row r="185" spans="1:7" x14ac:dyDescent="0.25">
      <c r="A185" s="62" t="s">
        <v>1953</v>
      </c>
      <c r="B185" s="62">
        <v>184</v>
      </c>
      <c r="C185" s="62">
        <v>1181</v>
      </c>
      <c r="D185" s="63" t="s">
        <v>216</v>
      </c>
      <c r="E185" s="64" t="s">
        <v>24</v>
      </c>
      <c r="F185" s="64">
        <v>190</v>
      </c>
      <c r="G185" s="67">
        <v>185</v>
      </c>
    </row>
    <row r="186" spans="1:7" x14ac:dyDescent="0.25">
      <c r="A186" s="62" t="s">
        <v>1954</v>
      </c>
      <c r="B186" s="62">
        <v>185</v>
      </c>
      <c r="C186" s="62">
        <v>1182</v>
      </c>
      <c r="D186" s="63" t="s">
        <v>217</v>
      </c>
      <c r="E186" s="64" t="s">
        <v>24</v>
      </c>
      <c r="F186" s="64">
        <v>191</v>
      </c>
      <c r="G186" s="67">
        <v>186</v>
      </c>
    </row>
    <row r="187" spans="1:7" x14ac:dyDescent="0.25">
      <c r="A187" s="62" t="s">
        <v>1955</v>
      </c>
      <c r="B187" s="62">
        <v>186</v>
      </c>
      <c r="C187" s="62">
        <v>1183</v>
      </c>
      <c r="D187" s="63" t="s">
        <v>218</v>
      </c>
      <c r="E187" s="64" t="s">
        <v>24</v>
      </c>
      <c r="F187" s="64">
        <v>192</v>
      </c>
      <c r="G187" s="67">
        <v>187</v>
      </c>
    </row>
    <row r="188" spans="1:7" x14ac:dyDescent="0.25">
      <c r="A188" s="62" t="s">
        <v>1956</v>
      </c>
      <c r="B188" s="62">
        <v>188</v>
      </c>
      <c r="C188" s="62">
        <v>1184</v>
      </c>
      <c r="D188" s="63" t="s">
        <v>219</v>
      </c>
      <c r="E188" s="64" t="s">
        <v>24</v>
      </c>
      <c r="F188" s="64">
        <v>193</v>
      </c>
      <c r="G188" s="67">
        <v>188</v>
      </c>
    </row>
    <row r="189" spans="1:7" x14ac:dyDescent="0.25">
      <c r="A189" s="62" t="s">
        <v>1957</v>
      </c>
      <c r="B189" s="62">
        <v>189</v>
      </c>
      <c r="C189" s="62">
        <v>1185</v>
      </c>
      <c r="D189" s="63" t="s">
        <v>220</v>
      </c>
      <c r="E189" s="64" t="s">
        <v>24</v>
      </c>
      <c r="F189" s="64">
        <v>191</v>
      </c>
      <c r="G189" s="67">
        <v>189</v>
      </c>
    </row>
    <row r="190" spans="1:7" x14ac:dyDescent="0.25">
      <c r="A190" s="62" t="s">
        <v>1958</v>
      </c>
      <c r="B190" s="62">
        <v>190</v>
      </c>
      <c r="C190" s="62">
        <v>1186</v>
      </c>
      <c r="D190" s="63" t="s">
        <v>221</v>
      </c>
      <c r="E190" s="64" t="s">
        <v>24</v>
      </c>
      <c r="F190" s="64">
        <v>195</v>
      </c>
      <c r="G190" s="67">
        <v>190</v>
      </c>
    </row>
    <row r="191" spans="1:7" x14ac:dyDescent="0.25">
      <c r="A191" s="62" t="s">
        <v>1959</v>
      </c>
      <c r="B191" s="62">
        <v>191</v>
      </c>
      <c r="C191" s="62">
        <v>1187</v>
      </c>
      <c r="D191" s="63" t="s">
        <v>222</v>
      </c>
      <c r="E191" s="64" t="s">
        <v>24</v>
      </c>
      <c r="F191" s="64">
        <v>196</v>
      </c>
      <c r="G191" s="67">
        <v>191</v>
      </c>
    </row>
    <row r="192" spans="1:7" x14ac:dyDescent="0.25">
      <c r="A192" s="62" t="s">
        <v>1960</v>
      </c>
      <c r="B192" s="62">
        <v>192</v>
      </c>
      <c r="C192" s="62">
        <v>1188</v>
      </c>
      <c r="D192" s="63" t="s">
        <v>223</v>
      </c>
      <c r="E192" s="64" t="s">
        <v>24</v>
      </c>
      <c r="F192" s="64">
        <v>197</v>
      </c>
      <c r="G192" s="67">
        <v>192</v>
      </c>
    </row>
    <row r="193" spans="1:7" x14ac:dyDescent="0.25">
      <c r="A193" s="62" t="s">
        <v>1961</v>
      </c>
      <c r="B193" s="62">
        <v>193</v>
      </c>
      <c r="C193" s="62">
        <v>1189</v>
      </c>
      <c r="D193" s="63" t="s">
        <v>224</v>
      </c>
      <c r="E193" s="64" t="s">
        <v>24</v>
      </c>
      <c r="F193" s="64">
        <v>198</v>
      </c>
      <c r="G193" s="67">
        <v>193</v>
      </c>
    </row>
    <row r="194" spans="1:7" x14ac:dyDescent="0.25">
      <c r="A194" s="62" t="s">
        <v>1962</v>
      </c>
      <c r="B194" s="62">
        <v>194</v>
      </c>
      <c r="C194" s="62">
        <v>1190</v>
      </c>
      <c r="D194" s="63" t="s">
        <v>225</v>
      </c>
      <c r="E194" s="64" t="s">
        <v>24</v>
      </c>
      <c r="F194" s="64">
        <v>199</v>
      </c>
      <c r="G194" s="67">
        <v>194</v>
      </c>
    </row>
    <row r="195" spans="1:7" x14ac:dyDescent="0.25">
      <c r="A195" s="62" t="s">
        <v>1963</v>
      </c>
      <c r="B195" s="62">
        <v>195</v>
      </c>
      <c r="C195" s="62">
        <v>1191</v>
      </c>
      <c r="D195" s="63" t="s">
        <v>226</v>
      </c>
      <c r="E195" s="64" t="s">
        <v>24</v>
      </c>
      <c r="F195" s="64">
        <v>200</v>
      </c>
      <c r="G195" s="67">
        <v>195</v>
      </c>
    </row>
    <row r="196" spans="1:7" x14ac:dyDescent="0.25">
      <c r="A196" s="62" t="s">
        <v>1964</v>
      </c>
      <c r="B196" s="62">
        <v>196</v>
      </c>
      <c r="C196" s="62">
        <v>1192</v>
      </c>
      <c r="D196" s="63" t="s">
        <v>227</v>
      </c>
      <c r="E196" s="64" t="s">
        <v>24</v>
      </c>
      <c r="F196" s="64">
        <v>201</v>
      </c>
      <c r="G196" s="67">
        <v>196</v>
      </c>
    </row>
    <row r="197" spans="1:7" x14ac:dyDescent="0.25">
      <c r="A197" s="62" t="s">
        <v>1965</v>
      </c>
      <c r="B197" s="62">
        <v>197</v>
      </c>
      <c r="C197" s="62">
        <v>1193</v>
      </c>
      <c r="D197" s="63" t="s">
        <v>228</v>
      </c>
      <c r="E197" s="64" t="s">
        <v>24</v>
      </c>
      <c r="F197" s="64">
        <v>202</v>
      </c>
      <c r="G197" s="67">
        <v>197</v>
      </c>
    </row>
    <row r="198" spans="1:7" x14ac:dyDescent="0.25">
      <c r="A198" s="62" t="s">
        <v>1966</v>
      </c>
      <c r="B198" s="62">
        <v>198</v>
      </c>
      <c r="C198" s="62">
        <v>1194</v>
      </c>
      <c r="D198" s="63" t="s">
        <v>229</v>
      </c>
      <c r="E198" s="64" t="s">
        <v>24</v>
      </c>
      <c r="F198" s="64">
        <v>203</v>
      </c>
      <c r="G198" s="67">
        <v>198</v>
      </c>
    </row>
    <row r="199" spans="1:7" x14ac:dyDescent="0.25">
      <c r="A199" s="62" t="s">
        <v>1967</v>
      </c>
      <c r="B199" s="62">
        <v>199</v>
      </c>
      <c r="C199" s="62">
        <v>1195</v>
      </c>
      <c r="D199" s="63" t="s">
        <v>230</v>
      </c>
      <c r="E199" s="64" t="s">
        <v>24</v>
      </c>
      <c r="F199" s="64">
        <v>204</v>
      </c>
      <c r="G199" s="67">
        <v>199</v>
      </c>
    </row>
    <row r="200" spans="1:7" x14ac:dyDescent="0.25">
      <c r="A200" s="62" t="s">
        <v>1968</v>
      </c>
      <c r="B200" s="62">
        <v>200</v>
      </c>
      <c r="C200" s="62">
        <v>1196</v>
      </c>
      <c r="D200" s="63" t="s">
        <v>231</v>
      </c>
      <c r="E200" s="64" t="s">
        <v>24</v>
      </c>
      <c r="F200" s="64">
        <v>205</v>
      </c>
      <c r="G200" s="67">
        <v>200</v>
      </c>
    </row>
    <row r="201" spans="1:7" x14ac:dyDescent="0.25">
      <c r="A201" s="62" t="s">
        <v>1969</v>
      </c>
      <c r="B201" s="62">
        <v>201</v>
      </c>
      <c r="C201" s="62">
        <v>1197</v>
      </c>
      <c r="D201" s="63" t="s">
        <v>232</v>
      </c>
      <c r="E201" s="64" t="s">
        <v>24</v>
      </c>
      <c r="F201" s="64">
        <v>206</v>
      </c>
      <c r="G201" s="67">
        <v>201</v>
      </c>
    </row>
    <row r="202" spans="1:7" x14ac:dyDescent="0.25">
      <c r="A202" s="62" t="s">
        <v>1970</v>
      </c>
      <c r="B202" s="62">
        <v>202</v>
      </c>
      <c r="C202" s="62">
        <v>1198</v>
      </c>
      <c r="D202" s="63" t="s">
        <v>233</v>
      </c>
      <c r="E202" s="64" t="s">
        <v>24</v>
      </c>
      <c r="F202" s="64">
        <v>207</v>
      </c>
      <c r="G202" s="67">
        <v>202</v>
      </c>
    </row>
    <row r="203" spans="1:7" x14ac:dyDescent="0.25">
      <c r="A203" s="62" t="s">
        <v>1971</v>
      </c>
      <c r="B203" s="62">
        <v>203</v>
      </c>
      <c r="C203" s="62">
        <v>1199</v>
      </c>
      <c r="D203" s="63" t="s">
        <v>234</v>
      </c>
      <c r="E203" s="64" t="s">
        <v>24</v>
      </c>
      <c r="F203" s="64">
        <v>208</v>
      </c>
      <c r="G203" s="67">
        <v>203</v>
      </c>
    </row>
    <row r="204" spans="1:7" x14ac:dyDescent="0.25">
      <c r="A204" s="62" t="s">
        <v>1972</v>
      </c>
      <c r="B204" s="62">
        <v>204</v>
      </c>
      <c r="C204" s="62">
        <v>1200</v>
      </c>
      <c r="D204" s="63" t="s">
        <v>235</v>
      </c>
      <c r="E204" s="64" t="s">
        <v>24</v>
      </c>
      <c r="F204" s="64">
        <v>209</v>
      </c>
      <c r="G204" s="67">
        <v>204</v>
      </c>
    </row>
    <row r="205" spans="1:7" x14ac:dyDescent="0.25">
      <c r="A205" s="62" t="s">
        <v>1973</v>
      </c>
      <c r="B205" s="62">
        <v>205</v>
      </c>
      <c r="C205" s="62">
        <v>1201</v>
      </c>
      <c r="D205" s="63" t="s">
        <v>236</v>
      </c>
      <c r="E205" s="64" t="s">
        <v>24</v>
      </c>
      <c r="F205" s="64">
        <v>210</v>
      </c>
      <c r="G205" s="67">
        <v>205</v>
      </c>
    </row>
    <row r="206" spans="1:7" x14ac:dyDescent="0.25">
      <c r="A206" s="62" t="s">
        <v>1974</v>
      </c>
      <c r="B206" s="62">
        <v>206</v>
      </c>
      <c r="C206" s="62">
        <v>1202</v>
      </c>
      <c r="D206" s="63" t="s">
        <v>237</v>
      </c>
      <c r="E206" s="64" t="s">
        <v>24</v>
      </c>
      <c r="F206" s="64">
        <v>211</v>
      </c>
      <c r="G206" s="67">
        <v>206</v>
      </c>
    </row>
    <row r="207" spans="1:7" x14ac:dyDescent="0.25">
      <c r="A207" s="62" t="s">
        <v>1975</v>
      </c>
      <c r="B207" s="62">
        <v>207</v>
      </c>
      <c r="C207" s="62">
        <v>1203</v>
      </c>
      <c r="D207" s="63" t="s">
        <v>238</v>
      </c>
      <c r="E207" s="64" t="s">
        <v>24</v>
      </c>
      <c r="F207" s="64">
        <v>212</v>
      </c>
      <c r="G207" s="67">
        <v>207</v>
      </c>
    </row>
    <row r="208" spans="1:7" x14ac:dyDescent="0.25">
      <c r="A208" s="62" t="s">
        <v>1976</v>
      </c>
      <c r="B208" s="62">
        <v>208</v>
      </c>
      <c r="C208" s="62">
        <v>1204</v>
      </c>
      <c r="D208" s="63" t="s">
        <v>239</v>
      </c>
      <c r="E208" s="64" t="s">
        <v>24</v>
      </c>
      <c r="F208" s="64">
        <v>213</v>
      </c>
      <c r="G208" s="67">
        <v>208</v>
      </c>
    </row>
    <row r="209" spans="1:7" x14ac:dyDescent="0.25">
      <c r="A209" s="62" t="s">
        <v>1977</v>
      </c>
      <c r="B209" s="62">
        <v>211</v>
      </c>
      <c r="C209" s="62">
        <v>1205</v>
      </c>
      <c r="D209" s="63" t="s">
        <v>240</v>
      </c>
      <c r="E209" s="64" t="s">
        <v>24</v>
      </c>
      <c r="F209" s="64">
        <v>214</v>
      </c>
      <c r="G209" s="67">
        <v>209</v>
      </c>
    </row>
    <row r="210" spans="1:7" x14ac:dyDescent="0.25">
      <c r="A210" s="62" t="s">
        <v>1978</v>
      </c>
      <c r="B210" s="62">
        <v>212</v>
      </c>
      <c r="C210" s="62">
        <v>1206</v>
      </c>
      <c r="D210" s="63" t="s">
        <v>241</v>
      </c>
      <c r="E210" s="64" t="s">
        <v>24</v>
      </c>
      <c r="F210" s="64">
        <v>215</v>
      </c>
      <c r="G210" s="67">
        <v>210</v>
      </c>
    </row>
    <row r="211" spans="1:7" x14ac:dyDescent="0.25">
      <c r="A211" s="62" t="s">
        <v>1979</v>
      </c>
      <c r="B211" s="62">
        <v>213</v>
      </c>
      <c r="C211" s="62">
        <v>1207</v>
      </c>
      <c r="D211" s="63" t="s">
        <v>242</v>
      </c>
      <c r="E211" s="64" t="s">
        <v>24</v>
      </c>
      <c r="F211" s="64">
        <v>219</v>
      </c>
      <c r="G211" s="67">
        <v>211</v>
      </c>
    </row>
    <row r="212" spans="1:7" x14ac:dyDescent="0.25">
      <c r="A212" s="62" t="s">
        <v>1980</v>
      </c>
      <c r="B212" s="62">
        <v>214</v>
      </c>
      <c r="C212" s="62">
        <v>1208</v>
      </c>
      <c r="D212" s="63" t="s">
        <v>243</v>
      </c>
      <c r="E212" s="64" t="s">
        <v>24</v>
      </c>
      <c r="F212" s="64">
        <v>217</v>
      </c>
      <c r="G212" s="67">
        <v>212</v>
      </c>
    </row>
    <row r="213" spans="1:7" x14ac:dyDescent="0.25">
      <c r="A213" s="62" t="s">
        <v>1981</v>
      </c>
      <c r="B213" s="62">
        <v>215</v>
      </c>
      <c r="C213" s="62">
        <v>1209</v>
      </c>
      <c r="D213" s="63" t="s">
        <v>244</v>
      </c>
      <c r="E213" s="64" t="s">
        <v>24</v>
      </c>
      <c r="F213" s="64">
        <v>218</v>
      </c>
      <c r="G213" s="67">
        <v>213</v>
      </c>
    </row>
    <row r="214" spans="1:7" x14ac:dyDescent="0.25">
      <c r="A214" s="62" t="s">
        <v>1982</v>
      </c>
      <c r="B214" s="62">
        <v>216</v>
      </c>
      <c r="C214" s="62">
        <v>1210</v>
      </c>
      <c r="D214" s="63" t="s">
        <v>245</v>
      </c>
      <c r="E214" s="64" t="s">
        <v>24</v>
      </c>
      <c r="F214" s="64">
        <v>219</v>
      </c>
      <c r="G214" s="67">
        <v>214</v>
      </c>
    </row>
    <row r="215" spans="1:7" x14ac:dyDescent="0.25">
      <c r="A215" s="62" t="s">
        <v>1983</v>
      </c>
      <c r="B215" s="62">
        <v>217</v>
      </c>
      <c r="C215" s="62">
        <v>1211</v>
      </c>
      <c r="D215" s="63" t="s">
        <v>246</v>
      </c>
      <c r="E215" s="64" t="s">
        <v>24</v>
      </c>
      <c r="F215" s="64">
        <v>220</v>
      </c>
      <c r="G215" s="67">
        <v>215</v>
      </c>
    </row>
    <row r="216" spans="1:7" x14ac:dyDescent="0.25">
      <c r="A216" s="62" t="s">
        <v>1984</v>
      </c>
      <c r="B216" s="62">
        <v>218</v>
      </c>
      <c r="C216" s="62">
        <v>1212</v>
      </c>
      <c r="D216" s="63" t="s">
        <v>248</v>
      </c>
      <c r="E216" s="64" t="s">
        <v>24</v>
      </c>
      <c r="F216" s="64">
        <v>221</v>
      </c>
      <c r="G216" s="67">
        <v>216</v>
      </c>
    </row>
    <row r="217" spans="1:7" x14ac:dyDescent="0.25">
      <c r="A217" s="62" t="s">
        <v>1985</v>
      </c>
      <c r="B217" s="62">
        <v>219</v>
      </c>
      <c r="C217" s="62">
        <v>1213</v>
      </c>
      <c r="D217" s="63" t="s">
        <v>250</v>
      </c>
      <c r="E217" s="64" t="s">
        <v>24</v>
      </c>
      <c r="F217" s="64">
        <v>222</v>
      </c>
      <c r="G217" s="67">
        <v>217</v>
      </c>
    </row>
    <row r="218" spans="1:7" x14ac:dyDescent="0.25">
      <c r="A218" s="62" t="s">
        <v>1986</v>
      </c>
      <c r="B218" s="62">
        <v>220</v>
      </c>
      <c r="C218" s="62">
        <v>1214</v>
      </c>
      <c r="D218" s="63" t="s">
        <v>251</v>
      </c>
      <c r="E218" s="64" t="s">
        <v>24</v>
      </c>
      <c r="F218" s="64">
        <v>223</v>
      </c>
      <c r="G218" s="67">
        <v>218</v>
      </c>
    </row>
    <row r="219" spans="1:7" x14ac:dyDescent="0.25">
      <c r="A219" s="62" t="s">
        <v>1987</v>
      </c>
      <c r="B219" s="62">
        <v>221</v>
      </c>
      <c r="C219" s="62">
        <v>1215</v>
      </c>
      <c r="D219" s="63" t="s">
        <v>253</v>
      </c>
      <c r="E219" s="64" t="s">
        <v>24</v>
      </c>
      <c r="F219" s="64">
        <v>224</v>
      </c>
      <c r="G219" s="67">
        <v>219</v>
      </c>
    </row>
    <row r="220" spans="1:7" x14ac:dyDescent="0.25">
      <c r="A220" s="62" t="s">
        <v>1988</v>
      </c>
      <c r="B220" s="62">
        <v>222</v>
      </c>
      <c r="C220" s="62">
        <v>1216</v>
      </c>
      <c r="D220" s="63" t="s">
        <v>254</v>
      </c>
      <c r="E220" s="64" t="s">
        <v>24</v>
      </c>
      <c r="F220" s="64">
        <v>225</v>
      </c>
      <c r="G220" s="67">
        <v>220</v>
      </c>
    </row>
    <row r="221" spans="1:7" x14ac:dyDescent="0.25">
      <c r="A221" s="62" t="s">
        <v>1989</v>
      </c>
      <c r="B221" s="62">
        <v>223</v>
      </c>
      <c r="C221" s="62">
        <v>1217</v>
      </c>
      <c r="D221" s="63" t="s">
        <v>255</v>
      </c>
      <c r="E221" s="64" t="s">
        <v>24</v>
      </c>
      <c r="F221" s="64">
        <v>226</v>
      </c>
      <c r="G221" s="67">
        <v>221</v>
      </c>
    </row>
    <row r="222" spans="1:7" x14ac:dyDescent="0.25">
      <c r="A222" s="62" t="s">
        <v>1990</v>
      </c>
      <c r="B222" s="62">
        <v>224</v>
      </c>
      <c r="C222" s="62">
        <v>1218</v>
      </c>
      <c r="D222" s="63" t="s">
        <v>256</v>
      </c>
      <c r="E222" s="64" t="s">
        <v>24</v>
      </c>
      <c r="F222" s="64">
        <v>227</v>
      </c>
      <c r="G222" s="67">
        <v>222</v>
      </c>
    </row>
    <row r="223" spans="1:7" x14ac:dyDescent="0.25">
      <c r="A223" s="62" t="s">
        <v>1991</v>
      </c>
      <c r="B223" s="62">
        <v>225</v>
      </c>
      <c r="C223" s="62">
        <v>1219</v>
      </c>
      <c r="D223" s="63" t="s">
        <v>258</v>
      </c>
      <c r="E223" s="64" t="s">
        <v>24</v>
      </c>
      <c r="F223" s="64">
        <v>228</v>
      </c>
      <c r="G223" s="67">
        <v>223</v>
      </c>
    </row>
    <row r="224" spans="1:7" x14ac:dyDescent="0.25">
      <c r="A224" s="62" t="s">
        <v>1992</v>
      </c>
      <c r="B224" s="62">
        <v>226</v>
      </c>
      <c r="C224" s="62">
        <v>1220</v>
      </c>
      <c r="D224" s="63" t="s">
        <v>259</v>
      </c>
      <c r="E224" s="64" t="s">
        <v>24</v>
      </c>
      <c r="F224" s="64">
        <v>229</v>
      </c>
      <c r="G224" s="67">
        <v>224</v>
      </c>
    </row>
    <row r="225" spans="1:7" x14ac:dyDescent="0.25">
      <c r="A225" s="62" t="s">
        <v>1993</v>
      </c>
      <c r="B225" s="62">
        <v>227</v>
      </c>
      <c r="C225" s="62">
        <v>1221</v>
      </c>
      <c r="D225" s="63" t="s">
        <v>260</v>
      </c>
      <c r="E225" s="64" t="s">
        <v>24</v>
      </c>
      <c r="F225" s="64">
        <v>228</v>
      </c>
      <c r="G225" s="67">
        <v>225</v>
      </c>
    </row>
    <row r="226" spans="1:7" x14ac:dyDescent="0.25">
      <c r="A226" s="62" t="s">
        <v>1994</v>
      </c>
      <c r="B226" s="62">
        <v>228</v>
      </c>
      <c r="C226" s="62">
        <v>1222</v>
      </c>
      <c r="D226" s="63" t="s">
        <v>261</v>
      </c>
      <c r="E226" s="64" t="s">
        <v>24</v>
      </c>
      <c r="F226" s="64">
        <v>223</v>
      </c>
      <c r="G226" s="67">
        <v>226</v>
      </c>
    </row>
    <row r="227" spans="1:7" x14ac:dyDescent="0.25">
      <c r="A227" s="62" t="s">
        <v>1995</v>
      </c>
      <c r="B227" s="62">
        <v>229</v>
      </c>
      <c r="C227" s="62">
        <v>1223</v>
      </c>
      <c r="D227" s="63" t="s">
        <v>262</v>
      </c>
      <c r="E227" s="64" t="s">
        <v>24</v>
      </c>
      <c r="F227" s="64">
        <v>232</v>
      </c>
      <c r="G227" s="67">
        <v>227</v>
      </c>
    </row>
    <row r="228" spans="1:7" x14ac:dyDescent="0.25">
      <c r="A228" s="62" t="s">
        <v>1996</v>
      </c>
      <c r="B228" s="62">
        <v>230</v>
      </c>
      <c r="C228" s="62">
        <v>1224</v>
      </c>
      <c r="D228" s="63" t="s">
        <v>263</v>
      </c>
      <c r="E228" s="64" t="s">
        <v>24</v>
      </c>
      <c r="F228" s="64">
        <v>233</v>
      </c>
      <c r="G228" s="67">
        <v>228</v>
      </c>
    </row>
    <row r="229" spans="1:7" x14ac:dyDescent="0.25">
      <c r="A229" s="62" t="s">
        <v>1997</v>
      </c>
      <c r="B229" s="62">
        <v>231</v>
      </c>
      <c r="C229" s="62">
        <v>1225</v>
      </c>
      <c r="D229" s="63" t="s">
        <v>265</v>
      </c>
      <c r="E229" s="64" t="s">
        <v>24</v>
      </c>
      <c r="F229" s="64">
        <v>234</v>
      </c>
      <c r="G229" s="67">
        <v>229</v>
      </c>
    </row>
    <row r="230" spans="1:7" x14ac:dyDescent="0.25">
      <c r="A230" s="62" t="s">
        <v>1998</v>
      </c>
      <c r="B230" s="62">
        <v>232</v>
      </c>
      <c r="C230" s="62">
        <v>1226</v>
      </c>
      <c r="D230" s="63" t="s">
        <v>266</v>
      </c>
      <c r="E230" s="64" t="s">
        <v>24</v>
      </c>
      <c r="F230" s="64">
        <v>235</v>
      </c>
      <c r="G230" s="67">
        <v>230</v>
      </c>
    </row>
    <row r="231" spans="1:7" x14ac:dyDescent="0.25">
      <c r="A231" s="62" t="s">
        <v>1999</v>
      </c>
      <c r="B231" s="62">
        <v>233</v>
      </c>
      <c r="C231" s="62">
        <v>1227</v>
      </c>
      <c r="D231" s="63" t="s">
        <v>267</v>
      </c>
      <c r="E231" s="64" t="s">
        <v>24</v>
      </c>
      <c r="F231" s="64">
        <v>236</v>
      </c>
      <c r="G231" s="67">
        <v>231</v>
      </c>
    </row>
    <row r="232" spans="1:7" x14ac:dyDescent="0.25">
      <c r="A232" s="62" t="s">
        <v>2000</v>
      </c>
      <c r="B232" s="62">
        <v>234</v>
      </c>
      <c r="C232" s="62">
        <v>1228</v>
      </c>
      <c r="D232" s="63" t="s">
        <v>269</v>
      </c>
      <c r="E232" s="64" t="s">
        <v>24</v>
      </c>
      <c r="F232" s="64">
        <v>237</v>
      </c>
      <c r="G232" s="67">
        <v>232</v>
      </c>
    </row>
    <row r="233" spans="1:7" x14ac:dyDescent="0.25">
      <c r="A233" s="62" t="s">
        <v>2001</v>
      </c>
      <c r="B233" s="62">
        <v>235</v>
      </c>
      <c r="C233" s="62">
        <v>1229</v>
      </c>
      <c r="D233" s="63" t="s">
        <v>270</v>
      </c>
      <c r="E233" s="64" t="s">
        <v>24</v>
      </c>
      <c r="F233" s="64">
        <v>238</v>
      </c>
      <c r="G233" s="67">
        <v>233</v>
      </c>
    </row>
    <row r="234" spans="1:7" x14ac:dyDescent="0.25">
      <c r="A234" s="62" t="s">
        <v>2002</v>
      </c>
      <c r="B234" s="62">
        <v>236</v>
      </c>
      <c r="C234" s="62">
        <v>1230</v>
      </c>
      <c r="D234" s="63" t="s">
        <v>271</v>
      </c>
      <c r="E234" s="64" t="s">
        <v>24</v>
      </c>
      <c r="F234" s="64">
        <v>227</v>
      </c>
      <c r="G234" s="67">
        <v>234</v>
      </c>
    </row>
    <row r="235" spans="1:7" x14ac:dyDescent="0.25">
      <c r="A235" s="62" t="s">
        <v>2003</v>
      </c>
      <c r="B235" s="62">
        <v>237</v>
      </c>
      <c r="C235" s="62">
        <v>1231</v>
      </c>
      <c r="D235" s="63" t="s">
        <v>272</v>
      </c>
      <c r="E235" s="64" t="s">
        <v>24</v>
      </c>
      <c r="F235" s="64">
        <v>240</v>
      </c>
      <c r="G235" s="67">
        <v>235</v>
      </c>
    </row>
    <row r="236" spans="1:7" x14ac:dyDescent="0.25">
      <c r="A236" s="62" t="s">
        <v>2004</v>
      </c>
      <c r="B236" s="62">
        <v>238</v>
      </c>
      <c r="C236" s="62">
        <v>1232</v>
      </c>
      <c r="D236" s="63" t="s">
        <v>274</v>
      </c>
      <c r="E236" s="64" t="s">
        <v>24</v>
      </c>
      <c r="F236" s="64">
        <v>236</v>
      </c>
      <c r="G236" s="67">
        <v>236</v>
      </c>
    </row>
    <row r="237" spans="1:7" x14ac:dyDescent="0.25">
      <c r="A237" s="62" t="s">
        <v>2005</v>
      </c>
      <c r="B237" s="62">
        <v>239</v>
      </c>
      <c r="C237" s="62">
        <v>1233</v>
      </c>
      <c r="D237" s="63" t="s">
        <v>275</v>
      </c>
      <c r="E237" s="64" t="s">
        <v>24</v>
      </c>
      <c r="F237" s="64">
        <v>242</v>
      </c>
      <c r="G237" s="67">
        <v>237</v>
      </c>
    </row>
    <row r="238" spans="1:7" x14ac:dyDescent="0.25">
      <c r="A238" s="62" t="s">
        <v>2006</v>
      </c>
      <c r="B238" s="62">
        <v>240</v>
      </c>
      <c r="C238" s="62">
        <v>1234</v>
      </c>
      <c r="D238" s="63" t="s">
        <v>276</v>
      </c>
      <c r="E238" s="64" t="s">
        <v>24</v>
      </c>
      <c r="F238" s="64">
        <v>239</v>
      </c>
      <c r="G238" s="67">
        <v>238</v>
      </c>
    </row>
    <row r="239" spans="1:7" x14ac:dyDescent="0.25">
      <c r="A239" s="62" t="s">
        <v>2007</v>
      </c>
      <c r="B239" s="62">
        <v>241</v>
      </c>
      <c r="C239" s="62">
        <v>1235</v>
      </c>
      <c r="D239" s="63" t="s">
        <v>277</v>
      </c>
      <c r="E239" s="64" t="s">
        <v>24</v>
      </c>
      <c r="F239" s="64">
        <v>241</v>
      </c>
      <c r="G239" s="67">
        <v>239</v>
      </c>
    </row>
    <row r="240" spans="1:7" x14ac:dyDescent="0.25">
      <c r="A240" s="62" t="s">
        <v>2008</v>
      </c>
      <c r="B240" s="62">
        <v>242</v>
      </c>
      <c r="C240" s="62">
        <v>1236</v>
      </c>
      <c r="D240" s="63" t="s">
        <v>278</v>
      </c>
      <c r="E240" s="64" t="s">
        <v>24</v>
      </c>
      <c r="F240" s="64">
        <v>245</v>
      </c>
      <c r="G240" s="67">
        <v>240</v>
      </c>
    </row>
    <row r="241" spans="1:7" x14ac:dyDescent="0.25">
      <c r="A241" s="62" t="s">
        <v>2009</v>
      </c>
      <c r="B241" s="62">
        <v>243</v>
      </c>
      <c r="C241" s="62">
        <v>1237</v>
      </c>
      <c r="D241" s="63" t="s">
        <v>279</v>
      </c>
      <c r="E241" s="64" t="s">
        <v>24</v>
      </c>
      <c r="F241" s="64">
        <v>246</v>
      </c>
      <c r="G241" s="67">
        <v>241</v>
      </c>
    </row>
    <row r="242" spans="1:7" x14ac:dyDescent="0.25">
      <c r="A242" s="62" t="s">
        <v>2010</v>
      </c>
      <c r="B242" s="62">
        <v>244</v>
      </c>
      <c r="C242" s="62">
        <v>1238</v>
      </c>
      <c r="D242" s="63" t="s">
        <v>280</v>
      </c>
      <c r="E242" s="64" t="s">
        <v>24</v>
      </c>
      <c r="F242" s="64">
        <v>247</v>
      </c>
      <c r="G242" s="67">
        <v>242</v>
      </c>
    </row>
    <row r="243" spans="1:7" x14ac:dyDescent="0.25">
      <c r="A243" s="62" t="s">
        <v>2011</v>
      </c>
      <c r="B243" s="62">
        <v>245</v>
      </c>
      <c r="C243" s="62">
        <v>1239</v>
      </c>
      <c r="D243" s="63" t="s">
        <v>281</v>
      </c>
      <c r="E243" s="64" t="s">
        <v>24</v>
      </c>
      <c r="F243" s="64">
        <v>248</v>
      </c>
      <c r="G243" s="67">
        <v>243</v>
      </c>
    </row>
    <row r="244" spans="1:7" x14ac:dyDescent="0.25">
      <c r="A244" s="62" t="s">
        <v>2012</v>
      </c>
      <c r="B244" s="62">
        <v>246</v>
      </c>
      <c r="C244" s="62">
        <v>1240</v>
      </c>
      <c r="D244" s="63" t="s">
        <v>282</v>
      </c>
      <c r="E244" s="64" t="s">
        <v>24</v>
      </c>
      <c r="F244" s="64">
        <v>249</v>
      </c>
      <c r="G244" s="67">
        <v>244</v>
      </c>
    </row>
    <row r="245" spans="1:7" x14ac:dyDescent="0.25">
      <c r="A245" s="62" t="s">
        <v>2013</v>
      </c>
      <c r="B245" s="62">
        <v>247</v>
      </c>
      <c r="C245" s="62">
        <v>1241</v>
      </c>
      <c r="D245" s="63" t="s">
        <v>283</v>
      </c>
      <c r="E245" s="64" t="s">
        <v>24</v>
      </c>
      <c r="F245" s="64">
        <v>250</v>
      </c>
      <c r="G245" s="67">
        <v>245</v>
      </c>
    </row>
    <row r="246" spans="1:7" x14ac:dyDescent="0.25">
      <c r="A246" s="62" t="s">
        <v>2014</v>
      </c>
      <c r="B246" s="62">
        <v>248</v>
      </c>
      <c r="C246" s="62">
        <v>1242</v>
      </c>
      <c r="D246" s="63" t="s">
        <v>284</v>
      </c>
      <c r="E246" s="64" t="s">
        <v>24</v>
      </c>
      <c r="F246" s="64">
        <v>251</v>
      </c>
      <c r="G246" s="67">
        <v>246</v>
      </c>
    </row>
    <row r="247" spans="1:7" x14ac:dyDescent="0.25">
      <c r="A247" s="62" t="s">
        <v>2015</v>
      </c>
      <c r="B247" s="62">
        <v>249</v>
      </c>
      <c r="C247" s="62">
        <v>1243</v>
      </c>
      <c r="D247" s="63" t="s">
        <v>285</v>
      </c>
      <c r="E247" s="64" t="s">
        <v>24</v>
      </c>
      <c r="F247" s="64">
        <v>252</v>
      </c>
      <c r="G247" s="67">
        <v>247</v>
      </c>
    </row>
    <row r="248" spans="1:7" x14ac:dyDescent="0.25">
      <c r="A248" s="62" t="s">
        <v>2016</v>
      </c>
      <c r="B248" s="62">
        <v>250</v>
      </c>
      <c r="C248" s="62">
        <v>1244</v>
      </c>
      <c r="D248" s="63" t="s">
        <v>286</v>
      </c>
      <c r="E248" s="64" t="s">
        <v>24</v>
      </c>
      <c r="F248" s="64">
        <v>253</v>
      </c>
      <c r="G248" s="67">
        <v>248</v>
      </c>
    </row>
    <row r="249" spans="1:7" x14ac:dyDescent="0.25">
      <c r="A249" s="62" t="s">
        <v>2017</v>
      </c>
      <c r="B249" s="62">
        <v>251</v>
      </c>
      <c r="C249" s="62">
        <v>1245</v>
      </c>
      <c r="D249" s="63" t="s">
        <v>287</v>
      </c>
      <c r="E249" s="64" t="s">
        <v>24</v>
      </c>
      <c r="F249" s="64">
        <v>252</v>
      </c>
      <c r="G249" s="67">
        <v>249</v>
      </c>
    </row>
    <row r="250" spans="1:7" x14ac:dyDescent="0.25">
      <c r="A250" s="62" t="s">
        <v>2018</v>
      </c>
      <c r="B250" s="62">
        <v>252</v>
      </c>
      <c r="C250" s="62">
        <v>1246</v>
      </c>
      <c r="D250" s="63" t="s">
        <v>289</v>
      </c>
      <c r="E250" s="64" t="s">
        <v>24</v>
      </c>
      <c r="F250" s="64">
        <v>255</v>
      </c>
      <c r="G250" s="67">
        <v>250</v>
      </c>
    </row>
    <row r="251" spans="1:7" x14ac:dyDescent="0.25">
      <c r="A251" s="62" t="s">
        <v>2019</v>
      </c>
      <c r="B251" s="62">
        <v>253</v>
      </c>
      <c r="C251" s="62">
        <v>1247</v>
      </c>
      <c r="D251" s="63" t="s">
        <v>290</v>
      </c>
      <c r="E251" s="64" t="s">
        <v>24</v>
      </c>
      <c r="F251" s="64">
        <v>256</v>
      </c>
      <c r="G251" s="67">
        <v>251</v>
      </c>
    </row>
    <row r="252" spans="1:7" x14ac:dyDescent="0.25">
      <c r="A252" s="62" t="s">
        <v>2020</v>
      </c>
      <c r="B252" s="62">
        <v>254</v>
      </c>
      <c r="C252" s="62">
        <v>1248</v>
      </c>
      <c r="D252" s="63" t="s">
        <v>291</v>
      </c>
      <c r="E252" s="64" t="s">
        <v>24</v>
      </c>
      <c r="F252" s="64">
        <v>257</v>
      </c>
      <c r="G252" s="67">
        <v>252</v>
      </c>
    </row>
    <row r="253" spans="1:7" x14ac:dyDescent="0.25">
      <c r="A253" s="62" t="s">
        <v>2021</v>
      </c>
      <c r="B253" s="62">
        <v>255</v>
      </c>
      <c r="C253" s="62">
        <v>1249</v>
      </c>
      <c r="D253" s="63" t="s">
        <v>292</v>
      </c>
      <c r="E253" s="64" t="s">
        <v>24</v>
      </c>
      <c r="F253" s="64">
        <v>258</v>
      </c>
      <c r="G253" s="67">
        <v>253</v>
      </c>
    </row>
    <row r="254" spans="1:7" x14ac:dyDescent="0.25">
      <c r="A254" s="62" t="s">
        <v>2022</v>
      </c>
      <c r="B254" s="62">
        <v>256</v>
      </c>
      <c r="C254" s="62">
        <v>1250</v>
      </c>
      <c r="D254" s="63" t="s">
        <v>293</v>
      </c>
      <c r="E254" s="64" t="s">
        <v>24</v>
      </c>
      <c r="F254" s="64">
        <v>259</v>
      </c>
      <c r="G254" s="67">
        <v>254</v>
      </c>
    </row>
    <row r="255" spans="1:7" x14ac:dyDescent="0.25">
      <c r="A255" s="62" t="s">
        <v>2023</v>
      </c>
      <c r="B255" s="62">
        <v>257</v>
      </c>
      <c r="C255" s="62">
        <v>1251</v>
      </c>
      <c r="D255" s="63" t="s">
        <v>294</v>
      </c>
      <c r="E255" s="64" t="s">
        <v>24</v>
      </c>
      <c r="F255" s="64">
        <v>260</v>
      </c>
      <c r="G255" s="67">
        <v>255</v>
      </c>
    </row>
    <row r="256" spans="1:7" x14ac:dyDescent="0.25">
      <c r="A256" s="62" t="s">
        <v>2024</v>
      </c>
      <c r="B256" s="62">
        <v>258</v>
      </c>
      <c r="C256" s="62">
        <v>1252</v>
      </c>
      <c r="D256" s="63" t="s">
        <v>295</v>
      </c>
      <c r="E256" s="64" t="s">
        <v>24</v>
      </c>
      <c r="F256" s="64">
        <v>246</v>
      </c>
      <c r="G256" s="67">
        <v>256</v>
      </c>
    </row>
    <row r="257" spans="1:7" x14ac:dyDescent="0.25">
      <c r="A257" s="62" t="s">
        <v>2025</v>
      </c>
      <c r="B257" s="62">
        <v>259</v>
      </c>
      <c r="C257" s="62">
        <v>1253</v>
      </c>
      <c r="D257" s="63" t="s">
        <v>296</v>
      </c>
      <c r="E257" s="64" t="s">
        <v>24</v>
      </c>
      <c r="F257" s="64">
        <v>262</v>
      </c>
      <c r="G257" s="67">
        <v>257</v>
      </c>
    </row>
    <row r="258" spans="1:7" x14ac:dyDescent="0.25">
      <c r="A258" s="62" t="s">
        <v>2026</v>
      </c>
      <c r="B258" s="62">
        <v>260</v>
      </c>
      <c r="C258" s="62">
        <v>1254</v>
      </c>
      <c r="D258" s="63" t="s">
        <v>297</v>
      </c>
      <c r="E258" s="64" t="s">
        <v>24</v>
      </c>
      <c r="F258" s="64">
        <v>263</v>
      </c>
      <c r="G258" s="67">
        <v>258</v>
      </c>
    </row>
    <row r="259" spans="1:7" x14ac:dyDescent="0.25">
      <c r="A259" s="62" t="s">
        <v>2027</v>
      </c>
      <c r="B259" s="62">
        <v>261</v>
      </c>
      <c r="C259" s="62">
        <v>1255</v>
      </c>
      <c r="D259" s="63" t="s">
        <v>298</v>
      </c>
      <c r="E259" s="64" t="s">
        <v>24</v>
      </c>
      <c r="F259" s="64">
        <v>264</v>
      </c>
      <c r="G259" s="67">
        <v>259</v>
      </c>
    </row>
    <row r="260" spans="1:7" x14ac:dyDescent="0.25">
      <c r="A260" s="62" t="s">
        <v>2028</v>
      </c>
      <c r="B260" s="62">
        <v>262</v>
      </c>
      <c r="C260" s="62">
        <v>1256</v>
      </c>
      <c r="D260" s="63" t="s">
        <v>299</v>
      </c>
      <c r="E260" s="64" t="s">
        <v>24</v>
      </c>
      <c r="F260" s="64">
        <v>258</v>
      </c>
      <c r="G260" s="67">
        <v>260</v>
      </c>
    </row>
    <row r="261" spans="1:7" x14ac:dyDescent="0.25">
      <c r="A261" s="62" t="s">
        <v>2029</v>
      </c>
      <c r="B261" s="62">
        <v>263</v>
      </c>
      <c r="C261" s="62">
        <v>1257</v>
      </c>
      <c r="D261" s="63" t="s">
        <v>300</v>
      </c>
      <c r="E261" s="64" t="s">
        <v>24</v>
      </c>
      <c r="F261" s="64">
        <v>266</v>
      </c>
      <c r="G261" s="67">
        <v>261</v>
      </c>
    </row>
    <row r="262" spans="1:7" x14ac:dyDescent="0.25">
      <c r="A262" s="62" t="s">
        <v>2030</v>
      </c>
      <c r="B262" s="62">
        <v>264</v>
      </c>
      <c r="C262" s="62">
        <v>1258</v>
      </c>
      <c r="D262" s="63" t="s">
        <v>301</v>
      </c>
      <c r="E262" s="64" t="s">
        <v>24</v>
      </c>
      <c r="F262" s="64">
        <v>260</v>
      </c>
      <c r="G262" s="67">
        <v>262</v>
      </c>
    </row>
    <row r="263" spans="1:7" x14ac:dyDescent="0.25">
      <c r="A263" s="62" t="s">
        <v>2031</v>
      </c>
      <c r="B263" s="62">
        <v>265</v>
      </c>
      <c r="C263" s="62">
        <v>1259</v>
      </c>
      <c r="D263" s="63" t="s">
        <v>302</v>
      </c>
      <c r="E263" s="64" t="s">
        <v>24</v>
      </c>
      <c r="F263" s="64">
        <v>262</v>
      </c>
      <c r="G263" s="67">
        <v>263</v>
      </c>
    </row>
    <row r="264" spans="1:7" x14ac:dyDescent="0.25">
      <c r="A264" s="62" t="s">
        <v>2032</v>
      </c>
      <c r="B264" s="62">
        <v>266</v>
      </c>
      <c r="C264" s="62">
        <v>1260</v>
      </c>
      <c r="D264" s="63" t="s">
        <v>303</v>
      </c>
      <c r="E264" s="64" t="s">
        <v>24</v>
      </c>
      <c r="F264" s="64">
        <v>265</v>
      </c>
      <c r="G264" s="67">
        <v>264</v>
      </c>
    </row>
    <row r="265" spans="1:7" x14ac:dyDescent="0.25">
      <c r="A265" s="62" t="s">
        <v>2033</v>
      </c>
      <c r="B265" s="62">
        <v>267</v>
      </c>
      <c r="C265" s="62">
        <v>1261</v>
      </c>
      <c r="D265" s="63" t="s">
        <v>304</v>
      </c>
      <c r="E265" s="64" t="s">
        <v>24</v>
      </c>
      <c r="F265" s="64">
        <v>270</v>
      </c>
      <c r="G265" s="67">
        <v>265</v>
      </c>
    </row>
    <row r="266" spans="1:7" x14ac:dyDescent="0.25">
      <c r="A266" s="62" t="s">
        <v>2034</v>
      </c>
      <c r="B266" s="62">
        <v>268</v>
      </c>
      <c r="C266" s="62">
        <v>1262</v>
      </c>
      <c r="D266" s="63" t="s">
        <v>305</v>
      </c>
      <c r="E266" s="64" t="s">
        <v>24</v>
      </c>
      <c r="F266" s="64">
        <v>271</v>
      </c>
      <c r="G266" s="67">
        <v>266</v>
      </c>
    </row>
    <row r="267" spans="1:7" x14ac:dyDescent="0.25">
      <c r="A267" s="62" t="s">
        <v>2035</v>
      </c>
      <c r="B267" s="62">
        <v>269</v>
      </c>
      <c r="C267" s="62">
        <v>1263</v>
      </c>
      <c r="D267" s="63" t="s">
        <v>306</v>
      </c>
      <c r="E267" s="64" t="s">
        <v>24</v>
      </c>
      <c r="F267" s="64">
        <v>272</v>
      </c>
      <c r="G267" s="67">
        <v>267</v>
      </c>
    </row>
    <row r="268" spans="1:7" x14ac:dyDescent="0.25">
      <c r="A268" s="62" t="s">
        <v>2036</v>
      </c>
      <c r="B268" s="62">
        <v>270</v>
      </c>
      <c r="C268" s="62">
        <v>1264</v>
      </c>
      <c r="D268" s="63" t="s">
        <v>307</v>
      </c>
      <c r="E268" s="64" t="s">
        <v>24</v>
      </c>
      <c r="F268" s="64">
        <v>273</v>
      </c>
      <c r="G268" s="67">
        <v>268</v>
      </c>
    </row>
    <row r="269" spans="1:7" x14ac:dyDescent="0.25">
      <c r="A269" s="62" t="s">
        <v>2037</v>
      </c>
      <c r="B269" s="62">
        <v>271</v>
      </c>
      <c r="C269" s="62">
        <v>1265</v>
      </c>
      <c r="D269" s="63" t="s">
        <v>308</v>
      </c>
      <c r="E269" s="64" t="s">
        <v>24</v>
      </c>
      <c r="F269" s="64">
        <v>274</v>
      </c>
      <c r="G269" s="67">
        <v>269</v>
      </c>
    </row>
    <row r="270" spans="1:7" x14ac:dyDescent="0.25">
      <c r="A270" s="62" t="s">
        <v>2038</v>
      </c>
      <c r="B270" s="62">
        <v>272</v>
      </c>
      <c r="C270" s="62">
        <v>1266</v>
      </c>
      <c r="D270" s="63" t="s">
        <v>309</v>
      </c>
      <c r="E270" s="64" t="s">
        <v>24</v>
      </c>
      <c r="F270" s="64">
        <v>275</v>
      </c>
      <c r="G270" s="67">
        <v>270</v>
      </c>
    </row>
    <row r="271" spans="1:7" x14ac:dyDescent="0.25">
      <c r="A271" s="62" t="s">
        <v>2039</v>
      </c>
      <c r="B271" s="62">
        <v>273</v>
      </c>
      <c r="C271" s="62">
        <v>1267</v>
      </c>
      <c r="D271" s="63" t="s">
        <v>310</v>
      </c>
      <c r="E271" s="64" t="s">
        <v>24</v>
      </c>
      <c r="F271" s="64">
        <v>276</v>
      </c>
      <c r="G271" s="67">
        <v>271</v>
      </c>
    </row>
    <row r="272" spans="1:7" x14ac:dyDescent="0.25">
      <c r="A272" s="62" t="s">
        <v>2040</v>
      </c>
      <c r="B272" s="62">
        <v>274</v>
      </c>
      <c r="C272" s="62">
        <v>1268</v>
      </c>
      <c r="D272" s="63" t="s">
        <v>311</v>
      </c>
      <c r="E272" s="64" t="s">
        <v>24</v>
      </c>
      <c r="F272" s="64">
        <v>277</v>
      </c>
      <c r="G272" s="67">
        <v>272</v>
      </c>
    </row>
    <row r="273" spans="1:7" x14ac:dyDescent="0.25">
      <c r="A273" s="62" t="s">
        <v>2041</v>
      </c>
      <c r="B273" s="62">
        <v>275</v>
      </c>
      <c r="C273" s="62">
        <v>1269</v>
      </c>
      <c r="D273" s="63" t="s">
        <v>312</v>
      </c>
      <c r="E273" s="64" t="s">
        <v>24</v>
      </c>
      <c r="F273" s="64">
        <v>276</v>
      </c>
      <c r="G273" s="67">
        <v>273</v>
      </c>
    </row>
    <row r="274" spans="1:7" x14ac:dyDescent="0.25">
      <c r="A274" s="62" t="s">
        <v>2042</v>
      </c>
      <c r="B274" s="62">
        <v>276</v>
      </c>
      <c r="C274" s="62">
        <v>1270</v>
      </c>
      <c r="D274" s="63" t="s">
        <v>313</v>
      </c>
      <c r="E274" s="64" t="s">
        <v>24</v>
      </c>
      <c r="F274" s="64">
        <v>279</v>
      </c>
      <c r="G274" s="67">
        <v>274</v>
      </c>
    </row>
    <row r="275" spans="1:7" x14ac:dyDescent="0.25">
      <c r="A275" s="62" t="s">
        <v>2043</v>
      </c>
      <c r="B275" s="62">
        <v>277</v>
      </c>
      <c r="C275" s="62">
        <v>1271</v>
      </c>
      <c r="D275" s="63" t="s">
        <v>314</v>
      </c>
      <c r="E275" s="64" t="s">
        <v>24</v>
      </c>
      <c r="F275" s="64">
        <v>280</v>
      </c>
      <c r="G275" s="67">
        <v>275</v>
      </c>
    </row>
    <row r="276" spans="1:7" x14ac:dyDescent="0.25">
      <c r="A276" s="62" t="s">
        <v>2044</v>
      </c>
      <c r="B276" s="62">
        <v>278</v>
      </c>
      <c r="C276" s="62">
        <v>1272</v>
      </c>
      <c r="D276" s="63" t="s">
        <v>315</v>
      </c>
      <c r="E276" s="64" t="s">
        <v>24</v>
      </c>
      <c r="F276" s="64">
        <v>281</v>
      </c>
      <c r="G276" s="67">
        <v>276</v>
      </c>
    </row>
    <row r="277" spans="1:7" x14ac:dyDescent="0.25">
      <c r="A277" s="62" t="s">
        <v>2045</v>
      </c>
      <c r="B277" s="62">
        <v>279</v>
      </c>
      <c r="C277" s="62">
        <v>1273</v>
      </c>
      <c r="D277" s="63" t="s">
        <v>316</v>
      </c>
      <c r="E277" s="64" t="s">
        <v>24</v>
      </c>
      <c r="F277" s="64">
        <v>282</v>
      </c>
      <c r="G277" s="67">
        <v>277</v>
      </c>
    </row>
    <row r="278" spans="1:7" x14ac:dyDescent="0.25">
      <c r="A278" s="62" t="s">
        <v>2046</v>
      </c>
      <c r="B278" s="62">
        <v>280</v>
      </c>
      <c r="C278" s="62">
        <v>1274</v>
      </c>
      <c r="D278" s="63" t="s">
        <v>317</v>
      </c>
      <c r="E278" s="64" t="s">
        <v>24</v>
      </c>
      <c r="F278" s="64">
        <v>283</v>
      </c>
      <c r="G278" s="67">
        <v>278</v>
      </c>
    </row>
    <row r="279" spans="1:7" x14ac:dyDescent="0.25">
      <c r="A279" s="62" t="s">
        <v>2047</v>
      </c>
      <c r="B279" s="62">
        <v>281</v>
      </c>
      <c r="C279" s="62">
        <v>1275</v>
      </c>
      <c r="D279" s="63" t="s">
        <v>318</v>
      </c>
      <c r="E279" s="64" t="s">
        <v>24</v>
      </c>
      <c r="F279" s="64">
        <v>284</v>
      </c>
      <c r="G279" s="67">
        <v>279</v>
      </c>
    </row>
    <row r="280" spans="1:7" x14ac:dyDescent="0.25">
      <c r="A280" s="62" t="s">
        <v>2048</v>
      </c>
      <c r="B280" s="62">
        <v>282</v>
      </c>
      <c r="C280" s="62">
        <v>1276</v>
      </c>
      <c r="D280" s="63" t="s">
        <v>319</v>
      </c>
      <c r="E280" s="64" t="s">
        <v>24</v>
      </c>
      <c r="F280" s="64">
        <v>285</v>
      </c>
      <c r="G280" s="67">
        <v>280</v>
      </c>
    </row>
    <row r="281" spans="1:7" x14ac:dyDescent="0.25">
      <c r="A281" s="62" t="s">
        <v>2049</v>
      </c>
      <c r="B281" s="62">
        <v>283</v>
      </c>
      <c r="C281" s="62">
        <v>1277</v>
      </c>
      <c r="D281" s="63" t="s">
        <v>320</v>
      </c>
      <c r="E281" s="64" t="s">
        <v>24</v>
      </c>
      <c r="F281" s="64">
        <v>286</v>
      </c>
      <c r="G281" s="67">
        <v>281</v>
      </c>
    </row>
    <row r="282" spans="1:7" x14ac:dyDescent="0.25">
      <c r="A282" s="62" t="s">
        <v>2050</v>
      </c>
      <c r="B282" s="62">
        <v>284</v>
      </c>
      <c r="C282" s="62">
        <v>1278</v>
      </c>
      <c r="D282" s="63" t="s">
        <v>321</v>
      </c>
      <c r="E282" s="64" t="s">
        <v>24</v>
      </c>
      <c r="F282" s="64">
        <v>287</v>
      </c>
      <c r="G282" s="67">
        <v>282</v>
      </c>
    </row>
    <row r="283" spans="1:7" x14ac:dyDescent="0.25">
      <c r="A283" s="62" t="s">
        <v>2051</v>
      </c>
      <c r="B283" s="62">
        <v>285</v>
      </c>
      <c r="C283" s="62">
        <v>1279</v>
      </c>
      <c r="D283" s="63" t="s">
        <v>322</v>
      </c>
      <c r="E283" s="64" t="s">
        <v>24</v>
      </c>
      <c r="F283" s="64">
        <v>288</v>
      </c>
      <c r="G283" s="67">
        <v>283</v>
      </c>
    </row>
    <row r="284" spans="1:7" x14ac:dyDescent="0.25">
      <c r="A284" s="62" t="s">
        <v>2052</v>
      </c>
      <c r="B284" s="62">
        <v>286</v>
      </c>
      <c r="C284" s="62">
        <v>1280</v>
      </c>
      <c r="D284" s="63" t="s">
        <v>323</v>
      </c>
      <c r="E284" s="64" t="s">
        <v>24</v>
      </c>
      <c r="F284" s="64">
        <v>289</v>
      </c>
      <c r="G284" s="67">
        <v>284</v>
      </c>
    </row>
    <row r="285" spans="1:7" x14ac:dyDescent="0.25">
      <c r="A285" s="62" t="s">
        <v>2053</v>
      </c>
      <c r="B285" s="62">
        <v>287</v>
      </c>
      <c r="C285" s="62">
        <v>1281</v>
      </c>
      <c r="D285" s="63" t="s">
        <v>324</v>
      </c>
      <c r="E285" s="64" t="s">
        <v>24</v>
      </c>
      <c r="F285" s="64">
        <v>290</v>
      </c>
      <c r="G285" s="67">
        <v>285</v>
      </c>
    </row>
    <row r="286" spans="1:7" x14ac:dyDescent="0.25">
      <c r="A286" s="62" t="s">
        <v>2054</v>
      </c>
      <c r="B286" s="62">
        <v>288</v>
      </c>
      <c r="C286" s="62">
        <v>1282</v>
      </c>
      <c r="D286" s="63" t="s">
        <v>325</v>
      </c>
      <c r="E286" s="64" t="s">
        <v>24</v>
      </c>
      <c r="F286" s="64">
        <v>291</v>
      </c>
      <c r="G286" s="67">
        <v>286</v>
      </c>
    </row>
    <row r="287" spans="1:7" x14ac:dyDescent="0.25">
      <c r="A287" s="62" t="s">
        <v>2055</v>
      </c>
      <c r="B287" s="62">
        <v>289</v>
      </c>
      <c r="C287" s="62">
        <v>1283</v>
      </c>
      <c r="D287" s="63" t="s">
        <v>326</v>
      </c>
      <c r="E287" s="64" t="s">
        <v>24</v>
      </c>
      <c r="F287" s="64">
        <v>292</v>
      </c>
      <c r="G287" s="67">
        <v>287</v>
      </c>
    </row>
    <row r="288" spans="1:7" x14ac:dyDescent="0.25">
      <c r="A288" s="62" t="s">
        <v>2056</v>
      </c>
      <c r="B288" s="62">
        <v>290</v>
      </c>
      <c r="C288" s="62">
        <v>1284</v>
      </c>
      <c r="D288" s="63" t="s">
        <v>327</v>
      </c>
      <c r="E288" s="64" t="s">
        <v>24</v>
      </c>
      <c r="F288" s="64">
        <v>293</v>
      </c>
      <c r="G288" s="67">
        <v>288</v>
      </c>
    </row>
    <row r="289" spans="1:7" x14ac:dyDescent="0.25">
      <c r="A289" s="62" t="s">
        <v>2057</v>
      </c>
      <c r="B289" s="62">
        <v>291</v>
      </c>
      <c r="C289" s="62">
        <v>1285</v>
      </c>
      <c r="D289" s="63" t="s">
        <v>328</v>
      </c>
      <c r="E289" s="64" t="s">
        <v>24</v>
      </c>
      <c r="F289" s="64">
        <v>292</v>
      </c>
      <c r="G289" s="67">
        <v>289</v>
      </c>
    </row>
    <row r="290" spans="1:7" x14ac:dyDescent="0.25">
      <c r="A290" s="62" t="s">
        <v>2058</v>
      </c>
      <c r="B290" s="62">
        <v>292</v>
      </c>
      <c r="C290" s="62">
        <v>1286</v>
      </c>
      <c r="D290" s="63" t="s">
        <v>329</v>
      </c>
      <c r="E290" s="64" t="s">
        <v>24</v>
      </c>
      <c r="F290" s="64">
        <v>295</v>
      </c>
      <c r="G290" s="67">
        <v>290</v>
      </c>
    </row>
    <row r="291" spans="1:7" x14ac:dyDescent="0.25">
      <c r="A291" s="62" t="s">
        <v>2059</v>
      </c>
      <c r="B291" s="62">
        <v>293</v>
      </c>
      <c r="C291" s="62">
        <v>1287</v>
      </c>
      <c r="D291" s="63" t="s">
        <v>330</v>
      </c>
      <c r="E291" s="64" t="s">
        <v>24</v>
      </c>
      <c r="F291" s="64">
        <v>296</v>
      </c>
      <c r="G291" s="67">
        <v>291</v>
      </c>
    </row>
    <row r="292" spans="1:7" x14ac:dyDescent="0.25">
      <c r="A292" s="62" t="s">
        <v>2060</v>
      </c>
      <c r="B292" s="62">
        <v>294</v>
      </c>
      <c r="C292" s="62">
        <v>1288</v>
      </c>
      <c r="D292" s="63" t="s">
        <v>331</v>
      </c>
      <c r="E292" s="64" t="s">
        <v>24</v>
      </c>
      <c r="F292" s="64">
        <v>297</v>
      </c>
      <c r="G292" s="67">
        <v>292</v>
      </c>
    </row>
    <row r="293" spans="1:7" x14ac:dyDescent="0.25">
      <c r="A293" s="62" t="s">
        <v>2061</v>
      </c>
      <c r="B293" s="62">
        <v>295</v>
      </c>
      <c r="C293" s="62">
        <v>1289</v>
      </c>
      <c r="D293" s="63" t="s">
        <v>332</v>
      </c>
      <c r="E293" s="64" t="s">
        <v>24</v>
      </c>
      <c r="F293" s="64">
        <v>298</v>
      </c>
      <c r="G293" s="67">
        <v>293</v>
      </c>
    </row>
    <row r="294" spans="1:7" x14ac:dyDescent="0.25">
      <c r="A294" s="62" t="s">
        <v>2062</v>
      </c>
      <c r="B294" s="62">
        <v>296</v>
      </c>
      <c r="C294" s="62">
        <v>1290</v>
      </c>
      <c r="D294" s="63" t="s">
        <v>333</v>
      </c>
      <c r="E294" s="64" t="s">
        <v>24</v>
      </c>
      <c r="F294" s="64">
        <v>299</v>
      </c>
      <c r="G294" s="67">
        <v>294</v>
      </c>
    </row>
    <row r="295" spans="1:7" x14ac:dyDescent="0.25">
      <c r="A295" s="62" t="s">
        <v>2063</v>
      </c>
      <c r="B295" s="62">
        <v>297</v>
      </c>
      <c r="C295" s="62">
        <v>1291</v>
      </c>
      <c r="D295" s="63" t="s">
        <v>334</v>
      </c>
      <c r="E295" s="64" t="s">
        <v>24</v>
      </c>
      <c r="F295" s="64">
        <v>300</v>
      </c>
      <c r="G295" s="67">
        <v>295</v>
      </c>
    </row>
    <row r="296" spans="1:7" x14ac:dyDescent="0.25">
      <c r="A296" s="62" t="s">
        <v>2064</v>
      </c>
      <c r="B296" s="62">
        <v>298</v>
      </c>
      <c r="C296" s="62">
        <v>1292</v>
      </c>
      <c r="D296" s="63" t="s">
        <v>335</v>
      </c>
      <c r="E296" s="64" t="s">
        <v>24</v>
      </c>
      <c r="F296" s="64">
        <v>301</v>
      </c>
      <c r="G296" s="67">
        <v>296</v>
      </c>
    </row>
    <row r="297" spans="1:7" x14ac:dyDescent="0.25">
      <c r="A297" s="62" t="s">
        <v>2065</v>
      </c>
      <c r="B297" s="62">
        <v>299</v>
      </c>
      <c r="C297" s="62">
        <v>1293</v>
      </c>
      <c r="D297" s="63" t="s">
        <v>336</v>
      </c>
      <c r="E297" s="64" t="s">
        <v>24</v>
      </c>
      <c r="F297" s="64">
        <v>302</v>
      </c>
      <c r="G297" s="67">
        <v>297</v>
      </c>
    </row>
    <row r="298" spans="1:7" x14ac:dyDescent="0.25">
      <c r="A298" s="62" t="s">
        <v>2066</v>
      </c>
      <c r="B298" s="62">
        <v>300</v>
      </c>
      <c r="C298" s="62">
        <v>1294</v>
      </c>
      <c r="D298" s="63" t="s">
        <v>337</v>
      </c>
      <c r="E298" s="64" t="s">
        <v>24</v>
      </c>
      <c r="F298" s="64">
        <v>303</v>
      </c>
      <c r="G298" s="67">
        <v>298</v>
      </c>
    </row>
    <row r="299" spans="1:7" x14ac:dyDescent="0.25">
      <c r="A299" s="62" t="s">
        <v>2067</v>
      </c>
      <c r="B299" s="62">
        <v>301</v>
      </c>
      <c r="C299" s="62">
        <v>1295</v>
      </c>
      <c r="D299" s="63" t="s">
        <v>338</v>
      </c>
      <c r="E299" s="64" t="s">
        <v>24</v>
      </c>
      <c r="F299" s="64">
        <v>304</v>
      </c>
      <c r="G299" s="67">
        <v>299</v>
      </c>
    </row>
    <row r="300" spans="1:7" x14ac:dyDescent="0.25">
      <c r="A300" s="62" t="s">
        <v>2068</v>
      </c>
      <c r="B300" s="62">
        <v>302</v>
      </c>
      <c r="C300" s="62">
        <v>1296</v>
      </c>
      <c r="D300" s="63" t="s">
        <v>339</v>
      </c>
      <c r="E300" s="64" t="s">
        <v>24</v>
      </c>
      <c r="F300" s="64">
        <v>305</v>
      </c>
      <c r="G300" s="67">
        <v>300</v>
      </c>
    </row>
    <row r="301" spans="1:7" x14ac:dyDescent="0.25">
      <c r="A301" s="62" t="s">
        <v>2069</v>
      </c>
      <c r="B301" s="62">
        <v>303</v>
      </c>
      <c r="C301" s="62">
        <v>1297</v>
      </c>
      <c r="D301" s="63" t="s">
        <v>340</v>
      </c>
      <c r="E301" s="64" t="s">
        <v>24</v>
      </c>
      <c r="F301" s="64">
        <v>306</v>
      </c>
      <c r="G301" s="67">
        <v>301</v>
      </c>
    </row>
    <row r="302" spans="1:7" x14ac:dyDescent="0.25">
      <c r="A302" s="62" t="s">
        <v>2070</v>
      </c>
      <c r="B302" s="62">
        <v>304</v>
      </c>
      <c r="C302" s="62">
        <v>1298</v>
      </c>
      <c r="D302" s="63" t="s">
        <v>341</v>
      </c>
      <c r="E302" s="64" t="s">
        <v>24</v>
      </c>
      <c r="F302" s="64">
        <v>307</v>
      </c>
      <c r="G302" s="67">
        <v>302</v>
      </c>
    </row>
    <row r="303" spans="1:7" x14ac:dyDescent="0.25">
      <c r="A303" s="62" t="s">
        <v>2071</v>
      </c>
      <c r="B303" s="62">
        <v>305</v>
      </c>
      <c r="C303" s="62">
        <v>1299</v>
      </c>
      <c r="D303" s="63" t="s">
        <v>343</v>
      </c>
      <c r="E303" s="64" t="s">
        <v>24</v>
      </c>
      <c r="F303" s="64">
        <v>308</v>
      </c>
      <c r="G303" s="67">
        <v>303</v>
      </c>
    </row>
    <row r="304" spans="1:7" x14ac:dyDescent="0.25">
      <c r="A304" s="62" t="s">
        <v>2072</v>
      </c>
      <c r="B304" s="62">
        <v>306</v>
      </c>
      <c r="C304" s="62">
        <v>1300</v>
      </c>
      <c r="D304" s="63" t="s">
        <v>344</v>
      </c>
      <c r="E304" s="64" t="s">
        <v>24</v>
      </c>
      <c r="F304" s="64">
        <v>309</v>
      </c>
      <c r="G304" s="67">
        <v>304</v>
      </c>
    </row>
    <row r="305" spans="1:7" x14ac:dyDescent="0.25">
      <c r="A305" s="62" t="s">
        <v>2073</v>
      </c>
      <c r="B305" s="62">
        <v>307</v>
      </c>
      <c r="C305" s="62">
        <v>1301</v>
      </c>
      <c r="D305" s="63" t="s">
        <v>346</v>
      </c>
      <c r="E305" s="64" t="s">
        <v>24</v>
      </c>
      <c r="F305" s="64">
        <v>310</v>
      </c>
      <c r="G305" s="67">
        <v>305</v>
      </c>
    </row>
    <row r="306" spans="1:7" x14ac:dyDescent="0.25">
      <c r="A306" s="62" t="s">
        <v>2074</v>
      </c>
      <c r="B306" s="62">
        <v>308</v>
      </c>
      <c r="C306" s="62">
        <v>1302</v>
      </c>
      <c r="D306" s="63" t="s">
        <v>347</v>
      </c>
      <c r="E306" s="64" t="s">
        <v>24</v>
      </c>
      <c r="F306" s="64">
        <v>311</v>
      </c>
      <c r="G306" s="67">
        <v>306</v>
      </c>
    </row>
    <row r="307" spans="1:7" x14ac:dyDescent="0.25">
      <c r="A307" s="62" t="s">
        <v>2075</v>
      </c>
      <c r="B307" s="62">
        <v>309</v>
      </c>
      <c r="C307" s="62">
        <v>1303</v>
      </c>
      <c r="D307" s="63" t="s">
        <v>349</v>
      </c>
      <c r="E307" s="64" t="s">
        <v>24</v>
      </c>
      <c r="F307" s="64">
        <v>312</v>
      </c>
      <c r="G307" s="67">
        <v>307</v>
      </c>
    </row>
    <row r="308" spans="1:7" x14ac:dyDescent="0.25">
      <c r="A308" s="62" t="s">
        <v>2076</v>
      </c>
      <c r="B308" s="62">
        <v>310</v>
      </c>
      <c r="C308" s="62">
        <v>1304</v>
      </c>
      <c r="D308" s="63" t="s">
        <v>351</v>
      </c>
      <c r="E308" s="64" t="s">
        <v>24</v>
      </c>
      <c r="F308" s="64">
        <v>313</v>
      </c>
      <c r="G308" s="67">
        <v>308</v>
      </c>
    </row>
    <row r="309" spans="1:7" x14ac:dyDescent="0.25">
      <c r="A309" s="62" t="s">
        <v>2077</v>
      </c>
      <c r="B309" s="62">
        <v>311</v>
      </c>
      <c r="C309" s="62">
        <v>1305</v>
      </c>
      <c r="D309" s="63" t="s">
        <v>352</v>
      </c>
      <c r="E309" s="64" t="s">
        <v>24</v>
      </c>
      <c r="F309" s="64">
        <v>314</v>
      </c>
      <c r="G309" s="67">
        <v>309</v>
      </c>
    </row>
    <row r="310" spans="1:7" x14ac:dyDescent="0.25">
      <c r="A310" s="62" t="s">
        <v>2078</v>
      </c>
      <c r="B310" s="62">
        <v>312</v>
      </c>
      <c r="C310" s="62">
        <v>1306</v>
      </c>
      <c r="D310" s="63" t="s">
        <v>353</v>
      </c>
      <c r="E310" s="64" t="s">
        <v>24</v>
      </c>
      <c r="F310" s="64">
        <v>315</v>
      </c>
      <c r="G310" s="67">
        <v>310</v>
      </c>
    </row>
    <row r="311" spans="1:7" x14ac:dyDescent="0.25">
      <c r="A311" s="62" t="s">
        <v>2079</v>
      </c>
      <c r="B311" s="62">
        <v>313</v>
      </c>
      <c r="C311" s="62">
        <v>1307</v>
      </c>
      <c r="D311" s="63" t="s">
        <v>354</v>
      </c>
      <c r="E311" s="64" t="s">
        <v>24</v>
      </c>
      <c r="F311" s="64">
        <v>316</v>
      </c>
      <c r="G311" s="67">
        <v>311</v>
      </c>
    </row>
    <row r="312" spans="1:7" x14ac:dyDescent="0.25">
      <c r="A312" s="62" t="s">
        <v>2080</v>
      </c>
      <c r="B312" s="62">
        <v>314</v>
      </c>
      <c r="C312" s="62">
        <v>1308</v>
      </c>
      <c r="D312" s="63" t="s">
        <v>355</v>
      </c>
      <c r="E312" s="64" t="s">
        <v>24</v>
      </c>
      <c r="F312" s="64">
        <v>317</v>
      </c>
      <c r="G312" s="67">
        <v>312</v>
      </c>
    </row>
    <row r="313" spans="1:7" x14ac:dyDescent="0.25">
      <c r="A313" s="62" t="s">
        <v>2081</v>
      </c>
      <c r="B313" s="62">
        <v>315</v>
      </c>
      <c r="C313" s="62">
        <v>1309</v>
      </c>
      <c r="D313" s="63" t="s">
        <v>356</v>
      </c>
      <c r="E313" s="64" t="s">
        <v>24</v>
      </c>
      <c r="F313" s="64">
        <v>318</v>
      </c>
      <c r="G313" s="67">
        <v>313</v>
      </c>
    </row>
    <row r="314" spans="1:7" x14ac:dyDescent="0.25">
      <c r="A314" s="62" t="s">
        <v>2082</v>
      </c>
      <c r="B314" s="62">
        <v>316</v>
      </c>
      <c r="C314" s="62">
        <v>1310</v>
      </c>
      <c r="D314" s="63" t="s">
        <v>357</v>
      </c>
      <c r="E314" s="64" t="s">
        <v>24</v>
      </c>
      <c r="F314" s="64">
        <v>319</v>
      </c>
      <c r="G314" s="67">
        <v>314</v>
      </c>
    </row>
    <row r="315" spans="1:7" x14ac:dyDescent="0.25">
      <c r="A315" s="62" t="s">
        <v>2083</v>
      </c>
      <c r="B315" s="62">
        <v>317</v>
      </c>
      <c r="C315" s="62">
        <v>1311</v>
      </c>
      <c r="D315" s="63" t="s">
        <v>358</v>
      </c>
      <c r="E315" s="64" t="s">
        <v>24</v>
      </c>
      <c r="F315" s="64">
        <v>320</v>
      </c>
      <c r="G315" s="67">
        <v>315</v>
      </c>
    </row>
    <row r="316" spans="1:7" x14ac:dyDescent="0.25">
      <c r="A316" s="62" t="s">
        <v>2084</v>
      </c>
      <c r="B316" s="62">
        <v>318</v>
      </c>
      <c r="C316" s="62">
        <v>1312</v>
      </c>
      <c r="D316" s="63" t="s">
        <v>359</v>
      </c>
      <c r="E316" s="64" t="s">
        <v>24</v>
      </c>
      <c r="F316" s="64">
        <v>319</v>
      </c>
      <c r="G316" s="67">
        <v>316</v>
      </c>
    </row>
    <row r="317" spans="1:7" x14ac:dyDescent="0.25">
      <c r="A317" s="62" t="s">
        <v>2085</v>
      </c>
      <c r="B317" s="62">
        <v>319</v>
      </c>
      <c r="C317" s="62">
        <v>1313</v>
      </c>
      <c r="D317" s="63" t="s">
        <v>361</v>
      </c>
      <c r="E317" s="64" t="s">
        <v>24</v>
      </c>
      <c r="F317" s="64">
        <v>319</v>
      </c>
      <c r="G317" s="67">
        <v>317</v>
      </c>
    </row>
    <row r="318" spans="1:7" x14ac:dyDescent="0.25">
      <c r="A318" s="62" t="s">
        <v>2086</v>
      </c>
      <c r="B318" s="62">
        <v>320</v>
      </c>
      <c r="C318" s="62">
        <v>1314</v>
      </c>
      <c r="D318" s="63" t="s">
        <v>362</v>
      </c>
      <c r="E318" s="64" t="s">
        <v>24</v>
      </c>
      <c r="F318" s="64">
        <v>323</v>
      </c>
      <c r="G318" s="67">
        <v>318</v>
      </c>
    </row>
    <row r="319" spans="1:7" x14ac:dyDescent="0.25">
      <c r="A319" s="62" t="s">
        <v>2087</v>
      </c>
      <c r="B319" s="62">
        <v>321</v>
      </c>
      <c r="C319" s="62">
        <v>1315</v>
      </c>
      <c r="D319" s="63" t="s">
        <v>363</v>
      </c>
      <c r="E319" s="64" t="s">
        <v>24</v>
      </c>
      <c r="F319" s="64">
        <v>324</v>
      </c>
      <c r="G319" s="67">
        <v>319</v>
      </c>
    </row>
    <row r="320" spans="1:7" x14ac:dyDescent="0.25">
      <c r="A320" s="62" t="s">
        <v>2088</v>
      </c>
      <c r="B320" s="62">
        <v>322</v>
      </c>
      <c r="C320" s="62">
        <v>1316</v>
      </c>
      <c r="D320" s="63" t="s">
        <v>364</v>
      </c>
      <c r="E320" s="64" t="s">
        <v>24</v>
      </c>
      <c r="F320" s="64">
        <v>325</v>
      </c>
      <c r="G320" s="67">
        <v>320</v>
      </c>
    </row>
    <row r="321" spans="1:7" x14ac:dyDescent="0.25">
      <c r="A321" s="62" t="s">
        <v>2089</v>
      </c>
      <c r="B321" s="62">
        <v>323</v>
      </c>
      <c r="C321" s="62">
        <v>1317</v>
      </c>
      <c r="D321" s="63" t="s">
        <v>365</v>
      </c>
      <c r="E321" s="64" t="s">
        <v>24</v>
      </c>
      <c r="F321" s="64">
        <v>326</v>
      </c>
      <c r="G321" s="67">
        <v>321</v>
      </c>
    </row>
    <row r="322" spans="1:7" x14ac:dyDescent="0.25">
      <c r="A322" s="62" t="s">
        <v>2090</v>
      </c>
      <c r="B322" s="62">
        <v>324</v>
      </c>
      <c r="C322" s="62">
        <v>1318</v>
      </c>
      <c r="D322" s="63" t="s">
        <v>366</v>
      </c>
      <c r="E322" s="64" t="s">
        <v>24</v>
      </c>
      <c r="F322" s="64">
        <v>327</v>
      </c>
      <c r="G322" s="67">
        <v>322</v>
      </c>
    </row>
    <row r="323" spans="1:7" x14ac:dyDescent="0.25">
      <c r="A323" s="62" t="s">
        <v>2091</v>
      </c>
      <c r="B323" s="62">
        <v>325</v>
      </c>
      <c r="C323" s="62">
        <v>1319</v>
      </c>
      <c r="D323" s="63" t="s">
        <v>367</v>
      </c>
      <c r="E323" s="64" t="s">
        <v>24</v>
      </c>
      <c r="F323" s="64">
        <v>328</v>
      </c>
      <c r="G323" s="67">
        <v>323</v>
      </c>
    </row>
    <row r="324" spans="1:7" x14ac:dyDescent="0.25">
      <c r="A324" s="62" t="s">
        <v>2092</v>
      </c>
      <c r="B324" s="62">
        <v>326</v>
      </c>
      <c r="C324" s="62">
        <v>1320</v>
      </c>
      <c r="D324" s="63" t="s">
        <v>368</v>
      </c>
      <c r="E324" s="64" t="s">
        <v>24</v>
      </c>
      <c r="F324" s="64">
        <v>329</v>
      </c>
      <c r="G324" s="67">
        <v>324</v>
      </c>
    </row>
    <row r="325" spans="1:7" x14ac:dyDescent="0.25">
      <c r="A325" s="62" t="s">
        <v>2093</v>
      </c>
      <c r="B325" s="62">
        <v>327</v>
      </c>
      <c r="C325" s="62">
        <v>1321</v>
      </c>
      <c r="D325" s="63" t="s">
        <v>369</v>
      </c>
      <c r="E325" s="64" t="s">
        <v>24</v>
      </c>
      <c r="F325" s="64">
        <v>330</v>
      </c>
      <c r="G325" s="67">
        <v>325</v>
      </c>
    </row>
    <row r="326" spans="1:7" x14ac:dyDescent="0.25">
      <c r="A326" s="62" t="s">
        <v>2094</v>
      </c>
      <c r="B326" s="62">
        <v>328</v>
      </c>
      <c r="C326" s="62">
        <v>1322</v>
      </c>
      <c r="D326" s="63" t="s">
        <v>370</v>
      </c>
      <c r="E326" s="64" t="s">
        <v>24</v>
      </c>
      <c r="F326" s="64">
        <v>331</v>
      </c>
      <c r="G326" s="67">
        <v>326</v>
      </c>
    </row>
    <row r="327" spans="1:7" x14ac:dyDescent="0.25">
      <c r="A327" s="62" t="s">
        <v>2095</v>
      </c>
      <c r="B327" s="62">
        <v>329</v>
      </c>
      <c r="C327" s="62">
        <v>1323</v>
      </c>
      <c r="D327" s="63" t="s">
        <v>371</v>
      </c>
      <c r="E327" s="64" t="s">
        <v>24</v>
      </c>
      <c r="F327" s="64">
        <v>332</v>
      </c>
      <c r="G327" s="67">
        <v>327</v>
      </c>
    </row>
    <row r="328" spans="1:7" x14ac:dyDescent="0.25">
      <c r="A328" s="62" t="s">
        <v>2096</v>
      </c>
      <c r="B328" s="62">
        <v>330</v>
      </c>
      <c r="C328" s="62">
        <v>1324</v>
      </c>
      <c r="D328" s="63" t="s">
        <v>372</v>
      </c>
      <c r="E328" s="64" t="s">
        <v>24</v>
      </c>
      <c r="F328" s="64">
        <v>333</v>
      </c>
      <c r="G328" s="67">
        <v>328</v>
      </c>
    </row>
    <row r="329" spans="1:7" x14ac:dyDescent="0.25">
      <c r="A329" s="62" t="s">
        <v>2097</v>
      </c>
      <c r="B329" s="62">
        <v>331</v>
      </c>
      <c r="C329" s="62">
        <v>1325</v>
      </c>
      <c r="D329" s="63" t="s">
        <v>373</v>
      </c>
      <c r="E329" s="64" t="s">
        <v>24</v>
      </c>
      <c r="F329" s="64">
        <v>334</v>
      </c>
      <c r="G329" s="67">
        <v>329</v>
      </c>
    </row>
    <row r="330" spans="1:7" x14ac:dyDescent="0.25">
      <c r="A330" s="62" t="s">
        <v>2098</v>
      </c>
      <c r="B330" s="62">
        <v>332</v>
      </c>
      <c r="C330" s="62">
        <v>1326</v>
      </c>
      <c r="D330" s="63" t="s">
        <v>374</v>
      </c>
      <c r="E330" s="64" t="s">
        <v>24</v>
      </c>
      <c r="F330" s="64">
        <v>335</v>
      </c>
      <c r="G330" s="67">
        <v>330</v>
      </c>
    </row>
    <row r="331" spans="1:7" x14ac:dyDescent="0.25">
      <c r="A331" s="62" t="s">
        <v>2099</v>
      </c>
      <c r="B331" s="62">
        <v>333</v>
      </c>
      <c r="C331" s="62">
        <v>1327</v>
      </c>
      <c r="D331" s="63" t="s">
        <v>375</v>
      </c>
      <c r="E331" s="64" t="s">
        <v>24</v>
      </c>
      <c r="F331" s="64">
        <v>336</v>
      </c>
      <c r="G331" s="67">
        <v>331</v>
      </c>
    </row>
    <row r="332" spans="1:7" x14ac:dyDescent="0.25">
      <c r="A332" s="62" t="s">
        <v>2100</v>
      </c>
      <c r="B332" s="62">
        <v>334</v>
      </c>
      <c r="C332" s="62">
        <v>1328</v>
      </c>
      <c r="D332" s="63" t="s">
        <v>376</v>
      </c>
      <c r="E332" s="64" t="s">
        <v>24</v>
      </c>
      <c r="F332" s="64">
        <v>337</v>
      </c>
      <c r="G332" s="67">
        <v>332</v>
      </c>
    </row>
    <row r="333" spans="1:7" x14ac:dyDescent="0.25">
      <c r="A333" s="62" t="s">
        <v>2101</v>
      </c>
      <c r="B333" s="62">
        <v>335</v>
      </c>
      <c r="C333" s="62">
        <v>1329</v>
      </c>
      <c r="D333" s="63" t="s">
        <v>377</v>
      </c>
      <c r="E333" s="64" t="s">
        <v>24</v>
      </c>
      <c r="F333" s="64">
        <v>338</v>
      </c>
      <c r="G333" s="67">
        <v>333</v>
      </c>
    </row>
    <row r="334" spans="1:7" x14ac:dyDescent="0.25">
      <c r="A334" s="62" t="s">
        <v>2102</v>
      </c>
      <c r="B334" s="62">
        <v>336</v>
      </c>
      <c r="C334" s="62">
        <v>1330</v>
      </c>
      <c r="D334" s="63" t="s">
        <v>379</v>
      </c>
      <c r="E334" s="64" t="s">
        <v>24</v>
      </c>
      <c r="F334" s="64">
        <v>339</v>
      </c>
      <c r="G334" s="67">
        <v>334</v>
      </c>
    </row>
    <row r="335" spans="1:7" x14ac:dyDescent="0.25">
      <c r="A335" s="62" t="s">
        <v>2103</v>
      </c>
      <c r="B335" s="62">
        <v>337</v>
      </c>
      <c r="C335" s="62">
        <v>1331</v>
      </c>
      <c r="D335" s="63" t="s">
        <v>380</v>
      </c>
      <c r="E335" s="64" t="s">
        <v>24</v>
      </c>
      <c r="F335" s="64">
        <v>340</v>
      </c>
      <c r="G335" s="67">
        <v>335</v>
      </c>
    </row>
    <row r="336" spans="1:7" x14ac:dyDescent="0.25">
      <c r="A336" s="62" t="s">
        <v>2104</v>
      </c>
      <c r="B336" s="62">
        <v>338</v>
      </c>
      <c r="C336" s="62">
        <v>1332</v>
      </c>
      <c r="D336" s="63" t="s">
        <v>381</v>
      </c>
      <c r="E336" s="64" t="s">
        <v>24</v>
      </c>
      <c r="F336" s="64">
        <v>341</v>
      </c>
      <c r="G336" s="67">
        <v>336</v>
      </c>
    </row>
    <row r="337" spans="1:7" x14ac:dyDescent="0.25">
      <c r="A337" s="62" t="s">
        <v>2105</v>
      </c>
      <c r="B337" s="62">
        <v>339</v>
      </c>
      <c r="C337" s="62">
        <v>1333</v>
      </c>
      <c r="D337" s="63" t="s">
        <v>382</v>
      </c>
      <c r="E337" s="64" t="s">
        <v>55</v>
      </c>
      <c r="F337" s="64">
        <v>342</v>
      </c>
      <c r="G337" s="67">
        <v>337</v>
      </c>
    </row>
    <row r="338" spans="1:7" x14ac:dyDescent="0.25">
      <c r="A338" s="62" t="s">
        <v>2106</v>
      </c>
      <c r="B338" s="62">
        <v>340</v>
      </c>
      <c r="C338" s="62">
        <v>1334</v>
      </c>
      <c r="D338" s="63" t="s">
        <v>383</v>
      </c>
      <c r="E338" s="64" t="s">
        <v>24</v>
      </c>
      <c r="F338" s="64">
        <v>343</v>
      </c>
      <c r="G338" s="67">
        <v>338</v>
      </c>
    </row>
    <row r="339" spans="1:7" x14ac:dyDescent="0.25">
      <c r="A339" s="62" t="s">
        <v>2107</v>
      </c>
      <c r="B339" s="62">
        <v>341</v>
      </c>
      <c r="C339" s="62">
        <v>1335</v>
      </c>
      <c r="D339" s="63" t="s">
        <v>385</v>
      </c>
      <c r="E339" s="64" t="s">
        <v>24</v>
      </c>
      <c r="F339" s="64">
        <v>344</v>
      </c>
      <c r="G339" s="67">
        <v>339</v>
      </c>
    </row>
    <row r="340" spans="1:7" x14ac:dyDescent="0.25">
      <c r="A340" s="62" t="s">
        <v>2108</v>
      </c>
      <c r="B340" s="62">
        <v>342</v>
      </c>
      <c r="C340" s="62">
        <v>1336</v>
      </c>
      <c r="D340" s="63" t="s">
        <v>387</v>
      </c>
      <c r="E340" s="64" t="s">
        <v>24</v>
      </c>
      <c r="F340" s="64">
        <v>345</v>
      </c>
      <c r="G340" s="67">
        <v>340</v>
      </c>
    </row>
    <row r="341" spans="1:7" x14ac:dyDescent="0.25">
      <c r="A341" s="62" t="s">
        <v>2109</v>
      </c>
      <c r="B341" s="62">
        <v>343</v>
      </c>
      <c r="C341" s="62">
        <v>1337</v>
      </c>
      <c r="D341" s="63" t="s">
        <v>389</v>
      </c>
      <c r="E341" s="64" t="s">
        <v>24</v>
      </c>
      <c r="F341" s="64">
        <v>346</v>
      </c>
      <c r="G341" s="67">
        <v>341</v>
      </c>
    </row>
    <row r="342" spans="1:7" x14ac:dyDescent="0.25">
      <c r="A342" s="62" t="s">
        <v>2110</v>
      </c>
      <c r="B342" s="62">
        <v>344</v>
      </c>
      <c r="C342" s="62">
        <v>1338</v>
      </c>
      <c r="D342" s="63" t="s">
        <v>390</v>
      </c>
      <c r="E342" s="64" t="s">
        <v>24</v>
      </c>
      <c r="F342" s="64">
        <v>347</v>
      </c>
      <c r="G342" s="67">
        <v>342</v>
      </c>
    </row>
    <row r="343" spans="1:7" x14ac:dyDescent="0.25">
      <c r="A343" s="62" t="s">
        <v>2111</v>
      </c>
      <c r="B343" s="62">
        <v>345</v>
      </c>
      <c r="C343" s="62">
        <v>1339</v>
      </c>
      <c r="D343" s="63" t="s">
        <v>391</v>
      </c>
      <c r="E343" s="64" t="s">
        <v>24</v>
      </c>
      <c r="F343" s="64">
        <v>348</v>
      </c>
      <c r="G343" s="67">
        <v>343</v>
      </c>
    </row>
    <row r="344" spans="1:7" x14ac:dyDescent="0.25">
      <c r="A344" s="62" t="s">
        <v>2112</v>
      </c>
      <c r="B344" s="62">
        <v>346</v>
      </c>
      <c r="C344" s="62">
        <v>1340</v>
      </c>
      <c r="D344" s="63" t="s">
        <v>392</v>
      </c>
      <c r="E344" s="64" t="s">
        <v>24</v>
      </c>
      <c r="F344" s="64">
        <v>349</v>
      </c>
      <c r="G344" s="67">
        <v>344</v>
      </c>
    </row>
    <row r="345" spans="1:7" x14ac:dyDescent="0.25">
      <c r="A345" s="62" t="s">
        <v>2113</v>
      </c>
      <c r="B345" s="62">
        <v>347</v>
      </c>
      <c r="C345" s="62">
        <v>1341</v>
      </c>
      <c r="D345" s="63" t="s">
        <v>393</v>
      </c>
      <c r="E345" s="64" t="s">
        <v>24</v>
      </c>
      <c r="F345" s="64">
        <v>350</v>
      </c>
      <c r="G345" s="67">
        <v>345</v>
      </c>
    </row>
    <row r="346" spans="1:7" x14ac:dyDescent="0.25">
      <c r="A346" s="62" t="s">
        <v>2114</v>
      </c>
      <c r="B346" s="62">
        <v>348</v>
      </c>
      <c r="C346" s="62">
        <v>1342</v>
      </c>
      <c r="D346" s="63" t="s">
        <v>394</v>
      </c>
      <c r="E346" s="64" t="s">
        <v>24</v>
      </c>
      <c r="F346" s="64">
        <v>351</v>
      </c>
      <c r="G346" s="67">
        <v>346</v>
      </c>
    </row>
    <row r="347" spans="1:7" x14ac:dyDescent="0.25">
      <c r="A347" s="62" t="s">
        <v>2115</v>
      </c>
      <c r="B347" s="62">
        <v>349</v>
      </c>
      <c r="C347" s="62">
        <v>1343</v>
      </c>
      <c r="D347" s="63" t="s">
        <v>395</v>
      </c>
      <c r="E347" s="64" t="s">
        <v>24</v>
      </c>
      <c r="F347" s="64">
        <v>352</v>
      </c>
      <c r="G347" s="67">
        <v>347</v>
      </c>
    </row>
    <row r="348" spans="1:7" x14ac:dyDescent="0.25">
      <c r="A348" s="62" t="s">
        <v>2116</v>
      </c>
      <c r="B348" s="62">
        <v>350</v>
      </c>
      <c r="C348" s="62">
        <v>1344</v>
      </c>
      <c r="D348" s="63" t="s">
        <v>396</v>
      </c>
      <c r="E348" s="64" t="s">
        <v>24</v>
      </c>
      <c r="F348" s="64">
        <v>353</v>
      </c>
      <c r="G348" s="67">
        <v>348</v>
      </c>
    </row>
    <row r="349" spans="1:7" x14ac:dyDescent="0.25">
      <c r="A349" s="62" t="s">
        <v>2117</v>
      </c>
      <c r="B349" s="62">
        <v>351</v>
      </c>
      <c r="C349" s="62">
        <v>1345</v>
      </c>
      <c r="D349" s="63" t="s">
        <v>397</v>
      </c>
      <c r="E349" s="64" t="s">
        <v>24</v>
      </c>
      <c r="F349" s="64">
        <v>354</v>
      </c>
      <c r="G349" s="67">
        <v>349</v>
      </c>
    </row>
    <row r="350" spans="1:7" x14ac:dyDescent="0.25">
      <c r="A350" s="62" t="s">
        <v>2118</v>
      </c>
      <c r="B350" s="62">
        <v>352</v>
      </c>
      <c r="C350" s="62">
        <v>1346</v>
      </c>
      <c r="D350" s="63" t="s">
        <v>399</v>
      </c>
      <c r="E350" s="64" t="s">
        <v>24</v>
      </c>
      <c r="F350" s="64">
        <v>355</v>
      </c>
      <c r="G350" s="67">
        <v>350</v>
      </c>
    </row>
    <row r="351" spans="1:7" x14ac:dyDescent="0.25">
      <c r="A351" s="62" t="s">
        <v>2119</v>
      </c>
      <c r="B351" s="62">
        <v>353</v>
      </c>
      <c r="C351" s="62">
        <v>1347</v>
      </c>
      <c r="D351" s="63" t="s">
        <v>401</v>
      </c>
      <c r="E351" s="64" t="s">
        <v>24</v>
      </c>
      <c r="F351" s="64">
        <v>356</v>
      </c>
      <c r="G351" s="67">
        <v>351</v>
      </c>
    </row>
    <row r="352" spans="1:7" x14ac:dyDescent="0.25">
      <c r="A352" s="62" t="s">
        <v>2120</v>
      </c>
      <c r="B352" s="62">
        <v>354</v>
      </c>
      <c r="C352" s="62">
        <v>1348</v>
      </c>
      <c r="D352" s="63" t="s">
        <v>402</v>
      </c>
      <c r="E352" s="64" t="s">
        <v>24</v>
      </c>
      <c r="F352" s="64">
        <v>357</v>
      </c>
      <c r="G352" s="67">
        <v>352</v>
      </c>
    </row>
    <row r="353" spans="1:7" x14ac:dyDescent="0.25">
      <c r="A353" s="62" t="s">
        <v>2121</v>
      </c>
      <c r="B353" s="62">
        <v>355</v>
      </c>
      <c r="C353" s="62">
        <v>1349</v>
      </c>
      <c r="D353" s="63" t="s">
        <v>404</v>
      </c>
      <c r="E353" s="64" t="s">
        <v>24</v>
      </c>
      <c r="F353" s="64">
        <v>358</v>
      </c>
      <c r="G353" s="67">
        <v>353</v>
      </c>
    </row>
    <row r="354" spans="1:7" x14ac:dyDescent="0.25">
      <c r="A354" s="62" t="s">
        <v>2122</v>
      </c>
      <c r="B354" s="62">
        <v>356</v>
      </c>
      <c r="C354" s="62">
        <v>1350</v>
      </c>
      <c r="D354" s="63" t="s">
        <v>405</v>
      </c>
      <c r="E354" s="64" t="s">
        <v>24</v>
      </c>
      <c r="F354" s="64">
        <v>359</v>
      </c>
      <c r="G354" s="67">
        <v>354</v>
      </c>
    </row>
    <row r="355" spans="1:7" x14ac:dyDescent="0.25">
      <c r="A355" s="62" t="s">
        <v>2123</v>
      </c>
      <c r="B355" s="62">
        <v>357</v>
      </c>
      <c r="C355" s="62">
        <v>1351</v>
      </c>
      <c r="D355" s="63" t="s">
        <v>406</v>
      </c>
      <c r="E355" s="64" t="s">
        <v>24</v>
      </c>
      <c r="F355" s="64">
        <v>360</v>
      </c>
      <c r="G355" s="67">
        <v>355</v>
      </c>
    </row>
    <row r="356" spans="1:7" x14ac:dyDescent="0.25">
      <c r="A356" s="62" t="s">
        <v>2124</v>
      </c>
      <c r="B356" s="62">
        <v>358</v>
      </c>
      <c r="C356" s="62">
        <v>1352</v>
      </c>
      <c r="D356" s="63" t="s">
        <v>407</v>
      </c>
      <c r="E356" s="64" t="s">
        <v>24</v>
      </c>
      <c r="F356" s="64">
        <v>361</v>
      </c>
      <c r="G356" s="67">
        <v>356</v>
      </c>
    </row>
    <row r="357" spans="1:7" x14ac:dyDescent="0.25">
      <c r="A357" s="62" t="s">
        <v>2125</v>
      </c>
      <c r="B357" s="62">
        <v>359</v>
      </c>
      <c r="C357" s="62">
        <v>1353</v>
      </c>
      <c r="D357" s="63" t="s">
        <v>408</v>
      </c>
      <c r="E357" s="64" t="s">
        <v>24</v>
      </c>
      <c r="F357" s="64">
        <v>362</v>
      </c>
      <c r="G357" s="67">
        <v>357</v>
      </c>
    </row>
    <row r="358" spans="1:7" x14ac:dyDescent="0.25">
      <c r="A358" s="62" t="s">
        <v>2126</v>
      </c>
      <c r="B358" s="62">
        <v>360</v>
      </c>
      <c r="C358" s="62">
        <v>1354</v>
      </c>
      <c r="D358" s="63" t="s">
        <v>409</v>
      </c>
      <c r="E358" s="64" t="s">
        <v>24</v>
      </c>
      <c r="F358" s="64">
        <v>369</v>
      </c>
      <c r="G358" s="67">
        <v>358</v>
      </c>
    </row>
    <row r="359" spans="1:7" x14ac:dyDescent="0.25">
      <c r="A359" s="62" t="s">
        <v>2127</v>
      </c>
      <c r="B359" s="62">
        <v>361</v>
      </c>
      <c r="C359" s="62">
        <v>1355</v>
      </c>
      <c r="D359" s="63" t="s">
        <v>411</v>
      </c>
      <c r="E359" s="64" t="s">
        <v>24</v>
      </c>
      <c r="F359" s="64">
        <v>364</v>
      </c>
      <c r="G359" s="67">
        <v>359</v>
      </c>
    </row>
    <row r="360" spans="1:7" x14ac:dyDescent="0.25">
      <c r="A360" s="62" t="s">
        <v>2128</v>
      </c>
      <c r="B360" s="62">
        <v>362</v>
      </c>
      <c r="C360" s="62">
        <v>1356</v>
      </c>
      <c r="D360" s="63" t="s">
        <v>413</v>
      </c>
      <c r="E360" s="64" t="s">
        <v>24</v>
      </c>
      <c r="F360" s="64">
        <v>365</v>
      </c>
      <c r="G360" s="67">
        <v>360</v>
      </c>
    </row>
    <row r="361" spans="1:7" x14ac:dyDescent="0.25">
      <c r="A361" s="62" t="s">
        <v>2129</v>
      </c>
      <c r="B361" s="62">
        <v>363</v>
      </c>
      <c r="C361" s="62">
        <v>1357</v>
      </c>
      <c r="D361" s="63" t="s">
        <v>415</v>
      </c>
      <c r="E361" s="64" t="s">
        <v>24</v>
      </c>
      <c r="F361" s="64">
        <v>366</v>
      </c>
      <c r="G361" s="67">
        <v>361</v>
      </c>
    </row>
    <row r="362" spans="1:7" x14ac:dyDescent="0.25">
      <c r="A362" s="62" t="s">
        <v>2130</v>
      </c>
      <c r="B362" s="62">
        <v>364</v>
      </c>
      <c r="C362" s="62">
        <v>1358</v>
      </c>
      <c r="D362" s="63" t="s">
        <v>416</v>
      </c>
      <c r="E362" s="64" t="s">
        <v>24</v>
      </c>
      <c r="F362" s="64">
        <v>367</v>
      </c>
      <c r="G362" s="67">
        <v>362</v>
      </c>
    </row>
    <row r="363" spans="1:7" x14ac:dyDescent="0.25">
      <c r="A363" s="62" t="s">
        <v>2131</v>
      </c>
      <c r="B363" s="62">
        <v>365</v>
      </c>
      <c r="C363" s="62">
        <v>1359</v>
      </c>
      <c r="D363" s="63" t="s">
        <v>417</v>
      </c>
      <c r="E363" s="64" t="s">
        <v>24</v>
      </c>
      <c r="F363" s="64">
        <v>368</v>
      </c>
      <c r="G363" s="67">
        <v>363</v>
      </c>
    </row>
    <row r="364" spans="1:7" x14ac:dyDescent="0.25">
      <c r="A364" s="62" t="s">
        <v>2132</v>
      </c>
      <c r="B364" s="62">
        <v>366</v>
      </c>
      <c r="C364" s="62">
        <v>1360</v>
      </c>
      <c r="D364" s="63" t="s">
        <v>419</v>
      </c>
      <c r="E364" s="64" t="s">
        <v>24</v>
      </c>
      <c r="F364" s="64">
        <v>369</v>
      </c>
      <c r="G364" s="67">
        <v>364</v>
      </c>
    </row>
    <row r="365" spans="1:7" x14ac:dyDescent="0.25">
      <c r="A365" s="62" t="s">
        <v>2133</v>
      </c>
      <c r="B365" s="62">
        <v>367</v>
      </c>
      <c r="C365" s="62">
        <v>1361</v>
      </c>
      <c r="D365" s="63" t="s">
        <v>420</v>
      </c>
      <c r="E365" s="64" t="s">
        <v>24</v>
      </c>
      <c r="F365" s="64">
        <v>370</v>
      </c>
      <c r="G365" s="67">
        <v>365</v>
      </c>
    </row>
    <row r="366" spans="1:7" x14ac:dyDescent="0.25">
      <c r="A366" s="62" t="s">
        <v>2134</v>
      </c>
      <c r="B366" s="62">
        <v>368</v>
      </c>
      <c r="C366" s="62">
        <v>1362</v>
      </c>
      <c r="D366" s="63" t="s">
        <v>422</v>
      </c>
      <c r="E366" s="64" t="s">
        <v>24</v>
      </c>
      <c r="F366" s="64">
        <v>371</v>
      </c>
      <c r="G366" s="67">
        <v>366</v>
      </c>
    </row>
    <row r="367" spans="1:7" x14ac:dyDescent="0.25">
      <c r="A367" s="62" t="s">
        <v>2135</v>
      </c>
      <c r="B367" s="62">
        <v>369</v>
      </c>
      <c r="C367" s="62">
        <v>1363</v>
      </c>
      <c r="D367" s="63" t="s">
        <v>423</v>
      </c>
      <c r="E367" s="64" t="s">
        <v>24</v>
      </c>
      <c r="F367" s="64">
        <v>372</v>
      </c>
      <c r="G367" s="67">
        <v>367</v>
      </c>
    </row>
    <row r="368" spans="1:7" x14ac:dyDescent="0.25">
      <c r="A368" s="62" t="s">
        <v>2136</v>
      </c>
      <c r="B368" s="62">
        <v>370</v>
      </c>
      <c r="C368" s="62">
        <v>1364</v>
      </c>
      <c r="D368" s="63" t="s">
        <v>424</v>
      </c>
      <c r="E368" s="64" t="s">
        <v>24</v>
      </c>
      <c r="F368" s="64">
        <v>373</v>
      </c>
      <c r="G368" s="67">
        <v>368</v>
      </c>
    </row>
    <row r="369" spans="1:7" x14ac:dyDescent="0.25">
      <c r="A369" s="62" t="s">
        <v>2137</v>
      </c>
      <c r="B369" s="62">
        <v>371</v>
      </c>
      <c r="C369" s="62">
        <v>1365</v>
      </c>
      <c r="D369" s="63" t="s">
        <v>425</v>
      </c>
      <c r="E369" s="64" t="s">
        <v>24</v>
      </c>
      <c r="F369" s="64">
        <v>374</v>
      </c>
      <c r="G369" s="67">
        <v>369</v>
      </c>
    </row>
    <row r="370" spans="1:7" x14ac:dyDescent="0.25">
      <c r="A370" s="62" t="s">
        <v>2138</v>
      </c>
      <c r="B370" s="62">
        <v>372</v>
      </c>
      <c r="C370" s="62">
        <v>1366</v>
      </c>
      <c r="D370" s="63" t="s">
        <v>426</v>
      </c>
      <c r="E370" s="64" t="s">
        <v>24</v>
      </c>
      <c r="F370" s="64">
        <v>375</v>
      </c>
      <c r="G370" s="67">
        <v>370</v>
      </c>
    </row>
    <row r="371" spans="1:7" x14ac:dyDescent="0.25">
      <c r="A371" s="62" t="s">
        <v>2139</v>
      </c>
      <c r="B371" s="62">
        <v>373</v>
      </c>
      <c r="C371" s="62">
        <v>1367</v>
      </c>
      <c r="D371" s="63" t="s">
        <v>428</v>
      </c>
      <c r="E371" s="64" t="s">
        <v>24</v>
      </c>
      <c r="F371" s="64">
        <v>376</v>
      </c>
      <c r="G371" s="67">
        <v>371</v>
      </c>
    </row>
    <row r="372" spans="1:7" x14ac:dyDescent="0.25">
      <c r="A372" s="62" t="s">
        <v>2140</v>
      </c>
      <c r="B372" s="62">
        <v>374</v>
      </c>
      <c r="C372" s="62">
        <v>1368</v>
      </c>
      <c r="D372" s="63" t="s">
        <v>429</v>
      </c>
      <c r="E372" s="64" t="s">
        <v>24</v>
      </c>
      <c r="F372" s="64">
        <v>377</v>
      </c>
      <c r="G372" s="67">
        <v>372</v>
      </c>
    </row>
    <row r="373" spans="1:7" x14ac:dyDescent="0.25">
      <c r="A373" s="62" t="s">
        <v>2141</v>
      </c>
      <c r="B373" s="62">
        <v>375</v>
      </c>
      <c r="C373" s="62">
        <v>1369</v>
      </c>
      <c r="D373" s="63" t="s">
        <v>430</v>
      </c>
      <c r="E373" s="64" t="s">
        <v>24</v>
      </c>
      <c r="F373" s="64">
        <v>373</v>
      </c>
      <c r="G373" s="67">
        <v>373</v>
      </c>
    </row>
    <row r="374" spans="1:7" x14ac:dyDescent="0.25">
      <c r="A374" s="62" t="s">
        <v>2142</v>
      </c>
      <c r="B374" s="62">
        <v>376</v>
      </c>
      <c r="C374" s="62">
        <v>1370</v>
      </c>
      <c r="D374" s="63" t="s">
        <v>431</v>
      </c>
      <c r="E374" s="64" t="s">
        <v>24</v>
      </c>
      <c r="F374" s="64">
        <v>379</v>
      </c>
      <c r="G374" s="67">
        <v>374</v>
      </c>
    </row>
    <row r="375" spans="1:7" x14ac:dyDescent="0.25">
      <c r="A375" s="62" t="s">
        <v>2143</v>
      </c>
      <c r="B375" s="62">
        <v>377</v>
      </c>
      <c r="C375" s="62">
        <v>1371</v>
      </c>
      <c r="D375" s="63" t="s">
        <v>432</v>
      </c>
      <c r="E375" s="64" t="s">
        <v>24</v>
      </c>
      <c r="F375" s="64">
        <v>380</v>
      </c>
      <c r="G375" s="67">
        <v>375</v>
      </c>
    </row>
    <row r="376" spans="1:7" x14ac:dyDescent="0.25">
      <c r="A376" s="62" t="s">
        <v>2144</v>
      </c>
      <c r="B376" s="62">
        <v>378</v>
      </c>
      <c r="C376" s="62">
        <v>1372</v>
      </c>
      <c r="D376" s="63" t="s">
        <v>433</v>
      </c>
      <c r="E376" s="64" t="s">
        <v>24</v>
      </c>
      <c r="F376" s="64">
        <v>381</v>
      </c>
      <c r="G376" s="67">
        <v>376</v>
      </c>
    </row>
    <row r="377" spans="1:7" x14ac:dyDescent="0.25">
      <c r="A377" s="62" t="s">
        <v>2145</v>
      </c>
      <c r="B377" s="62">
        <v>379</v>
      </c>
      <c r="C377" s="62">
        <v>1373</v>
      </c>
      <c r="D377" s="63" t="s">
        <v>434</v>
      </c>
      <c r="E377" s="64" t="s">
        <v>24</v>
      </c>
      <c r="F377" s="64">
        <v>382</v>
      </c>
      <c r="G377" s="67">
        <v>377</v>
      </c>
    </row>
    <row r="378" spans="1:7" x14ac:dyDescent="0.25">
      <c r="A378" s="62" t="s">
        <v>2146</v>
      </c>
      <c r="B378" s="62">
        <v>380</v>
      </c>
      <c r="C378" s="62">
        <v>1374</v>
      </c>
      <c r="D378" s="63" t="s">
        <v>435</v>
      </c>
      <c r="E378" s="64" t="s">
        <v>24</v>
      </c>
      <c r="F378" s="64">
        <v>383</v>
      </c>
      <c r="G378" s="67">
        <v>378</v>
      </c>
    </row>
    <row r="379" spans="1:7" x14ac:dyDescent="0.25">
      <c r="A379" s="62" t="s">
        <v>2147</v>
      </c>
      <c r="B379" s="62">
        <v>381</v>
      </c>
      <c r="C379" s="62">
        <v>1375</v>
      </c>
      <c r="D379" s="63" t="s">
        <v>436</v>
      </c>
      <c r="E379" s="64" t="s">
        <v>24</v>
      </c>
      <c r="F379" s="64">
        <v>384</v>
      </c>
      <c r="G379" s="67">
        <v>379</v>
      </c>
    </row>
    <row r="380" spans="1:7" x14ac:dyDescent="0.25">
      <c r="A380" s="62" t="s">
        <v>2148</v>
      </c>
      <c r="B380" s="62">
        <v>382</v>
      </c>
      <c r="C380" s="62">
        <v>1376</v>
      </c>
      <c r="D380" s="63" t="s">
        <v>437</v>
      </c>
      <c r="E380" s="64" t="s">
        <v>24</v>
      </c>
      <c r="F380" s="64">
        <v>385</v>
      </c>
      <c r="G380" s="67">
        <v>380</v>
      </c>
    </row>
    <row r="381" spans="1:7" x14ac:dyDescent="0.25">
      <c r="A381" s="62" t="s">
        <v>2149</v>
      </c>
      <c r="B381" s="62">
        <v>383</v>
      </c>
      <c r="C381" s="62">
        <v>1377</v>
      </c>
      <c r="D381" s="63" t="s">
        <v>438</v>
      </c>
      <c r="E381" s="64" t="s">
        <v>24</v>
      </c>
      <c r="F381" s="64">
        <v>386</v>
      </c>
      <c r="G381" s="67">
        <v>381</v>
      </c>
    </row>
    <row r="382" spans="1:7" x14ac:dyDescent="0.25">
      <c r="A382" s="62" t="s">
        <v>2150</v>
      </c>
      <c r="B382" s="62">
        <v>384</v>
      </c>
      <c r="C382" s="62">
        <v>1378</v>
      </c>
      <c r="D382" s="63" t="s">
        <v>439</v>
      </c>
      <c r="E382" s="64" t="s">
        <v>24</v>
      </c>
      <c r="F382" s="64">
        <v>387</v>
      </c>
      <c r="G382" s="67">
        <v>382</v>
      </c>
    </row>
    <row r="383" spans="1:7" x14ac:dyDescent="0.25">
      <c r="A383" s="62" t="s">
        <v>2151</v>
      </c>
      <c r="B383" s="62">
        <v>385</v>
      </c>
      <c r="C383" s="62">
        <v>1379</v>
      </c>
      <c r="D383" s="63" t="s">
        <v>441</v>
      </c>
      <c r="E383" s="64" t="s">
        <v>24</v>
      </c>
      <c r="F383" s="64">
        <v>388</v>
      </c>
      <c r="G383" s="67">
        <v>383</v>
      </c>
    </row>
    <row r="384" spans="1:7" x14ac:dyDescent="0.25">
      <c r="A384" s="62" t="s">
        <v>2152</v>
      </c>
      <c r="B384" s="62">
        <v>386</v>
      </c>
      <c r="C384" s="62">
        <v>1380</v>
      </c>
      <c r="D384" s="63" t="s">
        <v>442</v>
      </c>
      <c r="E384" s="64" t="s">
        <v>24</v>
      </c>
      <c r="F384" s="64">
        <v>389</v>
      </c>
      <c r="G384" s="67">
        <v>384</v>
      </c>
    </row>
    <row r="385" spans="1:7" x14ac:dyDescent="0.25">
      <c r="A385" s="62" t="s">
        <v>2153</v>
      </c>
      <c r="B385" s="62">
        <v>387</v>
      </c>
      <c r="C385" s="62">
        <v>1381</v>
      </c>
      <c r="D385" s="63" t="s">
        <v>443</v>
      </c>
      <c r="E385" s="64" t="s">
        <v>24</v>
      </c>
      <c r="F385" s="64">
        <v>390</v>
      </c>
      <c r="G385" s="67">
        <v>385</v>
      </c>
    </row>
    <row r="386" spans="1:7" x14ac:dyDescent="0.25">
      <c r="A386" s="62" t="s">
        <v>2154</v>
      </c>
      <c r="B386" s="62">
        <v>388</v>
      </c>
      <c r="C386" s="62">
        <v>1382</v>
      </c>
      <c r="D386" s="63" t="s">
        <v>444</v>
      </c>
      <c r="E386" s="64" t="s">
        <v>24</v>
      </c>
      <c r="F386" s="64">
        <v>391</v>
      </c>
      <c r="G386" s="67">
        <v>386</v>
      </c>
    </row>
    <row r="387" spans="1:7" x14ac:dyDescent="0.25">
      <c r="A387" s="62" t="s">
        <v>2155</v>
      </c>
      <c r="B387" s="62">
        <v>389</v>
      </c>
      <c r="C387" s="62">
        <v>1383</v>
      </c>
      <c r="D387" s="63" t="s">
        <v>445</v>
      </c>
      <c r="E387" s="64" t="s">
        <v>24</v>
      </c>
      <c r="F387" s="64">
        <v>392</v>
      </c>
      <c r="G387" s="67">
        <v>387</v>
      </c>
    </row>
    <row r="388" spans="1:7" x14ac:dyDescent="0.25">
      <c r="A388" s="62" t="s">
        <v>2156</v>
      </c>
      <c r="B388" s="62">
        <v>390</v>
      </c>
      <c r="C388" s="62">
        <v>1384</v>
      </c>
      <c r="D388" s="63" t="s">
        <v>446</v>
      </c>
      <c r="E388" s="64" t="s">
        <v>24</v>
      </c>
      <c r="F388" s="64">
        <v>393</v>
      </c>
      <c r="G388" s="67">
        <v>388</v>
      </c>
    </row>
    <row r="389" spans="1:7" x14ac:dyDescent="0.25">
      <c r="A389" s="62" t="s">
        <v>2157</v>
      </c>
      <c r="B389" s="62">
        <v>391</v>
      </c>
      <c r="C389" s="62">
        <v>1385</v>
      </c>
      <c r="D389" s="63" t="s">
        <v>447</v>
      </c>
      <c r="E389" s="64" t="s">
        <v>24</v>
      </c>
      <c r="F389" s="64">
        <v>394</v>
      </c>
      <c r="G389" s="67">
        <v>389</v>
      </c>
    </row>
    <row r="390" spans="1:7" x14ac:dyDescent="0.25">
      <c r="A390" s="62" t="s">
        <v>2158</v>
      </c>
      <c r="B390" s="62">
        <v>392</v>
      </c>
      <c r="C390" s="62">
        <v>1386</v>
      </c>
      <c r="D390" s="63" t="s">
        <v>448</v>
      </c>
      <c r="E390" s="64" t="s">
        <v>24</v>
      </c>
      <c r="F390" s="64">
        <v>395</v>
      </c>
      <c r="G390" s="67">
        <v>390</v>
      </c>
    </row>
    <row r="391" spans="1:7" x14ac:dyDescent="0.25">
      <c r="A391" s="62" t="s">
        <v>2159</v>
      </c>
      <c r="B391" s="62">
        <v>393</v>
      </c>
      <c r="C391" s="62">
        <v>1387</v>
      </c>
      <c r="D391" s="63" t="s">
        <v>449</v>
      </c>
      <c r="E391" s="64" t="s">
        <v>24</v>
      </c>
      <c r="F391" s="64">
        <v>396</v>
      </c>
      <c r="G391" s="67">
        <v>391</v>
      </c>
    </row>
    <row r="392" spans="1:7" x14ac:dyDescent="0.25">
      <c r="A392" s="62" t="s">
        <v>2160</v>
      </c>
      <c r="B392" s="62">
        <v>394</v>
      </c>
      <c r="C392" s="62">
        <v>1388</v>
      </c>
      <c r="D392" s="63" t="s">
        <v>450</v>
      </c>
      <c r="E392" s="64" t="s">
        <v>24</v>
      </c>
      <c r="F392" s="64">
        <v>397</v>
      </c>
      <c r="G392" s="67">
        <v>392</v>
      </c>
    </row>
    <row r="393" spans="1:7" x14ac:dyDescent="0.25">
      <c r="A393" s="62" t="s">
        <v>2161</v>
      </c>
      <c r="B393" s="62">
        <v>395</v>
      </c>
      <c r="C393" s="62">
        <v>1389</v>
      </c>
      <c r="D393" s="63" t="s">
        <v>451</v>
      </c>
      <c r="E393" s="64" t="s">
        <v>24</v>
      </c>
      <c r="F393" s="64">
        <v>398</v>
      </c>
      <c r="G393" s="67">
        <v>393</v>
      </c>
    </row>
    <row r="394" spans="1:7" x14ac:dyDescent="0.25">
      <c r="A394" s="62" t="s">
        <v>2162</v>
      </c>
      <c r="B394" s="62">
        <v>396</v>
      </c>
      <c r="C394" s="62">
        <v>1390</v>
      </c>
      <c r="D394" s="63" t="s">
        <v>452</v>
      </c>
      <c r="E394" s="64" t="s">
        <v>24</v>
      </c>
      <c r="F394" s="64">
        <v>399</v>
      </c>
      <c r="G394" s="67">
        <v>394</v>
      </c>
    </row>
    <row r="395" spans="1:7" x14ac:dyDescent="0.25">
      <c r="A395" s="62" t="s">
        <v>2163</v>
      </c>
      <c r="B395" s="62">
        <v>397</v>
      </c>
      <c r="C395" s="62">
        <v>1391</v>
      </c>
      <c r="D395" s="63" t="s">
        <v>453</v>
      </c>
      <c r="E395" s="64" t="s">
        <v>24</v>
      </c>
      <c r="F395" s="64">
        <v>400</v>
      </c>
      <c r="G395" s="67">
        <v>395</v>
      </c>
    </row>
    <row r="396" spans="1:7" x14ac:dyDescent="0.25">
      <c r="A396" s="62" t="s">
        <v>2164</v>
      </c>
      <c r="B396" s="62">
        <v>398</v>
      </c>
      <c r="C396" s="62">
        <v>1392</v>
      </c>
      <c r="D396" s="63" t="s">
        <v>454</v>
      </c>
      <c r="E396" s="64" t="s">
        <v>24</v>
      </c>
      <c r="F396" s="64">
        <v>401</v>
      </c>
      <c r="G396" s="67">
        <v>396</v>
      </c>
    </row>
    <row r="397" spans="1:7" x14ac:dyDescent="0.25">
      <c r="A397" s="62" t="s">
        <v>2165</v>
      </c>
      <c r="B397" s="62">
        <v>399</v>
      </c>
      <c r="C397" s="62">
        <v>1393</v>
      </c>
      <c r="D397" s="63" t="s">
        <v>455</v>
      </c>
      <c r="E397" s="64" t="s">
        <v>24</v>
      </c>
      <c r="F397" s="64">
        <v>402</v>
      </c>
      <c r="G397" s="67">
        <v>397</v>
      </c>
    </row>
    <row r="398" spans="1:7" x14ac:dyDescent="0.25">
      <c r="A398" s="62" t="s">
        <v>2166</v>
      </c>
      <c r="B398" s="62">
        <v>400</v>
      </c>
      <c r="C398" s="62">
        <v>1394</v>
      </c>
      <c r="D398" s="63" t="s">
        <v>456</v>
      </c>
      <c r="E398" s="64" t="s">
        <v>24</v>
      </c>
      <c r="F398" s="64">
        <v>403</v>
      </c>
      <c r="G398" s="67">
        <v>398</v>
      </c>
    </row>
    <row r="399" spans="1:7" x14ac:dyDescent="0.25">
      <c r="A399" s="62" t="s">
        <v>2167</v>
      </c>
      <c r="B399" s="62">
        <v>401</v>
      </c>
      <c r="C399" s="62">
        <v>1395</v>
      </c>
      <c r="D399" s="63" t="s">
        <v>457</v>
      </c>
      <c r="E399" s="64" t="s">
        <v>24</v>
      </c>
      <c r="F399" s="64">
        <v>404</v>
      </c>
      <c r="G399" s="67">
        <v>399</v>
      </c>
    </row>
    <row r="400" spans="1:7" x14ac:dyDescent="0.25">
      <c r="A400" s="62" t="s">
        <v>2168</v>
      </c>
      <c r="B400" s="62">
        <v>402</v>
      </c>
      <c r="C400" s="62">
        <v>1396</v>
      </c>
      <c r="D400" s="63" t="s">
        <v>458</v>
      </c>
      <c r="E400" s="64" t="s">
        <v>24</v>
      </c>
      <c r="F400" s="64">
        <v>405</v>
      </c>
      <c r="G400" s="67">
        <v>400</v>
      </c>
    </row>
    <row r="401" spans="1:7" x14ac:dyDescent="0.25">
      <c r="A401" s="62" t="s">
        <v>2169</v>
      </c>
      <c r="B401" s="62">
        <v>403</v>
      </c>
      <c r="C401" s="62">
        <v>1397</v>
      </c>
      <c r="D401" s="63" t="s">
        <v>460</v>
      </c>
      <c r="E401" s="64" t="s">
        <v>24</v>
      </c>
      <c r="F401" s="64">
        <v>406</v>
      </c>
      <c r="G401" s="67">
        <v>401</v>
      </c>
    </row>
    <row r="402" spans="1:7" x14ac:dyDescent="0.25">
      <c r="A402" s="62" t="s">
        <v>2170</v>
      </c>
      <c r="B402" s="62">
        <v>404</v>
      </c>
      <c r="C402" s="62">
        <v>1398</v>
      </c>
      <c r="D402" s="63" t="s">
        <v>461</v>
      </c>
      <c r="E402" s="64" t="s">
        <v>24</v>
      </c>
      <c r="F402" s="64">
        <v>407</v>
      </c>
      <c r="G402" s="67">
        <v>402</v>
      </c>
    </row>
    <row r="403" spans="1:7" x14ac:dyDescent="0.25">
      <c r="A403" s="62" t="s">
        <v>2171</v>
      </c>
      <c r="B403" s="62">
        <v>405</v>
      </c>
      <c r="C403" s="62">
        <v>1399</v>
      </c>
      <c r="D403" s="63" t="s">
        <v>463</v>
      </c>
      <c r="E403" s="64" t="s">
        <v>24</v>
      </c>
      <c r="F403" s="64">
        <v>408</v>
      </c>
      <c r="G403" s="67">
        <v>403</v>
      </c>
    </row>
    <row r="404" spans="1:7" x14ac:dyDescent="0.25">
      <c r="A404" s="62" t="s">
        <v>2172</v>
      </c>
      <c r="B404" s="62">
        <v>406</v>
      </c>
      <c r="C404" s="62">
        <v>1400</v>
      </c>
      <c r="D404" s="63" t="s">
        <v>464</v>
      </c>
      <c r="E404" s="64" t="s">
        <v>24</v>
      </c>
      <c r="F404" s="64">
        <v>409</v>
      </c>
      <c r="G404" s="67">
        <v>404</v>
      </c>
    </row>
    <row r="405" spans="1:7" x14ac:dyDescent="0.25">
      <c r="A405" s="62" t="s">
        <v>2173</v>
      </c>
      <c r="B405" s="62">
        <v>407</v>
      </c>
      <c r="C405" s="62">
        <v>1401</v>
      </c>
      <c r="D405" s="63" t="s">
        <v>465</v>
      </c>
      <c r="E405" s="64" t="s">
        <v>24</v>
      </c>
      <c r="F405" s="64">
        <v>410</v>
      </c>
      <c r="G405" s="67">
        <v>405</v>
      </c>
    </row>
    <row r="406" spans="1:7" x14ac:dyDescent="0.25">
      <c r="A406" s="62" t="s">
        <v>2174</v>
      </c>
      <c r="B406" s="62">
        <v>408</v>
      </c>
      <c r="C406" s="62">
        <v>1402</v>
      </c>
      <c r="D406" s="63" t="s">
        <v>466</v>
      </c>
      <c r="E406" s="64" t="s">
        <v>24</v>
      </c>
      <c r="F406" s="64">
        <v>411</v>
      </c>
      <c r="G406" s="67">
        <v>406</v>
      </c>
    </row>
    <row r="407" spans="1:7" x14ac:dyDescent="0.25">
      <c r="A407" s="62" t="s">
        <v>2175</v>
      </c>
      <c r="B407" s="62">
        <v>409</v>
      </c>
      <c r="C407" s="62">
        <v>1403</v>
      </c>
      <c r="D407" s="63" t="s">
        <v>468</v>
      </c>
      <c r="E407" s="64" t="s">
        <v>24</v>
      </c>
      <c r="F407" s="64">
        <v>412</v>
      </c>
      <c r="G407" s="67">
        <v>407</v>
      </c>
    </row>
    <row r="408" spans="1:7" x14ac:dyDescent="0.25">
      <c r="A408" s="62" t="s">
        <v>2176</v>
      </c>
      <c r="B408" s="62">
        <v>410</v>
      </c>
      <c r="C408" s="62">
        <v>1404</v>
      </c>
      <c r="D408" s="63" t="s">
        <v>469</v>
      </c>
      <c r="E408" s="64" t="s">
        <v>24</v>
      </c>
      <c r="F408" s="64">
        <v>413</v>
      </c>
      <c r="G408" s="67">
        <v>408</v>
      </c>
    </row>
    <row r="409" spans="1:7" x14ac:dyDescent="0.25">
      <c r="A409" s="62" t="s">
        <v>2177</v>
      </c>
      <c r="B409" s="62">
        <v>411</v>
      </c>
      <c r="C409" s="62">
        <v>1405</v>
      </c>
      <c r="D409" s="63" t="s">
        <v>470</v>
      </c>
      <c r="E409" s="64" t="s">
        <v>24</v>
      </c>
      <c r="F409" s="64">
        <v>414</v>
      </c>
      <c r="G409" s="67">
        <v>409</v>
      </c>
    </row>
    <row r="410" spans="1:7" x14ac:dyDescent="0.25">
      <c r="A410" s="62" t="s">
        <v>2178</v>
      </c>
      <c r="B410" s="62">
        <v>412</v>
      </c>
      <c r="C410" s="62">
        <v>1406</v>
      </c>
      <c r="D410" s="63" t="s">
        <v>471</v>
      </c>
      <c r="E410" s="64" t="s">
        <v>24</v>
      </c>
      <c r="F410" s="64">
        <v>415</v>
      </c>
      <c r="G410" s="67">
        <v>410</v>
      </c>
    </row>
    <row r="411" spans="1:7" x14ac:dyDescent="0.25">
      <c r="A411" s="62" t="s">
        <v>2179</v>
      </c>
      <c r="B411" s="62">
        <v>413</v>
      </c>
      <c r="C411" s="62">
        <v>1407</v>
      </c>
      <c r="D411" s="63" t="s">
        <v>473</v>
      </c>
      <c r="E411" s="64" t="s">
        <v>24</v>
      </c>
      <c r="F411" s="64">
        <v>416</v>
      </c>
      <c r="G411" s="67">
        <v>411</v>
      </c>
    </row>
    <row r="412" spans="1:7" x14ac:dyDescent="0.25">
      <c r="A412" s="62" t="s">
        <v>2180</v>
      </c>
      <c r="B412" s="62">
        <v>414</v>
      </c>
      <c r="C412" s="62">
        <v>1408</v>
      </c>
      <c r="D412" s="63" t="s">
        <v>475</v>
      </c>
      <c r="E412" s="64" t="s">
        <v>24</v>
      </c>
      <c r="F412" s="64">
        <v>419</v>
      </c>
      <c r="G412" s="67">
        <v>412</v>
      </c>
    </row>
    <row r="413" spans="1:7" x14ac:dyDescent="0.25">
      <c r="A413" s="62" t="s">
        <v>2181</v>
      </c>
      <c r="B413" s="62">
        <v>415</v>
      </c>
      <c r="C413" s="62">
        <v>1409</v>
      </c>
      <c r="D413" s="63" t="s">
        <v>476</v>
      </c>
      <c r="E413" s="64" t="s">
        <v>24</v>
      </c>
      <c r="F413" s="64">
        <v>418</v>
      </c>
      <c r="G413" s="67">
        <v>413</v>
      </c>
    </row>
    <row r="414" spans="1:7" x14ac:dyDescent="0.25">
      <c r="A414" s="62" t="s">
        <v>2182</v>
      </c>
      <c r="B414" s="62">
        <v>416</v>
      </c>
      <c r="C414" s="62">
        <v>1410</v>
      </c>
      <c r="D414" s="63" t="s">
        <v>477</v>
      </c>
      <c r="E414" s="64" t="s">
        <v>24</v>
      </c>
      <c r="F414" s="64">
        <v>419</v>
      </c>
      <c r="G414" s="67">
        <v>414</v>
      </c>
    </row>
    <row r="415" spans="1:7" x14ac:dyDescent="0.25">
      <c r="A415" s="62" t="s">
        <v>2183</v>
      </c>
      <c r="B415" s="62">
        <v>417</v>
      </c>
      <c r="C415" s="62">
        <v>1411</v>
      </c>
      <c r="D415" s="63" t="s">
        <v>478</v>
      </c>
      <c r="E415" s="64" t="s">
        <v>24</v>
      </c>
      <c r="F415" s="64">
        <v>420</v>
      </c>
      <c r="G415" s="67">
        <v>415</v>
      </c>
    </row>
    <row r="416" spans="1:7" x14ac:dyDescent="0.25">
      <c r="A416" s="62" t="s">
        <v>2184</v>
      </c>
      <c r="B416" s="62">
        <v>418</v>
      </c>
      <c r="C416" s="62">
        <v>1412</v>
      </c>
      <c r="D416" s="63" t="s">
        <v>479</v>
      </c>
      <c r="E416" s="64" t="s">
        <v>24</v>
      </c>
      <c r="F416" s="64">
        <v>421</v>
      </c>
      <c r="G416" s="67">
        <v>416</v>
      </c>
    </row>
    <row r="417" spans="1:7" x14ac:dyDescent="0.25">
      <c r="A417" s="62" t="s">
        <v>2185</v>
      </c>
      <c r="B417" s="62">
        <v>419</v>
      </c>
      <c r="C417" s="62">
        <v>1413</v>
      </c>
      <c r="D417" s="63" t="s">
        <v>480</v>
      </c>
      <c r="E417" s="64" t="s">
        <v>24</v>
      </c>
      <c r="F417" s="64">
        <v>422</v>
      </c>
      <c r="G417" s="67">
        <v>417</v>
      </c>
    </row>
    <row r="418" spans="1:7" x14ac:dyDescent="0.25">
      <c r="A418" s="62" t="s">
        <v>2186</v>
      </c>
      <c r="B418" s="62">
        <v>420</v>
      </c>
      <c r="C418" s="62">
        <v>1414</v>
      </c>
      <c r="D418" s="63" t="s">
        <v>482</v>
      </c>
      <c r="E418" s="64" t="s">
        <v>24</v>
      </c>
      <c r="F418" s="64">
        <v>423</v>
      </c>
      <c r="G418" s="67">
        <v>418</v>
      </c>
    </row>
    <row r="419" spans="1:7" x14ac:dyDescent="0.25">
      <c r="A419" s="62" t="s">
        <v>2187</v>
      </c>
      <c r="B419" s="62">
        <v>421</v>
      </c>
      <c r="C419" s="62">
        <v>1415</v>
      </c>
      <c r="D419" s="63" t="s">
        <v>484</v>
      </c>
      <c r="E419" s="64" t="s">
        <v>24</v>
      </c>
      <c r="F419" s="64">
        <v>424</v>
      </c>
      <c r="G419" s="67">
        <v>419</v>
      </c>
    </row>
    <row r="420" spans="1:7" x14ac:dyDescent="0.25">
      <c r="A420" s="62" t="s">
        <v>2188</v>
      </c>
      <c r="B420" s="62">
        <v>422</v>
      </c>
      <c r="C420" s="62">
        <v>1416</v>
      </c>
      <c r="D420" s="63" t="s">
        <v>485</v>
      </c>
      <c r="E420" s="64" t="s">
        <v>24</v>
      </c>
      <c r="F420" s="64">
        <v>425</v>
      </c>
      <c r="G420" s="67">
        <v>420</v>
      </c>
    </row>
    <row r="421" spans="1:7" x14ac:dyDescent="0.25">
      <c r="A421" s="62" t="s">
        <v>2189</v>
      </c>
      <c r="B421" s="62">
        <v>423</v>
      </c>
      <c r="C421" s="62">
        <v>1417</v>
      </c>
      <c r="D421" s="63" t="s">
        <v>487</v>
      </c>
      <c r="E421" s="64" t="s">
        <v>24</v>
      </c>
      <c r="F421" s="64">
        <v>413</v>
      </c>
      <c r="G421" s="67">
        <v>421</v>
      </c>
    </row>
    <row r="422" spans="1:7" x14ac:dyDescent="0.25">
      <c r="A422" s="62" t="s">
        <v>2190</v>
      </c>
      <c r="B422" s="62">
        <v>424</v>
      </c>
      <c r="C422" s="62">
        <v>1418</v>
      </c>
      <c r="D422" s="63" t="s">
        <v>488</v>
      </c>
      <c r="E422" s="64" t="s">
        <v>24</v>
      </c>
      <c r="F422" s="64">
        <v>427</v>
      </c>
      <c r="G422" s="67">
        <v>422</v>
      </c>
    </row>
    <row r="423" spans="1:7" x14ac:dyDescent="0.25">
      <c r="A423" s="62" t="s">
        <v>2191</v>
      </c>
      <c r="B423" s="62">
        <v>425</v>
      </c>
      <c r="C423" s="62">
        <v>1419</v>
      </c>
      <c r="D423" s="63" t="s">
        <v>489</v>
      </c>
      <c r="E423" s="64" t="s">
        <v>24</v>
      </c>
      <c r="F423" s="64">
        <v>428</v>
      </c>
      <c r="G423" s="67">
        <v>423</v>
      </c>
    </row>
    <row r="424" spans="1:7" x14ac:dyDescent="0.25">
      <c r="A424" s="62" t="s">
        <v>2192</v>
      </c>
      <c r="B424" s="62">
        <v>426</v>
      </c>
      <c r="C424" s="62">
        <v>1420</v>
      </c>
      <c r="D424" s="63" t="s">
        <v>490</v>
      </c>
      <c r="E424" s="64" t="s">
        <v>24</v>
      </c>
      <c r="F424" s="64">
        <v>429</v>
      </c>
      <c r="G424" s="67">
        <v>424</v>
      </c>
    </row>
    <row r="425" spans="1:7" x14ac:dyDescent="0.25">
      <c r="A425" s="62" t="s">
        <v>2193</v>
      </c>
      <c r="B425" s="62">
        <v>427</v>
      </c>
      <c r="C425" s="62">
        <v>1421</v>
      </c>
      <c r="D425" s="63" t="s">
        <v>491</v>
      </c>
      <c r="E425" s="64" t="s">
        <v>24</v>
      </c>
      <c r="F425" s="64">
        <v>430</v>
      </c>
      <c r="G425" s="67">
        <v>425</v>
      </c>
    </row>
    <row r="426" spans="1:7" x14ac:dyDescent="0.25">
      <c r="A426" s="62" t="s">
        <v>2194</v>
      </c>
      <c r="B426" s="62">
        <v>428</v>
      </c>
      <c r="C426" s="62">
        <v>1422</v>
      </c>
      <c r="D426" s="63" t="s">
        <v>492</v>
      </c>
      <c r="E426" s="64" t="s">
        <v>24</v>
      </c>
      <c r="F426" s="64">
        <v>431</v>
      </c>
      <c r="G426" s="67">
        <v>426</v>
      </c>
    </row>
    <row r="427" spans="1:7" x14ac:dyDescent="0.25">
      <c r="A427" s="62" t="s">
        <v>2195</v>
      </c>
      <c r="B427" s="62">
        <v>429</v>
      </c>
      <c r="C427" s="62">
        <v>1423</v>
      </c>
      <c r="D427" s="63" t="s">
        <v>494</v>
      </c>
      <c r="E427" s="64" t="s">
        <v>24</v>
      </c>
      <c r="F427" s="64">
        <v>432</v>
      </c>
      <c r="G427" s="67">
        <v>427</v>
      </c>
    </row>
    <row r="428" spans="1:7" x14ac:dyDescent="0.25">
      <c r="A428" s="62" t="s">
        <v>2196</v>
      </c>
      <c r="B428" s="62">
        <v>430</v>
      </c>
      <c r="C428" s="62">
        <v>1424</v>
      </c>
      <c r="D428" s="63" t="s">
        <v>495</v>
      </c>
      <c r="E428" s="64" t="s">
        <v>24</v>
      </c>
      <c r="F428" s="64">
        <v>433</v>
      </c>
      <c r="G428" s="67">
        <v>428</v>
      </c>
    </row>
    <row r="429" spans="1:7" x14ac:dyDescent="0.25">
      <c r="A429" s="62" t="s">
        <v>2197</v>
      </c>
      <c r="B429" s="62">
        <v>431</v>
      </c>
      <c r="C429" s="62">
        <v>1425</v>
      </c>
      <c r="D429" s="63" t="s">
        <v>497</v>
      </c>
      <c r="E429" s="64" t="s">
        <v>24</v>
      </c>
      <c r="F429" s="64">
        <v>434</v>
      </c>
      <c r="G429" s="67">
        <v>429</v>
      </c>
    </row>
    <row r="430" spans="1:7" x14ac:dyDescent="0.25">
      <c r="A430" s="62" t="s">
        <v>2198</v>
      </c>
      <c r="B430" s="62">
        <v>432</v>
      </c>
      <c r="C430" s="62">
        <v>1426</v>
      </c>
      <c r="D430" s="63" t="s">
        <v>499</v>
      </c>
      <c r="E430" s="64" t="s">
        <v>24</v>
      </c>
      <c r="F430" s="64">
        <v>435</v>
      </c>
      <c r="G430" s="67">
        <v>430</v>
      </c>
    </row>
    <row r="431" spans="1:7" x14ac:dyDescent="0.25">
      <c r="A431" s="62" t="s">
        <v>2199</v>
      </c>
      <c r="B431" s="62">
        <v>433</v>
      </c>
      <c r="C431" s="62">
        <v>1427</v>
      </c>
      <c r="D431" s="63" t="s">
        <v>500</v>
      </c>
      <c r="E431" s="64" t="s">
        <v>24</v>
      </c>
      <c r="F431" s="64">
        <v>436</v>
      </c>
      <c r="G431" s="67">
        <v>431</v>
      </c>
    </row>
    <row r="432" spans="1:7" x14ac:dyDescent="0.25">
      <c r="A432" s="62" t="s">
        <v>2200</v>
      </c>
      <c r="B432" s="62">
        <v>434</v>
      </c>
      <c r="C432" s="62">
        <v>1428</v>
      </c>
      <c r="D432" s="63" t="s">
        <v>501</v>
      </c>
      <c r="E432" s="64" t="s">
        <v>24</v>
      </c>
      <c r="F432" s="64">
        <v>437</v>
      </c>
      <c r="G432" s="67">
        <v>432</v>
      </c>
    </row>
    <row r="433" spans="1:7" x14ac:dyDescent="0.25">
      <c r="A433" s="62" t="s">
        <v>2201</v>
      </c>
      <c r="B433" s="62">
        <v>435</v>
      </c>
      <c r="C433" s="62">
        <v>1429</v>
      </c>
      <c r="D433" s="63" t="s">
        <v>503</v>
      </c>
      <c r="E433" s="64" t="s">
        <v>24</v>
      </c>
      <c r="F433" s="64">
        <v>438</v>
      </c>
      <c r="G433" s="67">
        <v>433</v>
      </c>
    </row>
    <row r="434" spans="1:7" x14ac:dyDescent="0.25">
      <c r="A434" s="62" t="s">
        <v>2202</v>
      </c>
      <c r="B434" s="62">
        <v>436</v>
      </c>
      <c r="C434" s="62">
        <v>1430</v>
      </c>
      <c r="D434" s="63" t="s">
        <v>505</v>
      </c>
      <c r="E434" s="64" t="s">
        <v>24</v>
      </c>
      <c r="F434" s="64">
        <v>439</v>
      </c>
      <c r="G434" s="67">
        <v>434</v>
      </c>
    </row>
    <row r="435" spans="1:7" x14ac:dyDescent="0.25">
      <c r="A435" s="62" t="s">
        <v>2203</v>
      </c>
      <c r="B435" s="62">
        <v>437</v>
      </c>
      <c r="C435" s="62">
        <v>1431</v>
      </c>
      <c r="D435" s="63" t="s">
        <v>506</v>
      </c>
      <c r="E435" s="64" t="s">
        <v>24</v>
      </c>
      <c r="F435" s="64">
        <v>440</v>
      </c>
      <c r="G435" s="67">
        <v>435</v>
      </c>
    </row>
    <row r="436" spans="1:7" x14ac:dyDescent="0.25">
      <c r="A436" s="62" t="s">
        <v>2204</v>
      </c>
      <c r="B436" s="62">
        <v>438</v>
      </c>
      <c r="C436" s="62">
        <v>1432</v>
      </c>
      <c r="D436" s="63" t="s">
        <v>507</v>
      </c>
      <c r="E436" s="64" t="s">
        <v>24</v>
      </c>
      <c r="F436" s="64">
        <v>441</v>
      </c>
      <c r="G436" s="67">
        <v>436</v>
      </c>
    </row>
    <row r="437" spans="1:7" x14ac:dyDescent="0.25">
      <c r="A437" s="62" t="s">
        <v>2205</v>
      </c>
      <c r="B437" s="62">
        <v>439</v>
      </c>
      <c r="C437" s="62">
        <v>1433</v>
      </c>
      <c r="D437" s="63" t="s">
        <v>508</v>
      </c>
      <c r="E437" s="64" t="s">
        <v>24</v>
      </c>
      <c r="F437" s="64">
        <v>442</v>
      </c>
      <c r="G437" s="67">
        <v>437</v>
      </c>
    </row>
    <row r="438" spans="1:7" x14ac:dyDescent="0.25">
      <c r="A438" s="62" t="s">
        <v>2206</v>
      </c>
      <c r="B438" s="62">
        <v>440</v>
      </c>
      <c r="C438" s="62">
        <v>1434</v>
      </c>
      <c r="D438" s="63" t="s">
        <v>509</v>
      </c>
      <c r="E438" s="64" t="s">
        <v>24</v>
      </c>
      <c r="F438" s="64">
        <v>443</v>
      </c>
      <c r="G438" s="67">
        <v>438</v>
      </c>
    </row>
    <row r="439" spans="1:7" x14ac:dyDescent="0.25">
      <c r="A439" s="62" t="s">
        <v>2207</v>
      </c>
      <c r="B439" s="62">
        <v>441</v>
      </c>
      <c r="C439" s="62">
        <v>1435</v>
      </c>
      <c r="D439" s="63" t="s">
        <v>510</v>
      </c>
      <c r="E439" s="64" t="s">
        <v>24</v>
      </c>
      <c r="F439" s="64">
        <v>444</v>
      </c>
      <c r="G439" s="67">
        <v>439</v>
      </c>
    </row>
    <row r="440" spans="1:7" x14ac:dyDescent="0.25">
      <c r="A440" s="62" t="s">
        <v>2208</v>
      </c>
      <c r="B440" s="62">
        <v>442</v>
      </c>
      <c r="C440" s="62">
        <v>1436</v>
      </c>
      <c r="D440" s="63" t="s">
        <v>511</v>
      </c>
      <c r="E440" s="64" t="s">
        <v>24</v>
      </c>
      <c r="F440" s="64">
        <v>445</v>
      </c>
      <c r="G440" s="67">
        <v>440</v>
      </c>
    </row>
    <row r="441" spans="1:7" x14ac:dyDescent="0.25">
      <c r="A441" s="62" t="s">
        <v>2209</v>
      </c>
      <c r="B441" s="62">
        <v>443</v>
      </c>
      <c r="C441" s="62">
        <v>1437</v>
      </c>
      <c r="D441" s="63" t="s">
        <v>512</v>
      </c>
      <c r="E441" s="64" t="s">
        <v>24</v>
      </c>
      <c r="F441" s="64">
        <v>446</v>
      </c>
      <c r="G441" s="67">
        <v>441</v>
      </c>
    </row>
    <row r="442" spans="1:7" x14ac:dyDescent="0.25">
      <c r="A442" s="62" t="s">
        <v>2210</v>
      </c>
      <c r="B442" s="62">
        <v>444</v>
      </c>
      <c r="C442" s="62">
        <v>1438</v>
      </c>
      <c r="D442" s="63" t="s">
        <v>513</v>
      </c>
      <c r="E442" s="64" t="s">
        <v>24</v>
      </c>
      <c r="F442" s="64">
        <v>447</v>
      </c>
      <c r="G442" s="67">
        <v>442</v>
      </c>
    </row>
    <row r="443" spans="1:7" x14ac:dyDescent="0.25">
      <c r="A443" s="62" t="s">
        <v>2211</v>
      </c>
      <c r="B443" s="62">
        <v>445</v>
      </c>
      <c r="C443" s="62">
        <v>1439</v>
      </c>
      <c r="D443" s="63" t="s">
        <v>514</v>
      </c>
      <c r="E443" s="64" t="s">
        <v>24</v>
      </c>
      <c r="F443" s="64">
        <v>448</v>
      </c>
      <c r="G443" s="67">
        <v>443</v>
      </c>
    </row>
    <row r="444" spans="1:7" x14ac:dyDescent="0.25">
      <c r="A444" s="62" t="s">
        <v>2212</v>
      </c>
      <c r="B444" s="62">
        <v>446</v>
      </c>
      <c r="C444" s="62">
        <v>1440</v>
      </c>
      <c r="D444" s="63" t="s">
        <v>515</v>
      </c>
      <c r="E444" s="64" t="s">
        <v>24</v>
      </c>
      <c r="F444" s="64">
        <v>449</v>
      </c>
      <c r="G444" s="67">
        <v>444</v>
      </c>
    </row>
    <row r="445" spans="1:7" x14ac:dyDescent="0.25">
      <c r="A445" s="62" t="s">
        <v>2213</v>
      </c>
      <c r="B445" s="62">
        <v>447</v>
      </c>
      <c r="C445" s="62">
        <v>1441</v>
      </c>
      <c r="D445" s="63" t="s">
        <v>516</v>
      </c>
      <c r="E445" s="64" t="s">
        <v>24</v>
      </c>
      <c r="F445" s="64">
        <v>450</v>
      </c>
      <c r="G445" s="67">
        <v>445</v>
      </c>
    </row>
    <row r="446" spans="1:7" x14ac:dyDescent="0.25">
      <c r="A446" s="62" t="s">
        <v>2214</v>
      </c>
      <c r="B446" s="62">
        <v>448</v>
      </c>
      <c r="C446" s="62">
        <v>1442</v>
      </c>
      <c r="D446" s="63" t="s">
        <v>517</v>
      </c>
      <c r="E446" s="64" t="s">
        <v>24</v>
      </c>
      <c r="F446" s="64">
        <v>451</v>
      </c>
      <c r="G446" s="67">
        <v>446</v>
      </c>
    </row>
    <row r="447" spans="1:7" x14ac:dyDescent="0.25">
      <c r="A447" s="62" t="s">
        <v>2215</v>
      </c>
      <c r="B447" s="62">
        <v>449</v>
      </c>
      <c r="C447" s="62">
        <v>1443</v>
      </c>
      <c r="D447" s="63" t="s">
        <v>519</v>
      </c>
      <c r="E447" s="64" t="s">
        <v>24</v>
      </c>
      <c r="F447" s="64">
        <v>452</v>
      </c>
      <c r="G447" s="67">
        <v>447</v>
      </c>
    </row>
    <row r="448" spans="1:7" x14ac:dyDescent="0.25">
      <c r="A448" s="62" t="s">
        <v>2216</v>
      </c>
      <c r="B448" s="62">
        <v>450</v>
      </c>
      <c r="C448" s="62">
        <v>1444</v>
      </c>
      <c r="D448" s="63" t="s">
        <v>520</v>
      </c>
      <c r="E448" s="64" t="s">
        <v>24</v>
      </c>
      <c r="F448" s="64">
        <v>453</v>
      </c>
      <c r="G448" s="67">
        <v>448</v>
      </c>
    </row>
    <row r="449" spans="1:7" x14ac:dyDescent="0.25">
      <c r="A449" s="62" t="s">
        <v>2217</v>
      </c>
      <c r="B449" s="62">
        <v>451</v>
      </c>
      <c r="C449" s="62">
        <v>1445</v>
      </c>
      <c r="D449" s="63" t="s">
        <v>522</v>
      </c>
      <c r="E449" s="64" t="s">
        <v>24</v>
      </c>
      <c r="F449" s="64">
        <v>454</v>
      </c>
      <c r="G449" s="67">
        <v>449</v>
      </c>
    </row>
    <row r="450" spans="1:7" x14ac:dyDescent="0.25">
      <c r="A450" s="62" t="s">
        <v>2218</v>
      </c>
      <c r="B450" s="62">
        <v>452</v>
      </c>
      <c r="C450" s="62">
        <v>1446</v>
      </c>
      <c r="D450" s="63" t="s">
        <v>523</v>
      </c>
      <c r="E450" s="64" t="s">
        <v>24</v>
      </c>
      <c r="F450" s="64">
        <v>455</v>
      </c>
      <c r="G450" s="67">
        <v>450</v>
      </c>
    </row>
    <row r="451" spans="1:7" x14ac:dyDescent="0.25">
      <c r="A451" s="62" t="s">
        <v>2219</v>
      </c>
      <c r="B451" s="62">
        <v>453</v>
      </c>
      <c r="C451" s="62">
        <v>1447</v>
      </c>
      <c r="D451" s="63" t="s">
        <v>525</v>
      </c>
      <c r="E451" s="64" t="s">
        <v>24</v>
      </c>
      <c r="F451" s="64">
        <v>456</v>
      </c>
      <c r="G451" s="67">
        <v>451</v>
      </c>
    </row>
    <row r="452" spans="1:7" x14ac:dyDescent="0.25">
      <c r="A452" s="62" t="s">
        <v>2220</v>
      </c>
      <c r="B452" s="62">
        <v>454</v>
      </c>
      <c r="C452" s="62">
        <v>1448</v>
      </c>
      <c r="D452" s="63" t="s">
        <v>527</v>
      </c>
      <c r="E452" s="64" t="s">
        <v>24</v>
      </c>
      <c r="F452" s="64">
        <v>457</v>
      </c>
      <c r="G452" s="67">
        <v>452</v>
      </c>
    </row>
    <row r="453" spans="1:7" x14ac:dyDescent="0.25">
      <c r="A453" s="62" t="s">
        <v>2221</v>
      </c>
      <c r="B453" s="62">
        <v>455</v>
      </c>
      <c r="C453" s="62">
        <v>1449</v>
      </c>
      <c r="D453" s="63" t="s">
        <v>528</v>
      </c>
      <c r="E453" s="64" t="s">
        <v>24</v>
      </c>
      <c r="F453" s="64">
        <v>458</v>
      </c>
      <c r="G453" s="67">
        <v>453</v>
      </c>
    </row>
    <row r="454" spans="1:7" x14ac:dyDescent="0.25">
      <c r="A454" s="62" t="s">
        <v>2222</v>
      </c>
      <c r="B454" s="62">
        <v>456</v>
      </c>
      <c r="C454" s="62">
        <v>1450</v>
      </c>
      <c r="D454" s="63" t="s">
        <v>529</v>
      </c>
      <c r="E454" s="64" t="s">
        <v>24</v>
      </c>
      <c r="F454" s="64">
        <v>459</v>
      </c>
      <c r="G454" s="67">
        <v>454</v>
      </c>
    </row>
    <row r="455" spans="1:7" x14ac:dyDescent="0.25">
      <c r="A455" s="62" t="s">
        <v>2223</v>
      </c>
      <c r="B455" s="62">
        <v>457</v>
      </c>
      <c r="C455" s="62">
        <v>1451</v>
      </c>
      <c r="D455" s="63" t="s">
        <v>530</v>
      </c>
      <c r="E455" s="64" t="s">
        <v>24</v>
      </c>
      <c r="F455" s="64">
        <v>460</v>
      </c>
      <c r="G455" s="67">
        <v>455</v>
      </c>
    </row>
    <row r="456" spans="1:7" x14ac:dyDescent="0.25">
      <c r="A456" s="62" t="s">
        <v>2224</v>
      </c>
      <c r="B456" s="62">
        <v>458</v>
      </c>
      <c r="C456" s="62">
        <v>1452</v>
      </c>
      <c r="D456" s="63" t="s">
        <v>531</v>
      </c>
      <c r="E456" s="64" t="s">
        <v>24</v>
      </c>
      <c r="F456" s="64">
        <v>461</v>
      </c>
      <c r="G456" s="67">
        <v>456</v>
      </c>
    </row>
    <row r="457" spans="1:7" x14ac:dyDescent="0.25">
      <c r="A457" s="62" t="s">
        <v>2225</v>
      </c>
      <c r="B457" s="62">
        <v>459</v>
      </c>
      <c r="C457" s="62">
        <v>1453</v>
      </c>
      <c r="D457" s="63" t="s">
        <v>532</v>
      </c>
      <c r="E457" s="64" t="s">
        <v>24</v>
      </c>
      <c r="F457" s="64">
        <v>462</v>
      </c>
      <c r="G457" s="67">
        <v>457</v>
      </c>
    </row>
    <row r="458" spans="1:7" x14ac:dyDescent="0.25">
      <c r="A458" s="62" t="s">
        <v>2226</v>
      </c>
      <c r="B458" s="62">
        <v>460</v>
      </c>
      <c r="C458" s="62">
        <v>1454</v>
      </c>
      <c r="D458" s="63" t="s">
        <v>533</v>
      </c>
      <c r="E458" s="64" t="s">
        <v>24</v>
      </c>
      <c r="F458" s="64">
        <v>463</v>
      </c>
      <c r="G458" s="67">
        <v>458</v>
      </c>
    </row>
    <row r="459" spans="1:7" x14ac:dyDescent="0.25">
      <c r="A459" s="62" t="s">
        <v>2227</v>
      </c>
      <c r="B459" s="62">
        <v>461</v>
      </c>
      <c r="C459" s="62">
        <v>1455</v>
      </c>
      <c r="D459" s="63" t="s">
        <v>534</v>
      </c>
      <c r="E459" s="64" t="s">
        <v>24</v>
      </c>
      <c r="F459" s="64">
        <v>464</v>
      </c>
      <c r="G459" s="67">
        <v>459</v>
      </c>
    </row>
    <row r="460" spans="1:7" x14ac:dyDescent="0.25">
      <c r="A460" s="62" t="s">
        <v>2228</v>
      </c>
      <c r="B460" s="62">
        <v>462</v>
      </c>
      <c r="C460" s="62">
        <v>1456</v>
      </c>
      <c r="D460" s="63" t="s">
        <v>535</v>
      </c>
      <c r="E460" s="64" t="s">
        <v>24</v>
      </c>
      <c r="F460" s="64">
        <v>465</v>
      </c>
      <c r="G460" s="67">
        <v>460</v>
      </c>
    </row>
    <row r="461" spans="1:7" x14ac:dyDescent="0.25">
      <c r="A461" s="62" t="s">
        <v>2229</v>
      </c>
      <c r="B461" s="62">
        <v>463</v>
      </c>
      <c r="C461" s="62">
        <v>1457</v>
      </c>
      <c r="D461" s="63" t="s">
        <v>536</v>
      </c>
      <c r="E461" s="64" t="s">
        <v>24</v>
      </c>
      <c r="F461" s="64">
        <v>466</v>
      </c>
      <c r="G461" s="67">
        <v>461</v>
      </c>
    </row>
    <row r="462" spans="1:7" x14ac:dyDescent="0.25">
      <c r="A462" s="62" t="s">
        <v>2230</v>
      </c>
      <c r="B462" s="62">
        <v>464</v>
      </c>
      <c r="C462" s="62">
        <v>1458</v>
      </c>
      <c r="D462" s="63" t="s">
        <v>537</v>
      </c>
      <c r="E462" s="64" t="s">
        <v>24</v>
      </c>
      <c r="F462" s="64">
        <v>467</v>
      </c>
      <c r="G462" s="67">
        <v>462</v>
      </c>
    </row>
    <row r="463" spans="1:7" x14ac:dyDescent="0.25">
      <c r="A463" s="62" t="s">
        <v>2231</v>
      </c>
      <c r="B463" s="62">
        <v>465</v>
      </c>
      <c r="C463" s="62">
        <v>1459</v>
      </c>
      <c r="D463" s="63" t="s">
        <v>538</v>
      </c>
      <c r="E463" s="64" t="s">
        <v>24</v>
      </c>
      <c r="F463" s="64">
        <v>468</v>
      </c>
      <c r="G463" s="67">
        <v>463</v>
      </c>
    </row>
    <row r="464" spans="1:7" x14ac:dyDescent="0.25">
      <c r="A464" s="62" t="s">
        <v>2232</v>
      </c>
      <c r="B464" s="62">
        <v>466</v>
      </c>
      <c r="C464" s="62">
        <v>1460</v>
      </c>
      <c r="D464" s="63" t="s">
        <v>539</v>
      </c>
      <c r="E464" s="64" t="s">
        <v>24</v>
      </c>
      <c r="F464" s="64">
        <v>469</v>
      </c>
      <c r="G464" s="67">
        <v>464</v>
      </c>
    </row>
    <row r="465" spans="1:7" x14ac:dyDescent="0.25">
      <c r="A465" s="62" t="s">
        <v>2233</v>
      </c>
      <c r="B465" s="62">
        <v>467</v>
      </c>
      <c r="C465" s="62">
        <v>1461</v>
      </c>
      <c r="D465" s="63" t="s">
        <v>540</v>
      </c>
      <c r="E465" s="64" t="s">
        <v>55</v>
      </c>
      <c r="F465" s="64">
        <v>470</v>
      </c>
      <c r="G465" s="67">
        <v>465</v>
      </c>
    </row>
    <row r="466" spans="1:7" x14ac:dyDescent="0.25">
      <c r="A466" s="62" t="s">
        <v>2234</v>
      </c>
      <c r="B466" s="62">
        <v>468</v>
      </c>
      <c r="C466" s="62">
        <v>1462</v>
      </c>
      <c r="D466" s="63" t="s">
        <v>541</v>
      </c>
      <c r="E466" s="64" t="s">
        <v>55</v>
      </c>
      <c r="F466" s="64">
        <v>471</v>
      </c>
      <c r="G466" s="67">
        <v>466</v>
      </c>
    </row>
    <row r="467" spans="1:7" x14ac:dyDescent="0.25">
      <c r="A467" s="62" t="s">
        <v>2235</v>
      </c>
      <c r="B467" s="62">
        <v>469</v>
      </c>
      <c r="C467" s="62">
        <v>1463</v>
      </c>
      <c r="D467" s="63" t="s">
        <v>542</v>
      </c>
      <c r="E467" s="64" t="s">
        <v>55</v>
      </c>
      <c r="F467" s="64">
        <v>472</v>
      </c>
      <c r="G467" s="67">
        <v>467</v>
      </c>
    </row>
    <row r="468" spans="1:7" x14ac:dyDescent="0.25">
      <c r="A468" s="62" t="s">
        <v>2236</v>
      </c>
      <c r="B468" s="62">
        <v>470</v>
      </c>
      <c r="C468" s="62">
        <v>1464</v>
      </c>
      <c r="D468" s="63" t="s">
        <v>543</v>
      </c>
      <c r="E468" s="64" t="s">
        <v>24</v>
      </c>
      <c r="F468" s="64">
        <v>473</v>
      </c>
      <c r="G468" s="67">
        <v>468</v>
      </c>
    </row>
    <row r="469" spans="1:7" x14ac:dyDescent="0.25">
      <c r="A469" s="62" t="s">
        <v>2237</v>
      </c>
      <c r="B469" s="62">
        <v>471</v>
      </c>
      <c r="C469" s="62">
        <v>1465</v>
      </c>
      <c r="D469" s="63" t="s">
        <v>545</v>
      </c>
      <c r="E469" s="64" t="s">
        <v>546</v>
      </c>
      <c r="F469" s="64">
        <v>474</v>
      </c>
      <c r="G469" s="67">
        <v>469</v>
      </c>
    </row>
    <row r="470" spans="1:7" x14ac:dyDescent="0.25">
      <c r="A470" s="62" t="s">
        <v>2238</v>
      </c>
      <c r="B470" s="62">
        <v>472</v>
      </c>
      <c r="C470" s="62">
        <v>1466</v>
      </c>
      <c r="D470" s="63" t="s">
        <v>547</v>
      </c>
      <c r="E470" s="64" t="s">
        <v>546</v>
      </c>
      <c r="F470" s="64">
        <v>475</v>
      </c>
      <c r="G470" s="67">
        <v>470</v>
      </c>
    </row>
    <row r="471" spans="1:7" x14ac:dyDescent="0.25">
      <c r="A471" s="62" t="s">
        <v>2239</v>
      </c>
      <c r="B471" s="62">
        <v>473</v>
      </c>
      <c r="C471" s="62">
        <v>1467</v>
      </c>
      <c r="D471" s="63" t="s">
        <v>548</v>
      </c>
      <c r="E471" s="64" t="s">
        <v>546</v>
      </c>
      <c r="F471" s="64">
        <v>476</v>
      </c>
      <c r="G471" s="67">
        <v>471</v>
      </c>
    </row>
    <row r="472" spans="1:7" x14ac:dyDescent="0.25">
      <c r="A472" s="62" t="s">
        <v>2240</v>
      </c>
      <c r="B472" s="62">
        <v>474</v>
      </c>
      <c r="C472" s="62">
        <v>1468</v>
      </c>
      <c r="D472" s="63" t="s">
        <v>549</v>
      </c>
      <c r="E472" s="64" t="s">
        <v>546</v>
      </c>
      <c r="F472" s="64">
        <v>477</v>
      </c>
      <c r="G472" s="67">
        <v>472</v>
      </c>
    </row>
    <row r="473" spans="1:7" x14ac:dyDescent="0.25">
      <c r="A473" s="62" t="s">
        <v>2241</v>
      </c>
      <c r="B473" s="62">
        <v>475</v>
      </c>
      <c r="C473" s="62">
        <v>1469</v>
      </c>
      <c r="D473" s="63" t="s">
        <v>550</v>
      </c>
      <c r="E473" s="64" t="s">
        <v>546</v>
      </c>
      <c r="F473" s="64">
        <v>470</v>
      </c>
      <c r="G473" s="67">
        <v>473</v>
      </c>
    </row>
    <row r="474" spans="1:7" x14ac:dyDescent="0.25">
      <c r="A474" s="62" t="s">
        <v>2242</v>
      </c>
      <c r="B474" s="62">
        <v>476</v>
      </c>
      <c r="C474" s="62">
        <v>1470</v>
      </c>
      <c r="D474" s="63" t="s">
        <v>551</v>
      </c>
      <c r="E474" s="64" t="s">
        <v>546</v>
      </c>
      <c r="F474" s="64">
        <v>479</v>
      </c>
      <c r="G474" s="67">
        <v>474</v>
      </c>
    </row>
    <row r="475" spans="1:7" x14ac:dyDescent="0.25">
      <c r="A475" s="62" t="s">
        <v>2243</v>
      </c>
      <c r="B475" s="62">
        <v>477</v>
      </c>
      <c r="C475" s="62">
        <v>1471</v>
      </c>
      <c r="D475" s="63" t="s">
        <v>552</v>
      </c>
      <c r="E475" s="64" t="s">
        <v>546</v>
      </c>
      <c r="F475" s="64">
        <v>480</v>
      </c>
      <c r="G475" s="67">
        <v>475</v>
      </c>
    </row>
    <row r="476" spans="1:7" x14ac:dyDescent="0.25">
      <c r="A476" s="62" t="s">
        <v>2244</v>
      </c>
      <c r="B476" s="62">
        <v>478</v>
      </c>
      <c r="C476" s="62">
        <v>1472</v>
      </c>
      <c r="D476" s="63" t="s">
        <v>553</v>
      </c>
      <c r="E476" s="64" t="s">
        <v>24</v>
      </c>
      <c r="F476" s="64">
        <v>571</v>
      </c>
      <c r="G476" s="67">
        <v>476</v>
      </c>
    </row>
    <row r="477" spans="1:7" x14ac:dyDescent="0.25">
      <c r="A477" s="62" t="s">
        <v>2245</v>
      </c>
      <c r="B477" s="62">
        <v>479</v>
      </c>
      <c r="C477" s="62">
        <v>1473</v>
      </c>
      <c r="D477" s="63" t="s">
        <v>554</v>
      </c>
      <c r="E477" s="64" t="s">
        <v>24</v>
      </c>
      <c r="F477" s="64">
        <v>482</v>
      </c>
      <c r="G477" s="67">
        <v>477</v>
      </c>
    </row>
    <row r="478" spans="1:7" x14ac:dyDescent="0.25">
      <c r="A478" s="62" t="s">
        <v>2246</v>
      </c>
      <c r="B478" s="62">
        <v>480</v>
      </c>
      <c r="C478" s="62">
        <v>1474</v>
      </c>
      <c r="D478" s="63" t="s">
        <v>555</v>
      </c>
      <c r="E478" s="64" t="s">
        <v>24</v>
      </c>
      <c r="F478" s="64">
        <v>483</v>
      </c>
      <c r="G478" s="67">
        <v>478</v>
      </c>
    </row>
    <row r="479" spans="1:7" x14ac:dyDescent="0.25">
      <c r="A479" s="62" t="s">
        <v>2247</v>
      </c>
      <c r="B479" s="62">
        <v>481</v>
      </c>
      <c r="C479" s="62">
        <v>1475</v>
      </c>
      <c r="D479" s="63" t="s">
        <v>556</v>
      </c>
      <c r="E479" s="64" t="s">
        <v>24</v>
      </c>
      <c r="F479" s="64">
        <v>484</v>
      </c>
      <c r="G479" s="67">
        <v>479</v>
      </c>
    </row>
    <row r="480" spans="1:7" x14ac:dyDescent="0.25">
      <c r="A480" s="62" t="s">
        <v>2248</v>
      </c>
      <c r="B480" s="62">
        <v>482</v>
      </c>
      <c r="C480" s="62">
        <v>1476</v>
      </c>
      <c r="D480" s="63" t="s">
        <v>557</v>
      </c>
      <c r="E480" s="64" t="s">
        <v>24</v>
      </c>
      <c r="F480" s="64">
        <v>485</v>
      </c>
      <c r="G480" s="67">
        <v>480</v>
      </c>
    </row>
    <row r="481" spans="1:7" x14ac:dyDescent="0.25">
      <c r="A481" s="62" t="s">
        <v>2249</v>
      </c>
      <c r="B481" s="62">
        <v>483</v>
      </c>
      <c r="C481" s="62">
        <v>1477</v>
      </c>
      <c r="D481" s="63" t="s">
        <v>558</v>
      </c>
      <c r="E481" s="64" t="s">
        <v>24</v>
      </c>
      <c r="F481" s="64">
        <v>486</v>
      </c>
      <c r="G481" s="67">
        <v>481</v>
      </c>
    </row>
    <row r="482" spans="1:7" x14ac:dyDescent="0.25">
      <c r="A482" s="62" t="s">
        <v>2250</v>
      </c>
      <c r="B482" s="62">
        <v>484</v>
      </c>
      <c r="C482" s="62">
        <v>1478</v>
      </c>
      <c r="D482" s="63" t="s">
        <v>559</v>
      </c>
      <c r="E482" s="64" t="s">
        <v>24</v>
      </c>
      <c r="F482" s="64">
        <v>487</v>
      </c>
      <c r="G482" s="67">
        <v>482</v>
      </c>
    </row>
    <row r="483" spans="1:7" x14ac:dyDescent="0.25">
      <c r="A483" s="62" t="s">
        <v>2251</v>
      </c>
      <c r="B483" s="62">
        <v>485</v>
      </c>
      <c r="C483" s="62">
        <v>1479</v>
      </c>
      <c r="D483" s="63" t="s">
        <v>560</v>
      </c>
      <c r="E483" s="64" t="s">
        <v>24</v>
      </c>
      <c r="F483" s="64">
        <v>488</v>
      </c>
      <c r="G483" s="67">
        <v>483</v>
      </c>
    </row>
    <row r="484" spans="1:7" x14ac:dyDescent="0.25">
      <c r="A484" s="62" t="s">
        <v>2252</v>
      </c>
      <c r="B484" s="62">
        <v>486</v>
      </c>
      <c r="C484" s="62">
        <v>1480</v>
      </c>
      <c r="D484" s="63" t="s">
        <v>561</v>
      </c>
      <c r="E484" s="64" t="s">
        <v>24</v>
      </c>
      <c r="F484" s="64">
        <v>483</v>
      </c>
      <c r="G484" s="67">
        <v>484</v>
      </c>
    </row>
    <row r="485" spans="1:7" x14ac:dyDescent="0.25">
      <c r="A485" s="62" t="s">
        <v>2253</v>
      </c>
      <c r="B485" s="62">
        <v>487</v>
      </c>
      <c r="C485" s="62">
        <v>1481</v>
      </c>
      <c r="D485" s="63" t="s">
        <v>562</v>
      </c>
      <c r="E485" s="64" t="s">
        <v>24</v>
      </c>
      <c r="F485" s="64">
        <v>490</v>
      </c>
      <c r="G485" s="67">
        <v>485</v>
      </c>
    </row>
    <row r="486" spans="1:7" x14ac:dyDescent="0.25">
      <c r="A486" s="62" t="s">
        <v>2254</v>
      </c>
      <c r="B486" s="62">
        <v>488</v>
      </c>
      <c r="C486" s="62">
        <v>1482</v>
      </c>
      <c r="D486" s="63" t="s">
        <v>563</v>
      </c>
      <c r="E486" s="64" t="s">
        <v>24</v>
      </c>
      <c r="F486" s="64">
        <v>491</v>
      </c>
      <c r="G486" s="67">
        <v>486</v>
      </c>
    </row>
    <row r="487" spans="1:7" x14ac:dyDescent="0.25">
      <c r="A487" s="62" t="s">
        <v>2255</v>
      </c>
      <c r="B487" s="62">
        <v>489</v>
      </c>
      <c r="C487" s="62">
        <v>1483</v>
      </c>
      <c r="D487" s="63" t="s">
        <v>564</v>
      </c>
      <c r="E487" s="64" t="s">
        <v>24</v>
      </c>
      <c r="F487" s="64">
        <v>492</v>
      </c>
      <c r="G487" s="67">
        <v>487</v>
      </c>
    </row>
    <row r="488" spans="1:7" x14ac:dyDescent="0.25">
      <c r="A488" s="62" t="s">
        <v>2256</v>
      </c>
      <c r="B488" s="62">
        <v>490</v>
      </c>
      <c r="C488" s="62">
        <v>1484</v>
      </c>
      <c r="D488" s="63" t="s">
        <v>565</v>
      </c>
      <c r="E488" s="64" t="s">
        <v>24</v>
      </c>
      <c r="F488" s="64">
        <v>493</v>
      </c>
      <c r="G488" s="67">
        <v>488</v>
      </c>
    </row>
    <row r="489" spans="1:7" x14ac:dyDescent="0.25">
      <c r="A489" s="62" t="s">
        <v>2257</v>
      </c>
      <c r="B489" s="62">
        <v>491</v>
      </c>
      <c r="C489" s="62">
        <v>1485</v>
      </c>
      <c r="D489" s="63" t="s">
        <v>566</v>
      </c>
      <c r="E489" s="64" t="s">
        <v>24</v>
      </c>
      <c r="F489" s="64">
        <v>494</v>
      </c>
      <c r="G489" s="67">
        <v>489</v>
      </c>
    </row>
    <row r="490" spans="1:7" x14ac:dyDescent="0.25">
      <c r="A490" s="62" t="s">
        <v>2258</v>
      </c>
      <c r="B490" s="62">
        <v>492</v>
      </c>
      <c r="C490" s="62">
        <v>1486</v>
      </c>
      <c r="D490" s="63" t="s">
        <v>567</v>
      </c>
      <c r="E490" s="64" t="s">
        <v>24</v>
      </c>
      <c r="F490" s="64">
        <v>495</v>
      </c>
      <c r="G490" s="67">
        <v>490</v>
      </c>
    </row>
    <row r="491" spans="1:7" x14ac:dyDescent="0.25">
      <c r="A491" s="62" t="s">
        <v>2259</v>
      </c>
      <c r="B491" s="62">
        <v>493</v>
      </c>
      <c r="C491" s="62">
        <v>1487</v>
      </c>
      <c r="D491" s="63" t="s">
        <v>568</v>
      </c>
      <c r="E491" s="64" t="s">
        <v>24</v>
      </c>
      <c r="F491" s="64">
        <v>496</v>
      </c>
      <c r="G491" s="67">
        <v>491</v>
      </c>
    </row>
    <row r="492" spans="1:7" x14ac:dyDescent="0.25">
      <c r="A492" s="62" t="s">
        <v>2260</v>
      </c>
      <c r="B492" s="62">
        <v>494</v>
      </c>
      <c r="C492" s="62">
        <v>1488</v>
      </c>
      <c r="D492" s="63" t="s">
        <v>569</v>
      </c>
      <c r="E492" s="64" t="s">
        <v>24</v>
      </c>
      <c r="F492" s="64">
        <v>497</v>
      </c>
      <c r="G492" s="67">
        <v>492</v>
      </c>
    </row>
    <row r="493" spans="1:7" x14ac:dyDescent="0.25">
      <c r="A493" s="62" t="s">
        <v>2261</v>
      </c>
      <c r="B493" s="62">
        <v>495</v>
      </c>
      <c r="C493" s="62">
        <v>1489</v>
      </c>
      <c r="D493" s="63" t="s">
        <v>570</v>
      </c>
      <c r="E493" s="64" t="s">
        <v>24</v>
      </c>
      <c r="F493" s="64">
        <v>498</v>
      </c>
      <c r="G493" s="67">
        <v>493</v>
      </c>
    </row>
    <row r="494" spans="1:7" x14ac:dyDescent="0.25">
      <c r="A494" s="62" t="s">
        <v>2262</v>
      </c>
      <c r="B494" s="62">
        <v>496</v>
      </c>
      <c r="C494" s="62">
        <v>1490</v>
      </c>
      <c r="D494" s="63" t="s">
        <v>571</v>
      </c>
      <c r="E494" s="64" t="s">
        <v>24</v>
      </c>
      <c r="F494" s="64">
        <v>499</v>
      </c>
      <c r="G494" s="67">
        <v>494</v>
      </c>
    </row>
    <row r="495" spans="1:7" x14ac:dyDescent="0.25">
      <c r="A495" s="62" t="s">
        <v>2263</v>
      </c>
      <c r="B495" s="62">
        <v>497</v>
      </c>
      <c r="C495" s="62">
        <v>1491</v>
      </c>
      <c r="D495" s="63" t="s">
        <v>572</v>
      </c>
      <c r="E495" s="64" t="s">
        <v>24</v>
      </c>
      <c r="F495" s="64">
        <v>500</v>
      </c>
      <c r="G495" s="67">
        <v>495</v>
      </c>
    </row>
    <row r="496" spans="1:7" x14ac:dyDescent="0.25">
      <c r="A496" s="62" t="s">
        <v>2264</v>
      </c>
      <c r="B496" s="62">
        <v>498</v>
      </c>
      <c r="C496" s="62">
        <v>1492</v>
      </c>
      <c r="D496" s="63" t="s">
        <v>573</v>
      </c>
      <c r="E496" s="64" t="s">
        <v>55</v>
      </c>
      <c r="F496" s="64">
        <v>501</v>
      </c>
      <c r="G496" s="67">
        <v>496</v>
      </c>
    </row>
    <row r="497" spans="1:7" x14ac:dyDescent="0.25">
      <c r="A497" s="62" t="s">
        <v>2265</v>
      </c>
      <c r="B497" s="62">
        <v>499</v>
      </c>
      <c r="C497" s="62">
        <v>1493</v>
      </c>
      <c r="D497" s="63" t="s">
        <v>574</v>
      </c>
      <c r="E497" s="64" t="s">
        <v>55</v>
      </c>
      <c r="F497" s="64">
        <v>502</v>
      </c>
      <c r="G497" s="67">
        <v>497</v>
      </c>
    </row>
    <row r="498" spans="1:7" x14ac:dyDescent="0.25">
      <c r="A498" s="62" t="s">
        <v>2266</v>
      </c>
      <c r="B498" s="62">
        <v>500</v>
      </c>
      <c r="C498" s="62">
        <v>1494</v>
      </c>
      <c r="D498" s="63" t="s">
        <v>575</v>
      </c>
      <c r="E498" s="64" t="s">
        <v>546</v>
      </c>
      <c r="F498" s="64">
        <v>503</v>
      </c>
      <c r="G498" s="67">
        <v>498</v>
      </c>
    </row>
    <row r="499" spans="1:7" x14ac:dyDescent="0.25">
      <c r="A499" s="62" t="s">
        <v>2267</v>
      </c>
      <c r="B499" s="62">
        <v>501</v>
      </c>
      <c r="C499" s="62">
        <v>1495</v>
      </c>
      <c r="D499" s="63" t="s">
        <v>577</v>
      </c>
      <c r="E499" s="64" t="s">
        <v>546</v>
      </c>
      <c r="F499" s="64">
        <v>504</v>
      </c>
      <c r="G499" s="67">
        <v>499</v>
      </c>
    </row>
    <row r="500" spans="1:7" x14ac:dyDescent="0.25">
      <c r="A500" s="62" t="s">
        <v>2268</v>
      </c>
      <c r="B500" s="62">
        <v>502</v>
      </c>
      <c r="C500" s="62">
        <v>1496</v>
      </c>
      <c r="D500" s="63" t="s">
        <v>578</v>
      </c>
      <c r="E500" s="64" t="s">
        <v>546</v>
      </c>
      <c r="F500" s="64">
        <v>505</v>
      </c>
      <c r="G500" s="67">
        <v>500</v>
      </c>
    </row>
    <row r="501" spans="1:7" x14ac:dyDescent="0.25">
      <c r="A501" s="62" t="s">
        <v>2269</v>
      </c>
      <c r="B501" s="62">
        <v>503</v>
      </c>
      <c r="C501" s="62">
        <v>1497</v>
      </c>
      <c r="D501" s="63" t="s">
        <v>579</v>
      </c>
      <c r="E501" s="64" t="s">
        <v>24</v>
      </c>
      <c r="F501" s="64">
        <v>506</v>
      </c>
      <c r="G501" s="67">
        <v>501</v>
      </c>
    </row>
    <row r="502" spans="1:7" x14ac:dyDescent="0.25">
      <c r="A502" s="62" t="s">
        <v>2270</v>
      </c>
      <c r="B502" s="62">
        <v>504</v>
      </c>
      <c r="C502" s="62">
        <v>1498</v>
      </c>
      <c r="D502" s="63" t="s">
        <v>581</v>
      </c>
      <c r="E502" s="64" t="s">
        <v>24</v>
      </c>
      <c r="F502" s="64">
        <v>507</v>
      </c>
      <c r="G502" s="67">
        <v>502</v>
      </c>
    </row>
    <row r="503" spans="1:7" x14ac:dyDescent="0.25">
      <c r="A503" s="62" t="s">
        <v>2271</v>
      </c>
      <c r="B503" s="62">
        <v>505</v>
      </c>
      <c r="C503" s="62">
        <v>1499</v>
      </c>
      <c r="D503" s="63" t="s">
        <v>583</v>
      </c>
      <c r="E503" s="64" t="s">
        <v>24</v>
      </c>
      <c r="F503" s="64">
        <v>508</v>
      </c>
      <c r="G503" s="67">
        <v>503</v>
      </c>
    </row>
    <row r="504" spans="1:7" x14ac:dyDescent="0.25">
      <c r="A504" s="62" t="s">
        <v>2272</v>
      </c>
      <c r="B504" s="62">
        <v>506</v>
      </c>
      <c r="C504" s="62">
        <v>1500</v>
      </c>
      <c r="D504" s="63" t="s">
        <v>584</v>
      </c>
      <c r="E504" s="64" t="s">
        <v>24</v>
      </c>
      <c r="F504" s="64">
        <v>509</v>
      </c>
      <c r="G504" s="67">
        <v>504</v>
      </c>
    </row>
    <row r="505" spans="1:7" x14ac:dyDescent="0.25">
      <c r="A505" s="62" t="s">
        <v>2273</v>
      </c>
      <c r="B505" s="62">
        <v>507</v>
      </c>
      <c r="C505" s="62">
        <v>1501</v>
      </c>
      <c r="D505" s="63" t="s">
        <v>586</v>
      </c>
      <c r="E505" s="64" t="s">
        <v>24</v>
      </c>
      <c r="F505" s="64">
        <v>510</v>
      </c>
      <c r="G505" s="67">
        <v>505</v>
      </c>
    </row>
    <row r="506" spans="1:7" x14ac:dyDescent="0.25">
      <c r="A506" s="62" t="s">
        <v>2274</v>
      </c>
      <c r="B506" s="62">
        <v>508</v>
      </c>
      <c r="C506" s="62">
        <v>1502</v>
      </c>
      <c r="D506" s="63" t="s">
        <v>588</v>
      </c>
      <c r="E506" s="64" t="s">
        <v>24</v>
      </c>
      <c r="F506" s="64">
        <v>511</v>
      </c>
      <c r="G506" s="67">
        <v>506</v>
      </c>
    </row>
    <row r="507" spans="1:7" x14ac:dyDescent="0.25">
      <c r="A507" s="62" t="s">
        <v>2275</v>
      </c>
      <c r="B507" s="62">
        <v>509</v>
      </c>
      <c r="C507" s="62">
        <v>1503</v>
      </c>
      <c r="D507" s="63" t="s">
        <v>589</v>
      </c>
      <c r="E507" s="64" t="s">
        <v>24</v>
      </c>
      <c r="F507" s="64">
        <v>512</v>
      </c>
      <c r="G507" s="67">
        <v>507</v>
      </c>
    </row>
    <row r="508" spans="1:7" x14ac:dyDescent="0.25">
      <c r="A508" s="62" t="s">
        <v>2276</v>
      </c>
      <c r="B508" s="62">
        <v>510</v>
      </c>
      <c r="C508" s="62">
        <v>1504</v>
      </c>
      <c r="D508" s="63" t="s">
        <v>591</v>
      </c>
      <c r="E508" s="64" t="s">
        <v>55</v>
      </c>
      <c r="F508" s="64">
        <v>513</v>
      </c>
      <c r="G508" s="67">
        <v>508</v>
      </c>
    </row>
    <row r="509" spans="1:7" x14ac:dyDescent="0.25">
      <c r="A509" s="62" t="s">
        <v>2277</v>
      </c>
      <c r="B509" s="62">
        <v>511</v>
      </c>
      <c r="C509" s="62">
        <v>1505</v>
      </c>
      <c r="D509" s="63" t="s">
        <v>592</v>
      </c>
      <c r="E509" s="64" t="s">
        <v>24</v>
      </c>
      <c r="F509" s="64">
        <v>514</v>
      </c>
      <c r="G509" s="67">
        <v>509</v>
      </c>
    </row>
    <row r="510" spans="1:7" x14ac:dyDescent="0.25">
      <c r="A510" s="62" t="s">
        <v>2278</v>
      </c>
      <c r="B510" s="62">
        <v>512</v>
      </c>
      <c r="C510" s="62">
        <v>1506</v>
      </c>
      <c r="D510" s="63" t="s">
        <v>593</v>
      </c>
      <c r="E510" s="64" t="s">
        <v>24</v>
      </c>
      <c r="F510" s="64">
        <v>515</v>
      </c>
      <c r="G510" s="67">
        <v>510</v>
      </c>
    </row>
    <row r="511" spans="1:7" x14ac:dyDescent="0.25">
      <c r="A511" s="62" t="s">
        <v>2279</v>
      </c>
      <c r="B511" s="62">
        <v>513</v>
      </c>
      <c r="C511" s="62">
        <v>1507</v>
      </c>
      <c r="D511" s="63" t="s">
        <v>594</v>
      </c>
      <c r="E511" s="64" t="s">
        <v>24</v>
      </c>
      <c r="F511" s="64">
        <v>516</v>
      </c>
      <c r="G511" s="67">
        <v>511</v>
      </c>
    </row>
    <row r="512" spans="1:7" x14ac:dyDescent="0.25">
      <c r="A512" s="62" t="s">
        <v>2280</v>
      </c>
      <c r="B512" s="62">
        <v>514</v>
      </c>
      <c r="C512" s="62">
        <v>1508</v>
      </c>
      <c r="D512" s="63" t="s">
        <v>595</v>
      </c>
      <c r="E512" s="64" t="s">
        <v>24</v>
      </c>
      <c r="F512" s="64">
        <v>517</v>
      </c>
      <c r="G512" s="67">
        <v>512</v>
      </c>
    </row>
    <row r="513" spans="1:7" x14ac:dyDescent="0.25">
      <c r="A513" s="62" t="s">
        <v>2281</v>
      </c>
      <c r="B513" s="62">
        <v>515</v>
      </c>
      <c r="C513" s="62">
        <v>1509</v>
      </c>
      <c r="D513" s="63" t="s">
        <v>596</v>
      </c>
      <c r="E513" s="64" t="s">
        <v>24</v>
      </c>
      <c r="F513" s="64">
        <v>518</v>
      </c>
      <c r="G513" s="67">
        <v>513</v>
      </c>
    </row>
    <row r="514" spans="1:7" x14ac:dyDescent="0.25">
      <c r="A514" s="62" t="s">
        <v>2282</v>
      </c>
      <c r="B514" s="62">
        <v>516</v>
      </c>
      <c r="C514" s="62">
        <v>1510</v>
      </c>
      <c r="D514" s="63" t="s">
        <v>598</v>
      </c>
      <c r="E514" s="64" t="s">
        <v>24</v>
      </c>
      <c r="F514" s="64">
        <v>519</v>
      </c>
      <c r="G514" s="67">
        <v>514</v>
      </c>
    </row>
    <row r="515" spans="1:7" x14ac:dyDescent="0.25">
      <c r="A515" s="62" t="s">
        <v>2283</v>
      </c>
      <c r="B515" s="62">
        <v>517</v>
      </c>
      <c r="C515" s="62">
        <v>1511</v>
      </c>
      <c r="D515" s="63" t="s">
        <v>599</v>
      </c>
      <c r="E515" s="64" t="s">
        <v>546</v>
      </c>
      <c r="F515" s="64">
        <v>520</v>
      </c>
      <c r="G515" s="67">
        <v>515</v>
      </c>
    </row>
    <row r="516" spans="1:7" x14ac:dyDescent="0.25">
      <c r="A516" s="62" t="s">
        <v>2284</v>
      </c>
      <c r="B516" s="62">
        <v>518</v>
      </c>
      <c r="C516" s="62">
        <v>1512</v>
      </c>
      <c r="D516" s="63" t="s">
        <v>600</v>
      </c>
      <c r="E516" s="64" t="s">
        <v>24</v>
      </c>
      <c r="F516" s="64">
        <v>521</v>
      </c>
      <c r="G516" s="67">
        <v>516</v>
      </c>
    </row>
    <row r="517" spans="1:7" x14ac:dyDescent="0.25">
      <c r="A517" s="62" t="s">
        <v>2285</v>
      </c>
      <c r="B517" s="62">
        <v>519</v>
      </c>
      <c r="C517" s="62">
        <v>1513</v>
      </c>
      <c r="D517" s="63" t="s">
        <v>601</v>
      </c>
      <c r="E517" s="64" t="s">
        <v>24</v>
      </c>
      <c r="F517" s="64">
        <v>522</v>
      </c>
      <c r="G517" s="67">
        <v>517</v>
      </c>
    </row>
    <row r="518" spans="1:7" x14ac:dyDescent="0.25">
      <c r="A518" s="62" t="s">
        <v>2286</v>
      </c>
      <c r="B518" s="62">
        <v>520</v>
      </c>
      <c r="C518" s="62">
        <v>1514</v>
      </c>
      <c r="D518" s="63" t="s">
        <v>602</v>
      </c>
      <c r="E518" s="64" t="s">
        <v>24</v>
      </c>
      <c r="F518" s="64">
        <v>523</v>
      </c>
      <c r="G518" s="67">
        <v>518</v>
      </c>
    </row>
    <row r="519" spans="1:7" x14ac:dyDescent="0.25">
      <c r="A519" s="62" t="s">
        <v>2287</v>
      </c>
      <c r="B519" s="62">
        <v>521</v>
      </c>
      <c r="C519" s="62">
        <v>1515</v>
      </c>
      <c r="D519" s="63" t="s">
        <v>603</v>
      </c>
      <c r="E519" s="64" t="s">
        <v>55</v>
      </c>
      <c r="F519" s="64">
        <v>524</v>
      </c>
      <c r="G519" s="67">
        <v>519</v>
      </c>
    </row>
    <row r="520" spans="1:7" x14ac:dyDescent="0.25">
      <c r="A520" s="62" t="s">
        <v>2288</v>
      </c>
      <c r="B520" s="62">
        <v>522</v>
      </c>
      <c r="C520" s="62">
        <v>1516</v>
      </c>
      <c r="D520" s="63" t="s">
        <v>604</v>
      </c>
      <c r="E520" s="64" t="s">
        <v>24</v>
      </c>
      <c r="F520" s="64">
        <v>525</v>
      </c>
      <c r="G520" s="67">
        <v>520</v>
      </c>
    </row>
    <row r="521" spans="1:7" x14ac:dyDescent="0.25">
      <c r="A521" s="62" t="s">
        <v>2289</v>
      </c>
      <c r="B521" s="62">
        <v>523</v>
      </c>
      <c r="C521" s="62">
        <v>1517</v>
      </c>
      <c r="D521" s="63" t="s">
        <v>605</v>
      </c>
      <c r="E521" s="64" t="s">
        <v>24</v>
      </c>
      <c r="F521" s="64">
        <v>526</v>
      </c>
      <c r="G521" s="67">
        <v>521</v>
      </c>
    </row>
    <row r="522" spans="1:7" x14ac:dyDescent="0.25">
      <c r="A522" s="62" t="s">
        <v>2290</v>
      </c>
      <c r="B522" s="62">
        <v>524</v>
      </c>
      <c r="C522" s="62">
        <v>1518</v>
      </c>
      <c r="D522" s="63" t="s">
        <v>606</v>
      </c>
      <c r="E522" s="64" t="s">
        <v>24</v>
      </c>
      <c r="F522" s="64">
        <v>527</v>
      </c>
      <c r="G522" s="67">
        <v>522</v>
      </c>
    </row>
    <row r="523" spans="1:7" x14ac:dyDescent="0.25">
      <c r="A523" s="62" t="s">
        <v>2291</v>
      </c>
      <c r="B523" s="62">
        <v>525</v>
      </c>
      <c r="C523" s="62">
        <v>1519</v>
      </c>
      <c r="D523" s="63" t="s">
        <v>607</v>
      </c>
      <c r="E523" s="64" t="s">
        <v>608</v>
      </c>
      <c r="F523" s="64">
        <v>528</v>
      </c>
      <c r="G523" s="67">
        <v>523</v>
      </c>
    </row>
    <row r="524" spans="1:7" x14ac:dyDescent="0.25">
      <c r="A524" s="62" t="s">
        <v>2292</v>
      </c>
      <c r="B524" s="62">
        <v>526</v>
      </c>
      <c r="C524" s="62">
        <v>1520</v>
      </c>
      <c r="D524" s="63" t="s">
        <v>609</v>
      </c>
      <c r="E524" s="64" t="s">
        <v>608</v>
      </c>
      <c r="F524" s="64">
        <v>529</v>
      </c>
      <c r="G524" s="67">
        <v>524</v>
      </c>
    </row>
    <row r="525" spans="1:7" x14ac:dyDescent="0.25">
      <c r="A525" s="62" t="s">
        <v>2293</v>
      </c>
      <c r="B525" s="62">
        <v>527</v>
      </c>
      <c r="C525" s="62">
        <v>1521</v>
      </c>
      <c r="D525" s="63" t="s">
        <v>610</v>
      </c>
      <c r="E525" s="64" t="s">
        <v>93</v>
      </c>
      <c r="F525" s="64">
        <v>530</v>
      </c>
      <c r="G525" s="67">
        <v>525</v>
      </c>
    </row>
    <row r="526" spans="1:7" x14ac:dyDescent="0.25">
      <c r="A526" s="62" t="s">
        <v>2294</v>
      </c>
      <c r="B526" s="62">
        <v>528</v>
      </c>
      <c r="C526" s="62">
        <v>1522</v>
      </c>
      <c r="D526" s="63" t="s">
        <v>611</v>
      </c>
      <c r="E526" s="64" t="s">
        <v>93</v>
      </c>
      <c r="F526" s="64">
        <v>531</v>
      </c>
      <c r="G526" s="67">
        <v>526</v>
      </c>
    </row>
    <row r="527" spans="1:7" x14ac:dyDescent="0.25">
      <c r="A527" s="62" t="s">
        <v>2295</v>
      </c>
      <c r="B527" s="62">
        <v>529</v>
      </c>
      <c r="C527" s="62">
        <v>1523</v>
      </c>
      <c r="D527" s="63" t="s">
        <v>612</v>
      </c>
      <c r="E527" s="64" t="s">
        <v>93</v>
      </c>
      <c r="F527" s="64">
        <v>532</v>
      </c>
      <c r="G527" s="67">
        <v>527</v>
      </c>
    </row>
    <row r="528" spans="1:7" x14ac:dyDescent="0.25">
      <c r="A528" s="62" t="s">
        <v>2296</v>
      </c>
      <c r="B528" s="62">
        <v>530</v>
      </c>
      <c r="C528" s="62">
        <v>1524</v>
      </c>
      <c r="D528" s="63" t="s">
        <v>613</v>
      </c>
      <c r="E528" s="64" t="s">
        <v>93</v>
      </c>
      <c r="F528" s="64">
        <v>533</v>
      </c>
      <c r="G528" s="67">
        <v>528</v>
      </c>
    </row>
    <row r="529" spans="1:7" x14ac:dyDescent="0.25">
      <c r="A529" s="62" t="s">
        <v>2297</v>
      </c>
      <c r="B529" s="62">
        <v>531</v>
      </c>
      <c r="C529" s="62">
        <v>1525</v>
      </c>
      <c r="D529" s="63" t="s">
        <v>614</v>
      </c>
      <c r="E529" s="64" t="s">
        <v>24</v>
      </c>
      <c r="F529" s="64">
        <v>534</v>
      </c>
      <c r="G529" s="67">
        <v>529</v>
      </c>
    </row>
    <row r="530" spans="1:7" x14ac:dyDescent="0.25">
      <c r="A530" s="62" t="s">
        <v>2298</v>
      </c>
      <c r="B530" s="62">
        <v>532</v>
      </c>
      <c r="C530" s="62">
        <v>1526</v>
      </c>
      <c r="D530" s="63" t="s">
        <v>615</v>
      </c>
      <c r="E530" s="64" t="s">
        <v>24</v>
      </c>
      <c r="F530" s="64">
        <v>535</v>
      </c>
      <c r="G530" s="67">
        <v>530</v>
      </c>
    </row>
    <row r="531" spans="1:7" x14ac:dyDescent="0.25">
      <c r="A531" s="62" t="s">
        <v>2299</v>
      </c>
      <c r="B531" s="62">
        <v>533</v>
      </c>
      <c r="C531" s="62">
        <v>1527</v>
      </c>
      <c r="D531" s="63" t="s">
        <v>616</v>
      </c>
      <c r="E531" s="64" t="s">
        <v>24</v>
      </c>
      <c r="F531" s="64">
        <v>536</v>
      </c>
      <c r="G531" s="67">
        <v>531</v>
      </c>
    </row>
    <row r="532" spans="1:7" x14ac:dyDescent="0.25">
      <c r="A532" s="62" t="s">
        <v>2300</v>
      </c>
      <c r="B532" s="62">
        <v>534</v>
      </c>
      <c r="C532" s="62">
        <v>1528</v>
      </c>
      <c r="D532" s="63" t="s">
        <v>617</v>
      </c>
      <c r="E532" s="64" t="s">
        <v>24</v>
      </c>
      <c r="F532" s="64">
        <v>537</v>
      </c>
      <c r="G532" s="67">
        <v>532</v>
      </c>
    </row>
    <row r="533" spans="1:7" x14ac:dyDescent="0.25">
      <c r="A533" s="62" t="s">
        <v>2301</v>
      </c>
      <c r="B533" s="62">
        <v>535</v>
      </c>
      <c r="C533" s="62">
        <v>1529</v>
      </c>
      <c r="D533" s="63" t="s">
        <v>618</v>
      </c>
      <c r="E533" s="64" t="s">
        <v>24</v>
      </c>
      <c r="F533" s="64">
        <v>538</v>
      </c>
      <c r="G533" s="67">
        <v>533</v>
      </c>
    </row>
    <row r="534" spans="1:7" x14ac:dyDescent="0.25">
      <c r="A534" s="62" t="s">
        <v>2302</v>
      </c>
      <c r="B534" s="62">
        <v>536</v>
      </c>
      <c r="C534" s="62">
        <v>1530</v>
      </c>
      <c r="D534" s="63" t="s">
        <v>619</v>
      </c>
      <c r="E534" s="64" t="s">
        <v>24</v>
      </c>
      <c r="F534" s="64">
        <v>539</v>
      </c>
      <c r="G534" s="67">
        <v>534</v>
      </c>
    </row>
    <row r="535" spans="1:7" x14ac:dyDescent="0.25">
      <c r="A535" s="62" t="s">
        <v>2303</v>
      </c>
      <c r="B535" s="62">
        <v>537</v>
      </c>
      <c r="C535" s="62">
        <v>1531</v>
      </c>
      <c r="D535" s="63" t="s">
        <v>620</v>
      </c>
      <c r="E535" s="64" t="s">
        <v>24</v>
      </c>
      <c r="F535" s="64">
        <v>540</v>
      </c>
      <c r="G535" s="67">
        <v>535</v>
      </c>
    </row>
    <row r="536" spans="1:7" x14ac:dyDescent="0.25">
      <c r="A536" s="62" t="s">
        <v>2304</v>
      </c>
      <c r="B536" s="62">
        <v>538</v>
      </c>
      <c r="C536" s="62">
        <v>1532</v>
      </c>
      <c r="D536" s="63" t="s">
        <v>621</v>
      </c>
      <c r="E536" s="64" t="s">
        <v>24</v>
      </c>
      <c r="F536" s="64">
        <v>541</v>
      </c>
      <c r="G536" s="67">
        <v>536</v>
      </c>
    </row>
    <row r="537" spans="1:7" x14ac:dyDescent="0.25">
      <c r="A537" s="62" t="s">
        <v>2305</v>
      </c>
      <c r="B537" s="62">
        <v>539</v>
      </c>
      <c r="C537" s="62">
        <v>1533</v>
      </c>
      <c r="D537" s="63" t="s">
        <v>622</v>
      </c>
      <c r="E537" s="64" t="s">
        <v>24</v>
      </c>
      <c r="F537" s="64">
        <v>542</v>
      </c>
      <c r="G537" s="67">
        <v>537</v>
      </c>
    </row>
    <row r="538" spans="1:7" x14ac:dyDescent="0.25">
      <c r="A538" s="62" t="s">
        <v>2306</v>
      </c>
      <c r="B538" s="62">
        <v>540</v>
      </c>
      <c r="C538" s="62">
        <v>1534</v>
      </c>
      <c r="D538" s="63" t="s">
        <v>623</v>
      </c>
      <c r="E538" s="64" t="s">
        <v>24</v>
      </c>
      <c r="F538" s="64">
        <v>543</v>
      </c>
      <c r="G538" s="67">
        <v>538</v>
      </c>
    </row>
    <row r="539" spans="1:7" x14ac:dyDescent="0.25">
      <c r="A539" s="62" t="s">
        <v>2307</v>
      </c>
      <c r="B539" s="62">
        <v>541</v>
      </c>
      <c r="C539" s="62">
        <v>1535</v>
      </c>
      <c r="D539" s="63" t="s">
        <v>624</v>
      </c>
      <c r="E539" s="64" t="s">
        <v>93</v>
      </c>
      <c r="F539" s="64">
        <v>544</v>
      </c>
      <c r="G539" s="67">
        <v>539</v>
      </c>
    </row>
    <row r="540" spans="1:7" x14ac:dyDescent="0.25">
      <c r="A540" s="62" t="s">
        <v>2308</v>
      </c>
      <c r="B540" s="62">
        <v>542</v>
      </c>
      <c r="C540" s="62">
        <v>1536</v>
      </c>
      <c r="D540" s="63" t="s">
        <v>625</v>
      </c>
      <c r="E540" s="64" t="s">
        <v>93</v>
      </c>
      <c r="F540" s="64">
        <v>545</v>
      </c>
      <c r="G540" s="67">
        <v>540</v>
      </c>
    </row>
    <row r="541" spans="1:7" x14ac:dyDescent="0.25">
      <c r="A541" s="62" t="s">
        <v>2309</v>
      </c>
      <c r="B541" s="62">
        <v>543</v>
      </c>
      <c r="C541" s="62">
        <v>1537</v>
      </c>
      <c r="D541" s="63" t="s">
        <v>626</v>
      </c>
      <c r="E541" s="64" t="s">
        <v>93</v>
      </c>
      <c r="F541" s="64">
        <v>546</v>
      </c>
      <c r="G541" s="67">
        <v>541</v>
      </c>
    </row>
    <row r="542" spans="1:7" x14ac:dyDescent="0.25">
      <c r="A542" s="62" t="s">
        <v>2310</v>
      </c>
      <c r="B542" s="62">
        <v>544</v>
      </c>
      <c r="C542" s="62">
        <v>1538</v>
      </c>
      <c r="D542" s="63" t="s">
        <v>627</v>
      </c>
      <c r="E542" s="64" t="s">
        <v>93</v>
      </c>
      <c r="F542" s="64">
        <v>547</v>
      </c>
      <c r="G542" s="67">
        <v>542</v>
      </c>
    </row>
    <row r="543" spans="1:7" x14ac:dyDescent="0.25">
      <c r="A543" s="62" t="s">
        <v>2311</v>
      </c>
      <c r="B543" s="62">
        <v>545</v>
      </c>
      <c r="C543" s="62">
        <v>1539</v>
      </c>
      <c r="D543" s="63" t="s">
        <v>628</v>
      </c>
      <c r="E543" s="64" t="s">
        <v>93</v>
      </c>
      <c r="F543" s="64">
        <v>548</v>
      </c>
      <c r="G543" s="67">
        <v>543</v>
      </c>
    </row>
    <row r="544" spans="1:7" x14ac:dyDescent="0.25">
      <c r="A544" s="62" t="s">
        <v>2312</v>
      </c>
      <c r="B544" s="62">
        <v>546</v>
      </c>
      <c r="C544" s="62">
        <v>1540</v>
      </c>
      <c r="D544" s="63" t="s">
        <v>629</v>
      </c>
      <c r="E544" s="64" t="s">
        <v>93</v>
      </c>
      <c r="F544" s="64">
        <v>549</v>
      </c>
      <c r="G544" s="67">
        <v>544</v>
      </c>
    </row>
    <row r="545" spans="1:7" x14ac:dyDescent="0.25">
      <c r="A545" s="62" t="s">
        <v>2313</v>
      </c>
      <c r="B545" s="62">
        <v>547</v>
      </c>
      <c r="C545" s="62">
        <v>1541</v>
      </c>
      <c r="D545" s="63" t="s">
        <v>630</v>
      </c>
      <c r="E545" s="64" t="s">
        <v>93</v>
      </c>
      <c r="F545" s="64">
        <v>550</v>
      </c>
      <c r="G545" s="67">
        <v>545</v>
      </c>
    </row>
    <row r="546" spans="1:7" x14ac:dyDescent="0.25">
      <c r="A546" s="62" t="s">
        <v>2314</v>
      </c>
      <c r="B546" s="62">
        <v>548</v>
      </c>
      <c r="C546" s="62">
        <v>1542</v>
      </c>
      <c r="D546" s="63" t="s">
        <v>631</v>
      </c>
      <c r="E546" s="64" t="s">
        <v>93</v>
      </c>
      <c r="F546" s="64">
        <v>551</v>
      </c>
      <c r="G546" s="67">
        <v>546</v>
      </c>
    </row>
    <row r="547" spans="1:7" x14ac:dyDescent="0.25">
      <c r="A547" s="62" t="s">
        <v>2315</v>
      </c>
      <c r="B547" s="62">
        <v>549</v>
      </c>
      <c r="C547" s="62">
        <v>1543</v>
      </c>
      <c r="D547" s="63" t="s">
        <v>632</v>
      </c>
      <c r="E547" s="64" t="s">
        <v>93</v>
      </c>
      <c r="F547" s="64">
        <v>549</v>
      </c>
      <c r="G547" s="67">
        <v>547</v>
      </c>
    </row>
    <row r="548" spans="1:7" x14ac:dyDescent="0.25">
      <c r="A548" s="62" t="s">
        <v>2316</v>
      </c>
      <c r="B548" s="62">
        <v>550</v>
      </c>
      <c r="C548" s="62">
        <v>1544</v>
      </c>
      <c r="D548" s="63" t="s">
        <v>633</v>
      </c>
      <c r="E548" s="64" t="s">
        <v>93</v>
      </c>
      <c r="F548" s="64">
        <v>553</v>
      </c>
      <c r="G548" s="67">
        <v>548</v>
      </c>
    </row>
    <row r="549" spans="1:7" x14ac:dyDescent="0.25">
      <c r="A549" s="62" t="s">
        <v>2317</v>
      </c>
      <c r="B549" s="62">
        <v>551</v>
      </c>
      <c r="C549" s="62">
        <v>1545</v>
      </c>
      <c r="D549" s="63" t="s">
        <v>634</v>
      </c>
      <c r="E549" s="64" t="s">
        <v>93</v>
      </c>
      <c r="F549" s="64">
        <v>554</v>
      </c>
      <c r="G549" s="67">
        <v>549</v>
      </c>
    </row>
    <row r="550" spans="1:7" x14ac:dyDescent="0.25">
      <c r="A550" s="62" t="s">
        <v>2318</v>
      </c>
      <c r="B550" s="62">
        <v>552</v>
      </c>
      <c r="C550" s="62">
        <v>1546</v>
      </c>
      <c r="D550" s="63" t="s">
        <v>635</v>
      </c>
      <c r="E550" s="64" t="s">
        <v>93</v>
      </c>
      <c r="F550" s="64">
        <v>555</v>
      </c>
      <c r="G550" s="67">
        <v>550</v>
      </c>
    </row>
    <row r="551" spans="1:7" x14ac:dyDescent="0.25">
      <c r="A551" s="62" t="s">
        <v>2319</v>
      </c>
      <c r="B551" s="62">
        <v>553</v>
      </c>
      <c r="C551" s="62">
        <v>1547</v>
      </c>
      <c r="D551" s="63" t="s">
        <v>636</v>
      </c>
      <c r="E551" s="64" t="s">
        <v>93</v>
      </c>
      <c r="F551" s="64">
        <v>556</v>
      </c>
      <c r="G551" s="67">
        <v>551</v>
      </c>
    </row>
    <row r="552" spans="1:7" x14ac:dyDescent="0.25">
      <c r="A552" s="62" t="s">
        <v>2320</v>
      </c>
      <c r="B552" s="62">
        <v>554</v>
      </c>
      <c r="C552" s="62">
        <v>1548</v>
      </c>
      <c r="D552" s="63" t="s">
        <v>637</v>
      </c>
      <c r="E552" s="64" t="s">
        <v>93</v>
      </c>
      <c r="F552" s="64">
        <v>557</v>
      </c>
      <c r="G552" s="67">
        <v>552</v>
      </c>
    </row>
    <row r="553" spans="1:7" x14ac:dyDescent="0.25">
      <c r="A553" s="62" t="s">
        <v>2321</v>
      </c>
      <c r="B553" s="62">
        <v>555</v>
      </c>
      <c r="C553" s="62">
        <v>1549</v>
      </c>
      <c r="D553" s="63" t="s">
        <v>638</v>
      </c>
      <c r="E553" s="64" t="s">
        <v>93</v>
      </c>
      <c r="F553" s="64">
        <v>558</v>
      </c>
      <c r="G553" s="67">
        <v>553</v>
      </c>
    </row>
    <row r="554" spans="1:7" x14ac:dyDescent="0.25">
      <c r="A554" s="62" t="s">
        <v>2322</v>
      </c>
      <c r="B554" s="62">
        <v>556</v>
      </c>
      <c r="C554" s="62">
        <v>1550</v>
      </c>
      <c r="D554" s="63" t="s">
        <v>639</v>
      </c>
      <c r="E554" s="64" t="s">
        <v>93</v>
      </c>
      <c r="F554" s="64">
        <v>559</v>
      </c>
      <c r="G554" s="67">
        <v>554</v>
      </c>
    </row>
    <row r="555" spans="1:7" x14ac:dyDescent="0.25">
      <c r="A555" s="62" t="s">
        <v>2323</v>
      </c>
      <c r="B555" s="62">
        <v>557</v>
      </c>
      <c r="C555" s="62">
        <v>1551</v>
      </c>
      <c r="D555" s="63" t="s">
        <v>640</v>
      </c>
      <c r="E555" s="64" t="s">
        <v>24</v>
      </c>
      <c r="F555" s="64">
        <v>560</v>
      </c>
      <c r="G555" s="67">
        <v>555</v>
      </c>
    </row>
    <row r="556" spans="1:7" x14ac:dyDescent="0.25">
      <c r="A556" s="62" t="s">
        <v>2324</v>
      </c>
      <c r="B556" s="62">
        <v>558</v>
      </c>
      <c r="C556" s="62">
        <v>1552</v>
      </c>
      <c r="D556" s="63" t="s">
        <v>641</v>
      </c>
      <c r="E556" s="64" t="s">
        <v>93</v>
      </c>
      <c r="F556" s="64">
        <v>561</v>
      </c>
      <c r="G556" s="67">
        <v>556</v>
      </c>
    </row>
    <row r="557" spans="1:7" x14ac:dyDescent="0.25">
      <c r="A557" s="62" t="s">
        <v>2325</v>
      </c>
      <c r="B557" s="62">
        <v>559</v>
      </c>
      <c r="C557" s="62">
        <v>1553</v>
      </c>
      <c r="D557" s="63" t="s">
        <v>642</v>
      </c>
      <c r="E557" s="64" t="s">
        <v>93</v>
      </c>
      <c r="F557" s="64">
        <v>562</v>
      </c>
      <c r="G557" s="67">
        <v>557</v>
      </c>
    </row>
    <row r="558" spans="1:7" x14ac:dyDescent="0.25">
      <c r="A558" s="62" t="s">
        <v>2326</v>
      </c>
      <c r="B558" s="62">
        <v>560</v>
      </c>
      <c r="C558" s="62">
        <v>1554</v>
      </c>
      <c r="D558" s="63" t="s">
        <v>643</v>
      </c>
      <c r="E558" s="64" t="s">
        <v>24</v>
      </c>
      <c r="F558" s="64">
        <v>563</v>
      </c>
      <c r="G558" s="67">
        <v>558</v>
      </c>
    </row>
    <row r="559" spans="1:7" x14ac:dyDescent="0.25">
      <c r="A559" s="62" t="s">
        <v>2327</v>
      </c>
      <c r="B559" s="62">
        <v>561</v>
      </c>
      <c r="C559" s="62">
        <v>1555</v>
      </c>
      <c r="D559" s="63" t="s">
        <v>644</v>
      </c>
      <c r="E559" s="64" t="s">
        <v>24</v>
      </c>
      <c r="F559" s="64">
        <v>564</v>
      </c>
      <c r="G559" s="67">
        <v>559</v>
      </c>
    </row>
    <row r="560" spans="1:7" x14ac:dyDescent="0.25">
      <c r="A560" s="62" t="s">
        <v>2328</v>
      </c>
      <c r="B560" s="62">
        <v>562</v>
      </c>
      <c r="C560" s="62">
        <v>1556</v>
      </c>
      <c r="D560" s="63" t="s">
        <v>645</v>
      </c>
      <c r="E560" s="64" t="s">
        <v>24</v>
      </c>
      <c r="F560" s="64">
        <v>565</v>
      </c>
      <c r="G560" s="67">
        <v>560</v>
      </c>
    </row>
    <row r="561" spans="1:7" x14ac:dyDescent="0.25">
      <c r="A561" s="62" t="s">
        <v>2329</v>
      </c>
      <c r="B561" s="62">
        <v>563</v>
      </c>
      <c r="C561" s="62">
        <v>1557</v>
      </c>
      <c r="D561" s="63" t="s">
        <v>646</v>
      </c>
      <c r="E561" s="64" t="s">
        <v>24</v>
      </c>
      <c r="F561" s="64">
        <v>566</v>
      </c>
      <c r="G561" s="67">
        <v>561</v>
      </c>
    </row>
    <row r="562" spans="1:7" x14ac:dyDescent="0.25">
      <c r="A562" s="62" t="s">
        <v>2330</v>
      </c>
      <c r="B562" s="62">
        <v>564</v>
      </c>
      <c r="C562" s="62">
        <v>1558</v>
      </c>
      <c r="D562" s="63" t="s">
        <v>647</v>
      </c>
      <c r="E562" s="64" t="s">
        <v>24</v>
      </c>
      <c r="F562" s="64">
        <v>567</v>
      </c>
      <c r="G562" s="67">
        <v>562</v>
      </c>
    </row>
    <row r="563" spans="1:7" x14ac:dyDescent="0.25">
      <c r="A563" s="62" t="s">
        <v>2331</v>
      </c>
      <c r="B563" s="62">
        <v>565</v>
      </c>
      <c r="C563" s="62">
        <v>1559</v>
      </c>
      <c r="D563" s="63" t="s">
        <v>648</v>
      </c>
      <c r="E563" s="64" t="s">
        <v>24</v>
      </c>
      <c r="F563" s="64">
        <v>568</v>
      </c>
      <c r="G563" s="67">
        <v>563</v>
      </c>
    </row>
    <row r="564" spans="1:7" x14ac:dyDescent="0.25">
      <c r="A564" s="62" t="s">
        <v>2332</v>
      </c>
      <c r="B564" s="62">
        <v>566</v>
      </c>
      <c r="C564" s="62">
        <v>1560</v>
      </c>
      <c r="D564" s="63" t="s">
        <v>649</v>
      </c>
      <c r="E564" s="64" t="s">
        <v>24</v>
      </c>
      <c r="F564" s="64">
        <v>569</v>
      </c>
      <c r="G564" s="67">
        <v>564</v>
      </c>
    </row>
    <row r="565" spans="1:7" x14ac:dyDescent="0.25">
      <c r="A565" s="62" t="s">
        <v>2333</v>
      </c>
      <c r="B565" s="62">
        <v>567</v>
      </c>
      <c r="C565" s="62">
        <v>1561</v>
      </c>
      <c r="D565" s="63" t="s">
        <v>650</v>
      </c>
      <c r="E565" s="64" t="s">
        <v>24</v>
      </c>
      <c r="F565" s="64">
        <v>570</v>
      </c>
      <c r="G565" s="67">
        <v>565</v>
      </c>
    </row>
    <row r="566" spans="1:7" x14ac:dyDescent="0.25">
      <c r="A566" s="62" t="s">
        <v>2334</v>
      </c>
      <c r="B566" s="62">
        <v>568</v>
      </c>
      <c r="C566" s="62">
        <v>1562</v>
      </c>
      <c r="D566" s="63" t="s">
        <v>651</v>
      </c>
      <c r="E566" s="64" t="s">
        <v>24</v>
      </c>
      <c r="F566" s="64">
        <v>571</v>
      </c>
      <c r="G566" s="67">
        <v>566</v>
      </c>
    </row>
    <row r="567" spans="1:7" x14ac:dyDescent="0.25">
      <c r="A567" s="62" t="s">
        <v>2335</v>
      </c>
      <c r="B567" s="62">
        <v>569</v>
      </c>
      <c r="C567" s="62">
        <v>1563</v>
      </c>
      <c r="D567" s="63" t="s">
        <v>652</v>
      </c>
      <c r="E567" s="64" t="s">
        <v>24</v>
      </c>
      <c r="F567" s="64">
        <v>572</v>
      </c>
      <c r="G567" s="67">
        <v>567</v>
      </c>
    </row>
    <row r="568" spans="1:7" x14ac:dyDescent="0.25">
      <c r="A568" s="62" t="s">
        <v>2336</v>
      </c>
      <c r="B568" s="62">
        <v>570</v>
      </c>
      <c r="C568" s="62">
        <v>1564</v>
      </c>
      <c r="D568" s="63" t="s">
        <v>653</v>
      </c>
      <c r="E568" s="64" t="s">
        <v>24</v>
      </c>
      <c r="F568" s="64">
        <v>575</v>
      </c>
      <c r="G568" s="67">
        <v>568</v>
      </c>
    </row>
    <row r="569" spans="1:7" x14ac:dyDescent="0.25">
      <c r="A569" s="62" t="s">
        <v>2337</v>
      </c>
      <c r="B569" s="62">
        <v>571</v>
      </c>
      <c r="C569" s="62">
        <v>1565</v>
      </c>
      <c r="D569" s="63" t="s">
        <v>654</v>
      </c>
      <c r="E569" s="64" t="s">
        <v>24</v>
      </c>
      <c r="F569" s="64">
        <v>574</v>
      </c>
      <c r="G569" s="67">
        <v>569</v>
      </c>
    </row>
    <row r="570" spans="1:7" x14ac:dyDescent="0.25">
      <c r="A570" s="62" t="s">
        <v>2338</v>
      </c>
      <c r="B570" s="62">
        <v>572</v>
      </c>
      <c r="C570" s="62">
        <v>1566</v>
      </c>
      <c r="D570" s="63" t="s">
        <v>655</v>
      </c>
      <c r="E570" s="64" t="s">
        <v>24</v>
      </c>
      <c r="F570" s="64">
        <v>575</v>
      </c>
      <c r="G570" s="67">
        <v>570</v>
      </c>
    </row>
    <row r="571" spans="1:7" x14ac:dyDescent="0.25">
      <c r="A571" s="62" t="s">
        <v>2339</v>
      </c>
      <c r="B571" s="62">
        <v>573</v>
      </c>
      <c r="C571" s="62">
        <v>1567</v>
      </c>
      <c r="D571" s="63" t="s">
        <v>656</v>
      </c>
      <c r="E571" s="64" t="s">
        <v>24</v>
      </c>
      <c r="F571" s="64">
        <v>576</v>
      </c>
      <c r="G571" s="67">
        <v>571</v>
      </c>
    </row>
    <row r="572" spans="1:7" x14ac:dyDescent="0.25">
      <c r="A572" s="62" t="s">
        <v>2340</v>
      </c>
      <c r="B572" s="62">
        <v>574</v>
      </c>
      <c r="C572" s="62">
        <v>1568</v>
      </c>
      <c r="D572" s="63" t="s">
        <v>657</v>
      </c>
      <c r="E572" s="64" t="s">
        <v>24</v>
      </c>
      <c r="F572" s="64">
        <v>577</v>
      </c>
      <c r="G572" s="67">
        <v>572</v>
      </c>
    </row>
    <row r="573" spans="1:7" x14ac:dyDescent="0.25">
      <c r="A573" s="62" t="s">
        <v>2341</v>
      </c>
      <c r="B573" s="62">
        <v>575</v>
      </c>
      <c r="C573" s="62">
        <v>1569</v>
      </c>
      <c r="D573" s="63" t="s">
        <v>658</v>
      </c>
      <c r="E573" s="64" t="s">
        <v>24</v>
      </c>
      <c r="F573" s="64">
        <v>568</v>
      </c>
      <c r="G573" s="67">
        <v>573</v>
      </c>
    </row>
    <row r="574" spans="1:7" x14ac:dyDescent="0.25">
      <c r="A574" s="62" t="s">
        <v>2342</v>
      </c>
      <c r="B574" s="62">
        <v>576</v>
      </c>
      <c r="C574" s="62">
        <v>1570</v>
      </c>
      <c r="D574" s="63" t="s">
        <v>659</v>
      </c>
      <c r="E574" s="64" t="s">
        <v>24</v>
      </c>
      <c r="F574" s="64">
        <v>579</v>
      </c>
      <c r="G574" s="67">
        <v>574</v>
      </c>
    </row>
    <row r="575" spans="1:7" x14ac:dyDescent="0.25">
      <c r="A575" s="62" t="s">
        <v>2343</v>
      </c>
      <c r="B575" s="62">
        <v>577</v>
      </c>
      <c r="C575" s="62">
        <v>1571</v>
      </c>
      <c r="D575" s="63" t="s">
        <v>660</v>
      </c>
      <c r="E575" s="64" t="s">
        <v>55</v>
      </c>
      <c r="F575" s="64">
        <v>580</v>
      </c>
      <c r="G575" s="67">
        <v>575</v>
      </c>
    </row>
    <row r="576" spans="1:7" x14ac:dyDescent="0.25">
      <c r="A576" s="62" t="s">
        <v>2344</v>
      </c>
      <c r="B576" s="62">
        <v>578</v>
      </c>
      <c r="C576" s="62">
        <v>1572</v>
      </c>
      <c r="D576" s="63" t="s">
        <v>661</v>
      </c>
      <c r="E576" s="64" t="s">
        <v>24</v>
      </c>
      <c r="F576" s="64">
        <v>581</v>
      </c>
      <c r="G576" s="67">
        <v>576</v>
      </c>
    </row>
    <row r="577" spans="1:7" x14ac:dyDescent="0.25">
      <c r="A577" s="62" t="s">
        <v>2345</v>
      </c>
      <c r="B577" s="62">
        <v>579</v>
      </c>
      <c r="C577" s="62">
        <v>1573</v>
      </c>
      <c r="D577" s="63" t="s">
        <v>662</v>
      </c>
      <c r="E577" s="64" t="s">
        <v>24</v>
      </c>
      <c r="F577" s="64">
        <v>582</v>
      </c>
      <c r="G577" s="67">
        <v>577</v>
      </c>
    </row>
    <row r="578" spans="1:7" x14ac:dyDescent="0.25">
      <c r="A578" s="62" t="s">
        <v>2346</v>
      </c>
      <c r="B578" s="62">
        <v>580</v>
      </c>
      <c r="C578" s="62">
        <v>1574</v>
      </c>
      <c r="D578" s="63" t="s">
        <v>663</v>
      </c>
      <c r="E578" s="64" t="s">
        <v>24</v>
      </c>
      <c r="F578" s="64">
        <v>579</v>
      </c>
      <c r="G578" s="67">
        <v>578</v>
      </c>
    </row>
    <row r="579" spans="1:7" x14ac:dyDescent="0.25">
      <c r="A579" s="62" t="s">
        <v>2347</v>
      </c>
      <c r="B579" s="62">
        <v>581</v>
      </c>
      <c r="C579" s="62">
        <v>1575</v>
      </c>
      <c r="D579" s="63" t="s">
        <v>664</v>
      </c>
      <c r="E579" s="64" t="s">
        <v>24</v>
      </c>
      <c r="F579" s="64">
        <v>584</v>
      </c>
      <c r="G579" s="67">
        <v>579</v>
      </c>
    </row>
    <row r="580" spans="1:7" x14ac:dyDescent="0.25">
      <c r="A580" s="62" t="s">
        <v>2348</v>
      </c>
      <c r="B580" s="62">
        <v>582</v>
      </c>
      <c r="C580" s="62">
        <v>1576</v>
      </c>
      <c r="D580" s="63" t="s">
        <v>665</v>
      </c>
      <c r="E580" s="64" t="s">
        <v>24</v>
      </c>
      <c r="F580" s="64">
        <v>585</v>
      </c>
      <c r="G580" s="67">
        <v>580</v>
      </c>
    </row>
    <row r="581" spans="1:7" x14ac:dyDescent="0.25">
      <c r="A581" s="62" t="s">
        <v>2349</v>
      </c>
      <c r="B581" s="62">
        <v>583</v>
      </c>
      <c r="C581" s="62">
        <v>1577</v>
      </c>
      <c r="D581" s="63" t="s">
        <v>666</v>
      </c>
      <c r="E581" s="64" t="s">
        <v>55</v>
      </c>
      <c r="F581" s="64">
        <v>586</v>
      </c>
      <c r="G581" s="67">
        <v>581</v>
      </c>
    </row>
    <row r="582" spans="1:7" x14ac:dyDescent="0.25">
      <c r="A582" s="62" t="s">
        <v>2350</v>
      </c>
      <c r="B582" s="62">
        <v>584</v>
      </c>
      <c r="C582" s="62">
        <v>1578</v>
      </c>
      <c r="D582" s="63" t="s">
        <v>667</v>
      </c>
      <c r="E582" s="64" t="s">
        <v>55</v>
      </c>
      <c r="F582" s="64">
        <v>587</v>
      </c>
      <c r="G582" s="67">
        <v>582</v>
      </c>
    </row>
    <row r="583" spans="1:7" x14ac:dyDescent="0.25">
      <c r="A583" s="62" t="s">
        <v>2351</v>
      </c>
      <c r="B583" s="62">
        <v>585</v>
      </c>
      <c r="C583" s="62">
        <v>1579</v>
      </c>
      <c r="D583" s="63" t="s">
        <v>668</v>
      </c>
      <c r="E583" s="64" t="s">
        <v>55</v>
      </c>
      <c r="F583" s="64">
        <v>588</v>
      </c>
      <c r="G583" s="67">
        <v>583</v>
      </c>
    </row>
    <row r="584" spans="1:7" x14ac:dyDescent="0.25">
      <c r="A584" s="62" t="s">
        <v>2352</v>
      </c>
      <c r="B584" s="62">
        <v>586</v>
      </c>
      <c r="C584" s="62">
        <v>1580</v>
      </c>
      <c r="D584" s="63" t="s">
        <v>669</v>
      </c>
      <c r="E584" s="64" t="s">
        <v>55</v>
      </c>
      <c r="F584" s="64">
        <v>589</v>
      </c>
      <c r="G584" s="67">
        <v>584</v>
      </c>
    </row>
    <row r="585" spans="1:7" x14ac:dyDescent="0.25">
      <c r="A585" s="62" t="s">
        <v>2353</v>
      </c>
      <c r="B585" s="62">
        <v>587</v>
      </c>
      <c r="C585" s="62">
        <v>1581</v>
      </c>
      <c r="D585" s="63" t="s">
        <v>670</v>
      </c>
      <c r="E585" s="64" t="s">
        <v>55</v>
      </c>
      <c r="F585" s="64">
        <v>590</v>
      </c>
      <c r="G585" s="67">
        <v>585</v>
      </c>
    </row>
    <row r="586" spans="1:7" x14ac:dyDescent="0.25">
      <c r="A586" s="62" t="s">
        <v>2354</v>
      </c>
      <c r="B586" s="62">
        <v>588</v>
      </c>
      <c r="C586" s="62">
        <v>1582</v>
      </c>
      <c r="D586" s="63" t="s">
        <v>671</v>
      </c>
      <c r="E586" s="64" t="s">
        <v>55</v>
      </c>
      <c r="F586" s="64">
        <v>591</v>
      </c>
      <c r="G586" s="67">
        <v>586</v>
      </c>
    </row>
    <row r="587" spans="1:7" x14ac:dyDescent="0.25">
      <c r="A587" s="62" t="s">
        <v>2355</v>
      </c>
      <c r="B587" s="62">
        <v>589</v>
      </c>
      <c r="C587" s="62">
        <v>1583</v>
      </c>
      <c r="D587" s="63" t="s">
        <v>672</v>
      </c>
      <c r="E587" s="64" t="s">
        <v>55</v>
      </c>
      <c r="F587" s="64">
        <v>592</v>
      </c>
      <c r="G587" s="67">
        <v>587</v>
      </c>
    </row>
    <row r="588" spans="1:7" x14ac:dyDescent="0.25">
      <c r="A588" s="62" t="s">
        <v>2356</v>
      </c>
      <c r="B588" s="62">
        <v>590</v>
      </c>
      <c r="C588" s="62">
        <v>1584</v>
      </c>
      <c r="D588" s="63" t="s">
        <v>673</v>
      </c>
      <c r="E588" s="64" t="s">
        <v>55</v>
      </c>
      <c r="F588" s="64">
        <v>593</v>
      </c>
      <c r="G588" s="67">
        <v>588</v>
      </c>
    </row>
    <row r="589" spans="1:7" x14ac:dyDescent="0.25">
      <c r="A589" s="62" t="s">
        <v>2357</v>
      </c>
      <c r="B589" s="62">
        <v>591</v>
      </c>
      <c r="C589" s="62">
        <v>1585</v>
      </c>
      <c r="D589" s="63" t="s">
        <v>674</v>
      </c>
      <c r="E589" s="64" t="s">
        <v>55</v>
      </c>
      <c r="F589" s="64">
        <v>594</v>
      </c>
      <c r="G589" s="67">
        <v>589</v>
      </c>
    </row>
    <row r="590" spans="1:7" x14ac:dyDescent="0.25">
      <c r="A590" s="62" t="s">
        <v>2358</v>
      </c>
      <c r="B590" s="62">
        <v>592</v>
      </c>
      <c r="C590" s="62">
        <v>1586</v>
      </c>
      <c r="D590" s="63" t="s">
        <v>675</v>
      </c>
      <c r="E590" s="64" t="s">
        <v>55</v>
      </c>
      <c r="F590" s="64">
        <v>595</v>
      </c>
      <c r="G590" s="67">
        <v>590</v>
      </c>
    </row>
    <row r="591" spans="1:7" x14ac:dyDescent="0.25">
      <c r="A591" s="62" t="s">
        <v>2359</v>
      </c>
      <c r="B591" s="62">
        <v>593</v>
      </c>
      <c r="C591" s="62">
        <v>1587</v>
      </c>
      <c r="D591" s="63" t="s">
        <v>676</v>
      </c>
      <c r="E591" s="64" t="s">
        <v>55</v>
      </c>
      <c r="F591" s="64">
        <v>596</v>
      </c>
      <c r="G591" s="67">
        <v>591</v>
      </c>
    </row>
    <row r="592" spans="1:7" x14ac:dyDescent="0.25">
      <c r="A592" s="62" t="s">
        <v>2360</v>
      </c>
      <c r="B592" s="62">
        <v>594</v>
      </c>
      <c r="C592" s="62">
        <v>1588</v>
      </c>
      <c r="D592" s="63" t="s">
        <v>677</v>
      </c>
      <c r="E592" s="64" t="s">
        <v>55</v>
      </c>
      <c r="F592" s="64">
        <v>597</v>
      </c>
      <c r="G592" s="67">
        <v>592</v>
      </c>
    </row>
    <row r="593" spans="1:7" x14ac:dyDescent="0.25">
      <c r="A593" s="62" t="s">
        <v>2361</v>
      </c>
      <c r="B593" s="62">
        <v>595</v>
      </c>
      <c r="C593" s="62">
        <v>1589</v>
      </c>
      <c r="D593" s="63" t="s">
        <v>678</v>
      </c>
      <c r="E593" s="64" t="s">
        <v>55</v>
      </c>
      <c r="F593" s="64">
        <v>598</v>
      </c>
      <c r="G593" s="67">
        <v>593</v>
      </c>
    </row>
    <row r="594" spans="1:7" x14ac:dyDescent="0.25">
      <c r="A594" s="62" t="s">
        <v>2362</v>
      </c>
      <c r="B594" s="62">
        <v>596</v>
      </c>
      <c r="C594" s="62">
        <v>1590</v>
      </c>
      <c r="D594" s="63" t="s">
        <v>679</v>
      </c>
      <c r="E594" s="64" t="s">
        <v>55</v>
      </c>
      <c r="F594" s="64">
        <v>594</v>
      </c>
      <c r="G594" s="67">
        <v>594</v>
      </c>
    </row>
    <row r="595" spans="1:7" x14ac:dyDescent="0.25">
      <c r="A595" s="62" t="s">
        <v>2363</v>
      </c>
      <c r="B595" s="62">
        <v>597</v>
      </c>
      <c r="C595" s="62">
        <v>1591</v>
      </c>
      <c r="D595" s="63" t="s">
        <v>680</v>
      </c>
      <c r="E595" s="64" t="s">
        <v>55</v>
      </c>
      <c r="F595" s="64">
        <v>600</v>
      </c>
      <c r="G595" s="67">
        <v>595</v>
      </c>
    </row>
    <row r="596" spans="1:7" x14ac:dyDescent="0.25">
      <c r="A596" s="62" t="s">
        <v>2364</v>
      </c>
      <c r="B596" s="62">
        <v>598</v>
      </c>
      <c r="C596" s="62">
        <v>1592</v>
      </c>
      <c r="D596" s="63" t="s">
        <v>681</v>
      </c>
      <c r="E596" s="64" t="s">
        <v>55</v>
      </c>
      <c r="F596" s="64">
        <v>601</v>
      </c>
      <c r="G596" s="67">
        <v>596</v>
      </c>
    </row>
    <row r="597" spans="1:7" x14ac:dyDescent="0.25">
      <c r="A597" s="62" t="s">
        <v>2365</v>
      </c>
      <c r="B597" s="62">
        <v>600</v>
      </c>
      <c r="C597" s="62">
        <v>1593</v>
      </c>
      <c r="D597" s="63" t="s">
        <v>682</v>
      </c>
      <c r="E597" s="64" t="s">
        <v>24</v>
      </c>
      <c r="F597" s="64">
        <v>602</v>
      </c>
      <c r="G597" s="67">
        <v>597</v>
      </c>
    </row>
    <row r="598" spans="1:7" x14ac:dyDescent="0.25">
      <c r="A598" s="62" t="s">
        <v>2366</v>
      </c>
      <c r="B598" s="62">
        <v>601</v>
      </c>
      <c r="C598" s="62">
        <v>1594</v>
      </c>
      <c r="D598" s="63" t="s">
        <v>684</v>
      </c>
      <c r="E598" s="64" t="s">
        <v>24</v>
      </c>
      <c r="F598" s="64">
        <v>603</v>
      </c>
      <c r="G598" s="67">
        <v>598</v>
      </c>
    </row>
    <row r="599" spans="1:7" x14ac:dyDescent="0.25">
      <c r="A599" s="62" t="s">
        <v>2367</v>
      </c>
      <c r="B599" s="62">
        <v>602</v>
      </c>
      <c r="C599" s="62">
        <v>1595</v>
      </c>
      <c r="D599" s="63" t="s">
        <v>685</v>
      </c>
      <c r="E599" s="64" t="s">
        <v>24</v>
      </c>
      <c r="F599" s="64">
        <v>601</v>
      </c>
      <c r="G599" s="67">
        <v>599</v>
      </c>
    </row>
    <row r="600" spans="1:7" x14ac:dyDescent="0.25">
      <c r="A600" s="62" t="s">
        <v>2368</v>
      </c>
      <c r="B600" s="62">
        <v>603</v>
      </c>
      <c r="C600" s="62">
        <v>1596</v>
      </c>
      <c r="D600" s="63" t="s">
        <v>686</v>
      </c>
      <c r="E600" s="64" t="s">
        <v>24</v>
      </c>
      <c r="F600" s="64">
        <v>605</v>
      </c>
      <c r="G600" s="67">
        <v>600</v>
      </c>
    </row>
    <row r="601" spans="1:7" x14ac:dyDescent="0.25">
      <c r="A601" s="62" t="s">
        <v>2369</v>
      </c>
      <c r="B601" s="62">
        <v>604</v>
      </c>
      <c r="C601" s="62">
        <v>1597</v>
      </c>
      <c r="D601" s="63" t="s">
        <v>687</v>
      </c>
      <c r="E601" s="64" t="s">
        <v>24</v>
      </c>
      <c r="F601" s="64">
        <v>606</v>
      </c>
      <c r="G601" s="67">
        <v>601</v>
      </c>
    </row>
    <row r="602" spans="1:7" x14ac:dyDescent="0.25">
      <c r="A602" s="62" t="s">
        <v>2370</v>
      </c>
      <c r="B602" s="62">
        <v>605</v>
      </c>
      <c r="C602" s="62">
        <v>1598</v>
      </c>
      <c r="D602" s="63" t="s">
        <v>688</v>
      </c>
      <c r="E602" s="64" t="s">
        <v>24</v>
      </c>
      <c r="F602" s="64">
        <v>598</v>
      </c>
      <c r="G602" s="67">
        <v>602</v>
      </c>
    </row>
    <row r="603" spans="1:7" x14ac:dyDescent="0.25">
      <c r="A603" s="62" t="s">
        <v>2371</v>
      </c>
      <c r="B603" s="62">
        <v>606</v>
      </c>
      <c r="C603" s="62">
        <v>1599</v>
      </c>
      <c r="D603" s="63" t="s">
        <v>689</v>
      </c>
      <c r="E603" s="64" t="s">
        <v>24</v>
      </c>
      <c r="F603" s="64">
        <v>608</v>
      </c>
      <c r="G603" s="67">
        <v>603</v>
      </c>
    </row>
    <row r="604" spans="1:7" x14ac:dyDescent="0.25">
      <c r="A604" s="62" t="s">
        <v>2372</v>
      </c>
      <c r="B604" s="62">
        <v>607</v>
      </c>
      <c r="C604" s="62">
        <v>1600</v>
      </c>
      <c r="D604" s="63" t="s">
        <v>690</v>
      </c>
      <c r="E604" s="64" t="s">
        <v>24</v>
      </c>
      <c r="F604" s="64">
        <v>609</v>
      </c>
      <c r="G604" s="67">
        <v>604</v>
      </c>
    </row>
    <row r="605" spans="1:7" x14ac:dyDescent="0.25">
      <c r="A605" s="62" t="s">
        <v>2373</v>
      </c>
      <c r="B605" s="62">
        <v>608</v>
      </c>
      <c r="C605" s="62">
        <v>1601</v>
      </c>
      <c r="D605" s="63" t="s">
        <v>691</v>
      </c>
      <c r="E605" s="64" t="s">
        <v>93</v>
      </c>
      <c r="F605" s="64">
        <v>610</v>
      </c>
      <c r="G605" s="67">
        <v>605</v>
      </c>
    </row>
    <row r="606" spans="1:7" x14ac:dyDescent="0.25">
      <c r="A606" s="62" t="s">
        <v>2374</v>
      </c>
      <c r="B606" s="62">
        <v>609</v>
      </c>
      <c r="C606" s="62">
        <v>1602</v>
      </c>
      <c r="D606" s="63" t="s">
        <v>692</v>
      </c>
      <c r="E606" s="64" t="s">
        <v>24</v>
      </c>
      <c r="F606" s="64">
        <v>611</v>
      </c>
      <c r="G606" s="67">
        <v>606</v>
      </c>
    </row>
    <row r="607" spans="1:7" x14ac:dyDescent="0.25">
      <c r="A607" s="62" t="s">
        <v>2375</v>
      </c>
      <c r="B607" s="62">
        <v>610</v>
      </c>
      <c r="C607" s="62">
        <v>1603</v>
      </c>
      <c r="D607" s="63" t="s">
        <v>693</v>
      </c>
      <c r="E607" s="64" t="s">
        <v>24</v>
      </c>
      <c r="F607" s="64">
        <v>612</v>
      </c>
      <c r="G607" s="67">
        <v>607</v>
      </c>
    </row>
    <row r="608" spans="1:7" x14ac:dyDescent="0.25">
      <c r="A608" s="62" t="s">
        <v>2376</v>
      </c>
      <c r="B608" s="62">
        <v>611</v>
      </c>
      <c r="C608" s="62">
        <v>1604</v>
      </c>
      <c r="D608" s="63" t="s">
        <v>694</v>
      </c>
      <c r="E608" s="64" t="s">
        <v>24</v>
      </c>
      <c r="F608" s="64">
        <v>613</v>
      </c>
      <c r="G608" s="67">
        <v>608</v>
      </c>
    </row>
    <row r="609" spans="1:7" x14ac:dyDescent="0.25">
      <c r="A609" s="62" t="s">
        <v>2377</v>
      </c>
      <c r="B609" s="62">
        <v>612</v>
      </c>
      <c r="C609" s="62">
        <v>1605</v>
      </c>
      <c r="D609" s="63" t="s">
        <v>695</v>
      </c>
      <c r="E609" s="64" t="s">
        <v>24</v>
      </c>
      <c r="F609" s="64">
        <v>614</v>
      </c>
      <c r="G609" s="67">
        <v>609</v>
      </c>
    </row>
    <row r="610" spans="1:7" x14ac:dyDescent="0.25">
      <c r="A610" s="62" t="s">
        <v>2378</v>
      </c>
      <c r="B610" s="62">
        <v>613</v>
      </c>
      <c r="C610" s="62">
        <v>1606</v>
      </c>
      <c r="D610" s="63" t="s">
        <v>696</v>
      </c>
      <c r="E610" s="64" t="s">
        <v>24</v>
      </c>
      <c r="F610" s="64">
        <v>615</v>
      </c>
      <c r="G610" s="67">
        <v>610</v>
      </c>
    </row>
    <row r="611" spans="1:7" x14ac:dyDescent="0.25">
      <c r="A611" s="62" t="s">
        <v>2379</v>
      </c>
      <c r="B611" s="62">
        <v>614</v>
      </c>
      <c r="C611" s="62">
        <v>1607</v>
      </c>
      <c r="D611" s="63" t="s">
        <v>697</v>
      </c>
      <c r="E611" s="64" t="s">
        <v>24</v>
      </c>
      <c r="F611" s="64">
        <v>616</v>
      </c>
      <c r="G611" s="67">
        <v>611</v>
      </c>
    </row>
    <row r="612" spans="1:7" x14ac:dyDescent="0.25">
      <c r="A612" s="62" t="s">
        <v>2380</v>
      </c>
      <c r="B612" s="62">
        <v>615</v>
      </c>
      <c r="C612" s="62">
        <v>1608</v>
      </c>
      <c r="D612" s="63" t="s">
        <v>698</v>
      </c>
      <c r="E612" s="64" t="s">
        <v>24</v>
      </c>
      <c r="F612" s="64">
        <v>617</v>
      </c>
      <c r="G612" s="67">
        <v>612</v>
      </c>
    </row>
    <row r="613" spans="1:7" x14ac:dyDescent="0.25">
      <c r="A613" s="62" t="s">
        <v>2381</v>
      </c>
      <c r="B613" s="62">
        <v>616</v>
      </c>
      <c r="C613" s="62">
        <v>1609</v>
      </c>
      <c r="D613" s="63" t="s">
        <v>699</v>
      </c>
      <c r="E613" s="64" t="s">
        <v>24</v>
      </c>
      <c r="F613" s="64">
        <v>618</v>
      </c>
      <c r="G613" s="67">
        <v>613</v>
      </c>
    </row>
    <row r="614" spans="1:7" x14ac:dyDescent="0.25">
      <c r="A614" s="62" t="s">
        <v>2382</v>
      </c>
      <c r="B614" s="62">
        <v>617</v>
      </c>
      <c r="C614" s="62">
        <v>1610</v>
      </c>
      <c r="D614" s="63" t="s">
        <v>700</v>
      </c>
      <c r="E614" s="64" t="s">
        <v>24</v>
      </c>
      <c r="F614" s="64">
        <v>619</v>
      </c>
      <c r="G614" s="67">
        <v>614</v>
      </c>
    </row>
    <row r="615" spans="1:7" x14ac:dyDescent="0.25">
      <c r="A615" s="62" t="s">
        <v>2383</v>
      </c>
      <c r="B615" s="62">
        <v>618</v>
      </c>
      <c r="C615" s="62">
        <v>1611</v>
      </c>
      <c r="D615" s="63" t="s">
        <v>702</v>
      </c>
      <c r="E615" s="64" t="s">
        <v>24</v>
      </c>
      <c r="F615" s="64">
        <v>620</v>
      </c>
      <c r="G615" s="67">
        <v>615</v>
      </c>
    </row>
    <row r="616" spans="1:7" x14ac:dyDescent="0.25">
      <c r="A616" s="62" t="s">
        <v>2384</v>
      </c>
      <c r="B616" s="62">
        <v>619</v>
      </c>
      <c r="C616" s="62">
        <v>1612</v>
      </c>
      <c r="D616" s="63" t="s">
        <v>703</v>
      </c>
      <c r="E616" s="64" t="s">
        <v>24</v>
      </c>
      <c r="F616" s="64">
        <v>621</v>
      </c>
      <c r="G616" s="67">
        <v>616</v>
      </c>
    </row>
    <row r="617" spans="1:7" x14ac:dyDescent="0.25">
      <c r="A617" s="62" t="s">
        <v>2385</v>
      </c>
      <c r="B617" s="62">
        <v>620</v>
      </c>
      <c r="C617" s="62">
        <v>1613</v>
      </c>
      <c r="D617" s="63" t="s">
        <v>705</v>
      </c>
      <c r="E617" s="64" t="s">
        <v>24</v>
      </c>
      <c r="F617" s="64">
        <v>622</v>
      </c>
      <c r="G617" s="67">
        <v>617</v>
      </c>
    </row>
    <row r="618" spans="1:7" x14ac:dyDescent="0.25">
      <c r="A618" s="62" t="s">
        <v>2386</v>
      </c>
      <c r="B618" s="62">
        <v>621</v>
      </c>
      <c r="C618" s="62">
        <v>1614</v>
      </c>
      <c r="D618" s="63" t="s">
        <v>707</v>
      </c>
      <c r="E618" s="64" t="s">
        <v>24</v>
      </c>
      <c r="F618" s="64">
        <v>623</v>
      </c>
      <c r="G618" s="67">
        <v>618</v>
      </c>
    </row>
    <row r="619" spans="1:7" x14ac:dyDescent="0.25">
      <c r="A619" s="62" t="s">
        <v>2387</v>
      </c>
      <c r="B619" s="62">
        <v>622</v>
      </c>
      <c r="C619" s="62">
        <v>1615</v>
      </c>
      <c r="D619" s="63" t="s">
        <v>708</v>
      </c>
      <c r="E619" s="64" t="s">
        <v>24</v>
      </c>
      <c r="F619" s="64">
        <v>624</v>
      </c>
      <c r="G619" s="67">
        <v>619</v>
      </c>
    </row>
    <row r="620" spans="1:7" x14ac:dyDescent="0.25">
      <c r="A620" s="62" t="s">
        <v>2388</v>
      </c>
      <c r="B620" s="62">
        <v>623</v>
      </c>
      <c r="C620" s="62">
        <v>1616</v>
      </c>
      <c r="D620" s="63" t="s">
        <v>709</v>
      </c>
      <c r="E620" s="64" t="s">
        <v>24</v>
      </c>
      <c r="F620" s="64">
        <v>625</v>
      </c>
      <c r="G620" s="67">
        <v>620</v>
      </c>
    </row>
    <row r="621" spans="1:7" x14ac:dyDescent="0.25">
      <c r="A621" s="62" t="s">
        <v>2389</v>
      </c>
      <c r="B621" s="62">
        <v>624</v>
      </c>
      <c r="C621" s="62">
        <v>1617</v>
      </c>
      <c r="D621" s="63" t="s">
        <v>710</v>
      </c>
      <c r="E621" s="64" t="s">
        <v>24</v>
      </c>
      <c r="F621" s="64">
        <v>624</v>
      </c>
      <c r="G621" s="67">
        <v>621</v>
      </c>
    </row>
    <row r="622" spans="1:7" x14ac:dyDescent="0.25">
      <c r="A622" s="62" t="s">
        <v>2390</v>
      </c>
      <c r="B622" s="62">
        <v>625</v>
      </c>
      <c r="C622" s="62">
        <v>1618</v>
      </c>
      <c r="D622" s="63" t="s">
        <v>712</v>
      </c>
      <c r="E622" s="64" t="s">
        <v>93</v>
      </c>
      <c r="F622" s="64">
        <v>627</v>
      </c>
      <c r="G622" s="67">
        <v>622</v>
      </c>
    </row>
    <row r="623" spans="1:7" x14ac:dyDescent="0.25">
      <c r="A623" s="62" t="s">
        <v>2391</v>
      </c>
      <c r="B623" s="62">
        <v>626</v>
      </c>
      <c r="C623" s="62">
        <v>1619</v>
      </c>
      <c r="D623" s="63" t="s">
        <v>713</v>
      </c>
      <c r="E623" s="64" t="s">
        <v>93</v>
      </c>
      <c r="F623" s="64">
        <v>628</v>
      </c>
      <c r="G623" s="67">
        <v>623</v>
      </c>
    </row>
    <row r="624" spans="1:7" x14ac:dyDescent="0.25">
      <c r="A624" s="62" t="s">
        <v>2392</v>
      </c>
      <c r="B624" s="62">
        <v>627</v>
      </c>
      <c r="C624" s="62">
        <v>1620</v>
      </c>
      <c r="D624" s="63" t="s">
        <v>714</v>
      </c>
      <c r="E624" s="64" t="s">
        <v>24</v>
      </c>
      <c r="F624" s="64">
        <v>629</v>
      </c>
      <c r="G624" s="67">
        <v>624</v>
      </c>
    </row>
    <row r="625" spans="1:7" x14ac:dyDescent="0.25">
      <c r="A625" s="62" t="s">
        <v>2393</v>
      </c>
      <c r="B625" s="62">
        <v>628</v>
      </c>
      <c r="C625" s="62">
        <v>1621</v>
      </c>
      <c r="D625" s="63" t="s">
        <v>715</v>
      </c>
      <c r="E625" s="64" t="s">
        <v>24</v>
      </c>
      <c r="F625" s="64">
        <v>630</v>
      </c>
      <c r="G625" s="67">
        <v>625</v>
      </c>
    </row>
    <row r="626" spans="1:7" x14ac:dyDescent="0.25">
      <c r="A626" s="62" t="s">
        <v>2394</v>
      </c>
      <c r="B626" s="62">
        <v>629</v>
      </c>
      <c r="C626" s="62">
        <v>1622</v>
      </c>
      <c r="D626" s="63" t="s">
        <v>716</v>
      </c>
      <c r="E626" s="64" t="s">
        <v>24</v>
      </c>
      <c r="F626" s="64">
        <v>631</v>
      </c>
      <c r="G626" s="67">
        <v>626</v>
      </c>
    </row>
    <row r="627" spans="1:7" x14ac:dyDescent="0.25">
      <c r="A627" s="62" t="s">
        <v>2395</v>
      </c>
      <c r="B627" s="62">
        <v>630</v>
      </c>
      <c r="C627" s="62">
        <v>1623</v>
      </c>
      <c r="D627" s="63" t="s">
        <v>717</v>
      </c>
      <c r="E627" s="64" t="s">
        <v>24</v>
      </c>
      <c r="F627" s="64">
        <v>632</v>
      </c>
      <c r="G627" s="67">
        <v>627</v>
      </c>
    </row>
    <row r="628" spans="1:7" x14ac:dyDescent="0.25">
      <c r="A628" s="62" t="s">
        <v>2396</v>
      </c>
      <c r="B628" s="62">
        <v>631</v>
      </c>
      <c r="C628" s="62">
        <v>1624</v>
      </c>
      <c r="D628" s="63" t="s">
        <v>718</v>
      </c>
      <c r="E628" s="64" t="s">
        <v>24</v>
      </c>
      <c r="F628" s="64">
        <v>633</v>
      </c>
      <c r="G628" s="67">
        <v>628</v>
      </c>
    </row>
    <row r="629" spans="1:7" x14ac:dyDescent="0.25">
      <c r="A629" s="62" t="s">
        <v>2397</v>
      </c>
      <c r="B629" s="62">
        <v>632</v>
      </c>
      <c r="C629" s="62">
        <v>1625</v>
      </c>
      <c r="D629" s="63" t="s">
        <v>719</v>
      </c>
      <c r="E629" s="64" t="s">
        <v>24</v>
      </c>
      <c r="F629" s="64">
        <v>634</v>
      </c>
      <c r="G629" s="67">
        <v>629</v>
      </c>
    </row>
    <row r="630" spans="1:7" x14ac:dyDescent="0.25">
      <c r="A630" s="62" t="s">
        <v>2398</v>
      </c>
      <c r="B630" s="62">
        <v>633</v>
      </c>
      <c r="C630" s="62">
        <v>1626</v>
      </c>
      <c r="D630" s="63" t="s">
        <v>720</v>
      </c>
      <c r="E630" s="64" t="s">
        <v>24</v>
      </c>
      <c r="F630" s="64">
        <v>635</v>
      </c>
      <c r="G630" s="67">
        <v>630</v>
      </c>
    </row>
    <row r="631" spans="1:7" x14ac:dyDescent="0.25">
      <c r="A631" s="62" t="s">
        <v>2399</v>
      </c>
      <c r="B631" s="62">
        <v>634</v>
      </c>
      <c r="C631" s="62">
        <v>1627</v>
      </c>
      <c r="D631" s="63" t="s">
        <v>722</v>
      </c>
      <c r="E631" s="64" t="s">
        <v>24</v>
      </c>
      <c r="F631" s="64">
        <v>636</v>
      </c>
      <c r="G631" s="67">
        <v>631</v>
      </c>
    </row>
    <row r="632" spans="1:7" x14ac:dyDescent="0.25">
      <c r="A632" s="62" t="s">
        <v>2400</v>
      </c>
      <c r="B632" s="62">
        <v>635</v>
      </c>
      <c r="C632" s="62">
        <v>1628</v>
      </c>
      <c r="D632" s="63" t="s">
        <v>723</v>
      </c>
      <c r="E632" s="64" t="s">
        <v>24</v>
      </c>
      <c r="F632" s="64">
        <v>637</v>
      </c>
      <c r="G632" s="67">
        <v>632</v>
      </c>
    </row>
    <row r="633" spans="1:7" x14ac:dyDescent="0.25">
      <c r="A633" s="62" t="s">
        <v>2401</v>
      </c>
      <c r="B633" s="62">
        <v>636</v>
      </c>
      <c r="C633" s="62">
        <v>1629</v>
      </c>
      <c r="D633" s="63" t="s">
        <v>724</v>
      </c>
      <c r="E633" s="64" t="s">
        <v>24</v>
      </c>
      <c r="F633" s="64">
        <v>638</v>
      </c>
      <c r="G633" s="67">
        <v>633</v>
      </c>
    </row>
    <row r="634" spans="1:7" x14ac:dyDescent="0.25">
      <c r="A634" s="62" t="s">
        <v>2402</v>
      </c>
      <c r="B634" s="62">
        <v>637</v>
      </c>
      <c r="C634" s="62">
        <v>1630</v>
      </c>
      <c r="D634" s="63" t="s">
        <v>725</v>
      </c>
      <c r="E634" s="64" t="s">
        <v>24</v>
      </c>
      <c r="F634" s="64">
        <v>639</v>
      </c>
      <c r="G634" s="67">
        <v>634</v>
      </c>
    </row>
    <row r="635" spans="1:7" x14ac:dyDescent="0.25">
      <c r="A635" s="62" t="s">
        <v>2403</v>
      </c>
      <c r="B635" s="62">
        <v>638</v>
      </c>
      <c r="C635" s="62">
        <v>1631</v>
      </c>
      <c r="D635" s="63" t="s">
        <v>726</v>
      </c>
      <c r="E635" s="64" t="s">
        <v>24</v>
      </c>
      <c r="F635" s="64">
        <v>640</v>
      </c>
      <c r="G635" s="67">
        <v>635</v>
      </c>
    </row>
    <row r="636" spans="1:7" x14ac:dyDescent="0.25">
      <c r="A636" s="62" t="s">
        <v>2404</v>
      </c>
      <c r="B636" s="62">
        <v>639</v>
      </c>
      <c r="C636" s="62">
        <v>1632</v>
      </c>
      <c r="D636" s="63" t="s">
        <v>727</v>
      </c>
      <c r="E636" s="64" t="s">
        <v>24</v>
      </c>
      <c r="F636" s="64">
        <v>641</v>
      </c>
      <c r="G636" s="67">
        <v>636</v>
      </c>
    </row>
    <row r="637" spans="1:7" x14ac:dyDescent="0.25">
      <c r="A637" s="62" t="s">
        <v>2405</v>
      </c>
      <c r="B637" s="62">
        <v>640</v>
      </c>
      <c r="C637" s="62">
        <v>1633</v>
      </c>
      <c r="D637" s="63" t="s">
        <v>728</v>
      </c>
      <c r="E637" s="64" t="s">
        <v>24</v>
      </c>
      <c r="F637" s="64">
        <v>642</v>
      </c>
      <c r="G637" s="67">
        <v>637</v>
      </c>
    </row>
    <row r="638" spans="1:7" x14ac:dyDescent="0.25">
      <c r="A638" s="62" t="s">
        <v>2406</v>
      </c>
      <c r="B638" s="62">
        <v>641</v>
      </c>
      <c r="C638" s="62">
        <v>1634</v>
      </c>
      <c r="D638" s="63" t="s">
        <v>729</v>
      </c>
      <c r="E638" s="64" t="s">
        <v>24</v>
      </c>
      <c r="F638" s="64">
        <v>643</v>
      </c>
      <c r="G638" s="67">
        <v>638</v>
      </c>
    </row>
    <row r="639" spans="1:7" x14ac:dyDescent="0.25">
      <c r="A639" s="62" t="s">
        <v>2407</v>
      </c>
      <c r="B639" s="62">
        <v>642</v>
      </c>
      <c r="C639" s="62">
        <v>1635</v>
      </c>
      <c r="D639" s="63" t="s">
        <v>730</v>
      </c>
      <c r="E639" s="64" t="s">
        <v>24</v>
      </c>
      <c r="F639" s="64">
        <v>644</v>
      </c>
      <c r="G639" s="67">
        <v>639</v>
      </c>
    </row>
    <row r="640" spans="1:7" x14ac:dyDescent="0.25">
      <c r="A640" s="62" t="s">
        <v>2408</v>
      </c>
      <c r="B640" s="62">
        <v>643</v>
      </c>
      <c r="C640" s="62">
        <v>1636</v>
      </c>
      <c r="D640" s="63" t="s">
        <v>731</v>
      </c>
      <c r="E640" s="64" t="s">
        <v>24</v>
      </c>
      <c r="F640" s="64">
        <v>645</v>
      </c>
      <c r="G640" s="67">
        <v>640</v>
      </c>
    </row>
    <row r="641" spans="1:7" x14ac:dyDescent="0.25">
      <c r="A641" s="62" t="s">
        <v>2409</v>
      </c>
      <c r="B641" s="62">
        <v>644</v>
      </c>
      <c r="C641" s="62">
        <v>1637</v>
      </c>
      <c r="D641" s="63" t="s">
        <v>732</v>
      </c>
      <c r="E641" s="64" t="s">
        <v>24</v>
      </c>
      <c r="F641" s="64">
        <v>646</v>
      </c>
      <c r="G641" s="67">
        <v>641</v>
      </c>
    </row>
    <row r="642" spans="1:7" x14ac:dyDescent="0.25">
      <c r="A642" s="62" t="s">
        <v>2410</v>
      </c>
      <c r="B642" s="62">
        <v>645</v>
      </c>
      <c r="C642" s="62">
        <v>1638</v>
      </c>
      <c r="D642" s="63" t="s">
        <v>733</v>
      </c>
      <c r="E642" s="64" t="s">
        <v>24</v>
      </c>
      <c r="F642" s="64">
        <v>647</v>
      </c>
      <c r="G642" s="67">
        <v>642</v>
      </c>
    </row>
    <row r="643" spans="1:7" x14ac:dyDescent="0.25">
      <c r="A643" s="62" t="s">
        <v>2411</v>
      </c>
      <c r="B643" s="62">
        <v>646</v>
      </c>
      <c r="C643" s="62">
        <v>1639</v>
      </c>
      <c r="D643" s="63" t="s">
        <v>734</v>
      </c>
      <c r="E643" s="64" t="s">
        <v>24</v>
      </c>
      <c r="F643" s="64">
        <v>648</v>
      </c>
      <c r="G643" s="67">
        <v>643</v>
      </c>
    </row>
    <row r="644" spans="1:7" x14ac:dyDescent="0.25">
      <c r="A644" s="62" t="s">
        <v>2412</v>
      </c>
      <c r="B644" s="62">
        <v>647</v>
      </c>
      <c r="C644" s="62">
        <v>1640</v>
      </c>
      <c r="D644" s="63" t="s">
        <v>735</v>
      </c>
      <c r="E644" s="64" t="s">
        <v>24</v>
      </c>
      <c r="F644" s="64">
        <v>649</v>
      </c>
      <c r="G644" s="67">
        <v>644</v>
      </c>
    </row>
    <row r="645" spans="1:7" x14ac:dyDescent="0.25">
      <c r="A645" s="62" t="s">
        <v>2413</v>
      </c>
      <c r="B645" s="62">
        <v>648</v>
      </c>
      <c r="C645" s="62">
        <v>1641</v>
      </c>
      <c r="D645" s="63" t="s">
        <v>736</v>
      </c>
      <c r="E645" s="64" t="s">
        <v>24</v>
      </c>
      <c r="F645" s="64">
        <v>650</v>
      </c>
      <c r="G645" s="67">
        <v>645</v>
      </c>
    </row>
    <row r="646" spans="1:7" x14ac:dyDescent="0.25">
      <c r="A646" s="62" t="s">
        <v>2414</v>
      </c>
      <c r="B646" s="62">
        <v>649</v>
      </c>
      <c r="C646" s="62">
        <v>1642</v>
      </c>
      <c r="D646" s="63" t="s">
        <v>737</v>
      </c>
      <c r="E646" s="64" t="s">
        <v>24</v>
      </c>
      <c r="F646" s="64">
        <v>651</v>
      </c>
      <c r="G646" s="67">
        <v>646</v>
      </c>
    </row>
    <row r="647" spans="1:7" x14ac:dyDescent="0.25">
      <c r="A647" s="62" t="s">
        <v>2415</v>
      </c>
      <c r="B647" s="62">
        <v>650</v>
      </c>
      <c r="C647" s="62">
        <v>1643</v>
      </c>
      <c r="D647" s="63" t="s">
        <v>738</v>
      </c>
      <c r="E647" s="64" t="s">
        <v>24</v>
      </c>
      <c r="F647" s="64">
        <v>652</v>
      </c>
      <c r="G647" s="67">
        <v>647</v>
      </c>
    </row>
    <row r="648" spans="1:7" x14ac:dyDescent="0.25">
      <c r="A648" s="62" t="s">
        <v>2416</v>
      </c>
      <c r="B648" s="62">
        <v>651</v>
      </c>
      <c r="C648" s="62">
        <v>1644</v>
      </c>
      <c r="D648" s="63" t="s">
        <v>739</v>
      </c>
      <c r="E648" s="64" t="s">
        <v>24</v>
      </c>
      <c r="F648" s="64">
        <v>653</v>
      </c>
      <c r="G648" s="67">
        <v>648</v>
      </c>
    </row>
    <row r="649" spans="1:7" x14ac:dyDescent="0.25">
      <c r="A649" s="62" t="s">
        <v>2417</v>
      </c>
      <c r="B649" s="62">
        <v>652</v>
      </c>
      <c r="C649" s="62">
        <v>1645</v>
      </c>
      <c r="D649" s="63" t="s">
        <v>740</v>
      </c>
      <c r="E649" s="64" t="s">
        <v>24</v>
      </c>
      <c r="F649" s="64">
        <v>654</v>
      </c>
      <c r="G649" s="67">
        <v>649</v>
      </c>
    </row>
    <row r="650" spans="1:7" x14ac:dyDescent="0.25">
      <c r="A650" s="62" t="s">
        <v>2418</v>
      </c>
      <c r="B650" s="62">
        <v>653</v>
      </c>
      <c r="C650" s="62">
        <v>1646</v>
      </c>
      <c r="D650" s="63" t="s">
        <v>741</v>
      </c>
      <c r="E650" s="64" t="s">
        <v>24</v>
      </c>
      <c r="F650" s="64">
        <v>655</v>
      </c>
      <c r="G650" s="67">
        <v>650</v>
      </c>
    </row>
    <row r="651" spans="1:7" x14ac:dyDescent="0.25">
      <c r="A651" s="62" t="s">
        <v>2419</v>
      </c>
      <c r="B651" s="62">
        <v>654</v>
      </c>
      <c r="C651" s="62">
        <v>1647</v>
      </c>
      <c r="D651" s="63" t="s">
        <v>742</v>
      </c>
      <c r="E651" s="64" t="s">
        <v>24</v>
      </c>
      <c r="F651" s="64">
        <v>656</v>
      </c>
      <c r="G651" s="67">
        <v>651</v>
      </c>
    </row>
    <row r="652" spans="1:7" x14ac:dyDescent="0.25">
      <c r="A652" s="62" t="s">
        <v>2420</v>
      </c>
      <c r="B652" s="62">
        <v>655</v>
      </c>
      <c r="C652" s="62">
        <v>1648</v>
      </c>
      <c r="D652" s="63" t="s">
        <v>743</v>
      </c>
      <c r="E652" s="64" t="s">
        <v>24</v>
      </c>
      <c r="F652" s="64">
        <v>657</v>
      </c>
      <c r="G652" s="67">
        <v>652</v>
      </c>
    </row>
    <row r="653" spans="1:7" x14ac:dyDescent="0.25">
      <c r="A653" s="62" t="s">
        <v>2421</v>
      </c>
      <c r="B653" s="62">
        <v>656</v>
      </c>
      <c r="C653" s="62">
        <v>1649</v>
      </c>
      <c r="D653" s="63" t="s">
        <v>744</v>
      </c>
      <c r="E653" s="64" t="s">
        <v>24</v>
      </c>
      <c r="F653" s="64">
        <v>658</v>
      </c>
      <c r="G653" s="67">
        <v>653</v>
      </c>
    </row>
    <row r="654" spans="1:7" x14ac:dyDescent="0.25">
      <c r="A654" s="62" t="s">
        <v>2422</v>
      </c>
      <c r="B654" s="62">
        <v>657</v>
      </c>
      <c r="C654" s="62">
        <v>1650</v>
      </c>
      <c r="D654" s="63" t="s">
        <v>745</v>
      </c>
      <c r="E654" s="64" t="s">
        <v>24</v>
      </c>
      <c r="F654" s="64">
        <v>659</v>
      </c>
      <c r="G654" s="67">
        <v>654</v>
      </c>
    </row>
    <row r="655" spans="1:7" x14ac:dyDescent="0.25">
      <c r="A655" s="62" t="s">
        <v>2423</v>
      </c>
      <c r="B655" s="62">
        <v>658</v>
      </c>
      <c r="C655" s="62">
        <v>1651</v>
      </c>
      <c r="D655" s="63" t="s">
        <v>746</v>
      </c>
      <c r="E655" s="64" t="s">
        <v>24</v>
      </c>
      <c r="F655" s="64">
        <v>660</v>
      </c>
      <c r="G655" s="67">
        <v>655</v>
      </c>
    </row>
    <row r="656" spans="1:7" x14ac:dyDescent="0.25">
      <c r="A656" s="62" t="s">
        <v>2424</v>
      </c>
      <c r="B656" s="62">
        <v>659</v>
      </c>
      <c r="C656" s="62">
        <v>1652</v>
      </c>
      <c r="D656" s="63" t="s">
        <v>747</v>
      </c>
      <c r="E656" s="64" t="s">
        <v>24</v>
      </c>
      <c r="F656" s="64">
        <v>661</v>
      </c>
      <c r="G656" s="67">
        <v>656</v>
      </c>
    </row>
    <row r="657" spans="1:7" x14ac:dyDescent="0.25">
      <c r="A657" s="62" t="s">
        <v>2425</v>
      </c>
      <c r="B657" s="62">
        <v>660</v>
      </c>
      <c r="C657" s="62">
        <v>1653</v>
      </c>
      <c r="D657" s="63" t="s">
        <v>748</v>
      </c>
      <c r="E657" s="64" t="s">
        <v>24</v>
      </c>
      <c r="F657" s="64">
        <v>662</v>
      </c>
      <c r="G657" s="67">
        <v>657</v>
      </c>
    </row>
    <row r="658" spans="1:7" x14ac:dyDescent="0.25">
      <c r="A658" s="62" t="s">
        <v>2426</v>
      </c>
      <c r="B658" s="62">
        <v>661</v>
      </c>
      <c r="C658" s="62">
        <v>1654</v>
      </c>
      <c r="D658" s="63" t="s">
        <v>749</v>
      </c>
      <c r="E658" s="64" t="s">
        <v>24</v>
      </c>
      <c r="F658" s="64">
        <v>663</v>
      </c>
      <c r="G658" s="67">
        <v>658</v>
      </c>
    </row>
    <row r="659" spans="1:7" x14ac:dyDescent="0.25">
      <c r="A659" s="62" t="s">
        <v>2427</v>
      </c>
      <c r="B659" s="62">
        <v>662</v>
      </c>
      <c r="C659" s="62">
        <v>1655</v>
      </c>
      <c r="D659" s="63" t="s">
        <v>750</v>
      </c>
      <c r="E659" s="64" t="s">
        <v>24</v>
      </c>
      <c r="F659" s="64">
        <v>664</v>
      </c>
      <c r="G659" s="67">
        <v>659</v>
      </c>
    </row>
    <row r="660" spans="1:7" x14ac:dyDescent="0.25">
      <c r="A660" s="62" t="s">
        <v>2428</v>
      </c>
      <c r="B660" s="62">
        <v>663</v>
      </c>
      <c r="C660" s="62">
        <v>1656</v>
      </c>
      <c r="D660" s="63" t="s">
        <v>751</v>
      </c>
      <c r="E660" s="64" t="s">
        <v>24</v>
      </c>
      <c r="F660" s="64">
        <v>665</v>
      </c>
      <c r="G660" s="67">
        <v>660</v>
      </c>
    </row>
    <row r="661" spans="1:7" x14ac:dyDescent="0.25">
      <c r="A661" s="62" t="s">
        <v>2429</v>
      </c>
      <c r="B661" s="62">
        <v>664</v>
      </c>
      <c r="C661" s="62">
        <v>1657</v>
      </c>
      <c r="D661" s="63" t="s">
        <v>752</v>
      </c>
      <c r="E661" s="64" t="s">
        <v>55</v>
      </c>
      <c r="F661" s="64">
        <v>666</v>
      </c>
      <c r="G661" s="67">
        <v>661</v>
      </c>
    </row>
    <row r="662" spans="1:7" x14ac:dyDescent="0.25">
      <c r="A662" s="62" t="s">
        <v>2430</v>
      </c>
      <c r="B662" s="62">
        <v>665</v>
      </c>
      <c r="C662" s="62">
        <v>1658</v>
      </c>
      <c r="D662" s="63" t="s">
        <v>753</v>
      </c>
      <c r="E662" s="64" t="s">
        <v>55</v>
      </c>
      <c r="F662" s="64">
        <v>667</v>
      </c>
      <c r="G662" s="67">
        <v>662</v>
      </c>
    </row>
    <row r="663" spans="1:7" x14ac:dyDescent="0.25">
      <c r="A663" s="62" t="s">
        <v>2431</v>
      </c>
      <c r="B663" s="62">
        <v>666</v>
      </c>
      <c r="C663" s="62">
        <v>1659</v>
      </c>
      <c r="D663" s="63" t="s">
        <v>754</v>
      </c>
      <c r="E663" s="64" t="s">
        <v>24</v>
      </c>
      <c r="F663" s="64">
        <v>668</v>
      </c>
      <c r="G663" s="67">
        <v>663</v>
      </c>
    </row>
    <row r="664" spans="1:7" x14ac:dyDescent="0.25">
      <c r="A664" s="62" t="s">
        <v>2432</v>
      </c>
      <c r="B664" s="62">
        <v>667</v>
      </c>
      <c r="C664" s="62">
        <v>1660</v>
      </c>
      <c r="D664" s="63" t="s">
        <v>755</v>
      </c>
      <c r="E664" s="64" t="s">
        <v>24</v>
      </c>
      <c r="F664" s="64">
        <v>669</v>
      </c>
      <c r="G664" s="67">
        <v>664</v>
      </c>
    </row>
    <row r="665" spans="1:7" x14ac:dyDescent="0.25">
      <c r="A665" s="62" t="s">
        <v>2433</v>
      </c>
      <c r="B665" s="62">
        <v>668</v>
      </c>
      <c r="C665" s="62">
        <v>1661</v>
      </c>
      <c r="D665" s="63" t="s">
        <v>756</v>
      </c>
      <c r="E665" s="64" t="s">
        <v>24</v>
      </c>
      <c r="F665" s="64">
        <v>670</v>
      </c>
      <c r="G665" s="67">
        <v>665</v>
      </c>
    </row>
    <row r="666" spans="1:7" x14ac:dyDescent="0.25">
      <c r="A666" s="62" t="s">
        <v>2434</v>
      </c>
      <c r="B666" s="62">
        <v>669</v>
      </c>
      <c r="C666" s="62">
        <v>1662</v>
      </c>
      <c r="D666" s="63" t="s">
        <v>757</v>
      </c>
      <c r="E666" s="64" t="s">
        <v>24</v>
      </c>
      <c r="F666" s="64">
        <v>671</v>
      </c>
      <c r="G666" s="67">
        <v>666</v>
      </c>
    </row>
    <row r="667" spans="1:7" x14ac:dyDescent="0.25">
      <c r="A667" s="62" t="s">
        <v>2435</v>
      </c>
      <c r="B667" s="62">
        <v>670</v>
      </c>
      <c r="C667" s="62">
        <v>1663</v>
      </c>
      <c r="D667" s="63" t="s">
        <v>758</v>
      </c>
      <c r="E667" s="64" t="s">
        <v>24</v>
      </c>
      <c r="F667" s="64">
        <v>672</v>
      </c>
      <c r="G667" s="67">
        <v>667</v>
      </c>
    </row>
    <row r="668" spans="1:7" x14ac:dyDescent="0.25">
      <c r="A668" s="62" t="s">
        <v>2436</v>
      </c>
      <c r="B668" s="62">
        <v>671</v>
      </c>
      <c r="C668" s="62">
        <v>1664</v>
      </c>
      <c r="D668" s="63" t="s">
        <v>759</v>
      </c>
      <c r="E668" s="64" t="s">
        <v>24</v>
      </c>
      <c r="F668" s="64">
        <v>673</v>
      </c>
      <c r="G668" s="67">
        <v>668</v>
      </c>
    </row>
    <row r="669" spans="1:7" x14ac:dyDescent="0.25">
      <c r="A669" s="62" t="s">
        <v>2437</v>
      </c>
      <c r="B669" s="62">
        <v>672</v>
      </c>
      <c r="C669" s="62">
        <v>1665</v>
      </c>
      <c r="D669" s="63" t="s">
        <v>760</v>
      </c>
      <c r="E669" s="64" t="s">
        <v>24</v>
      </c>
      <c r="F669" s="64">
        <v>674</v>
      </c>
      <c r="G669" s="67">
        <v>669</v>
      </c>
    </row>
    <row r="670" spans="1:7" x14ac:dyDescent="0.25">
      <c r="A670" s="62" t="s">
        <v>2438</v>
      </c>
      <c r="B670" s="62">
        <v>673</v>
      </c>
      <c r="C670" s="62">
        <v>1666</v>
      </c>
      <c r="D670" s="63" t="s">
        <v>761</v>
      </c>
      <c r="E670" s="64" t="s">
        <v>24</v>
      </c>
      <c r="F670" s="64">
        <v>675</v>
      </c>
      <c r="G670" s="67">
        <v>670</v>
      </c>
    </row>
    <row r="671" spans="1:7" x14ac:dyDescent="0.25">
      <c r="A671" s="62" t="s">
        <v>2439</v>
      </c>
      <c r="B671" s="62">
        <v>674</v>
      </c>
      <c r="C671" s="62">
        <v>1667</v>
      </c>
      <c r="D671" s="63" t="s">
        <v>762</v>
      </c>
      <c r="E671" s="64" t="s">
        <v>24</v>
      </c>
      <c r="F671" s="64">
        <v>676</v>
      </c>
      <c r="G671" s="67">
        <v>671</v>
      </c>
    </row>
    <row r="672" spans="1:7" x14ac:dyDescent="0.25">
      <c r="A672" s="62" t="s">
        <v>2440</v>
      </c>
      <c r="B672" s="62">
        <v>675</v>
      </c>
      <c r="C672" s="62">
        <v>1668</v>
      </c>
      <c r="D672" s="63" t="s">
        <v>763</v>
      </c>
      <c r="E672" s="64" t="s">
        <v>24</v>
      </c>
      <c r="F672" s="64">
        <v>677</v>
      </c>
      <c r="G672" s="67">
        <v>672</v>
      </c>
    </row>
    <row r="673" spans="1:7" x14ac:dyDescent="0.25">
      <c r="A673" s="62" t="s">
        <v>2441</v>
      </c>
      <c r="B673" s="62">
        <v>676</v>
      </c>
      <c r="C673" s="62">
        <v>1669</v>
      </c>
      <c r="D673" s="63" t="s">
        <v>764</v>
      </c>
      <c r="E673" s="64" t="s">
        <v>24</v>
      </c>
      <c r="F673" s="64">
        <v>672</v>
      </c>
      <c r="G673" s="67">
        <v>673</v>
      </c>
    </row>
    <row r="674" spans="1:7" x14ac:dyDescent="0.25">
      <c r="A674" s="62" t="s">
        <v>2442</v>
      </c>
      <c r="B674" s="62">
        <v>677</v>
      </c>
      <c r="C674" s="62">
        <v>1670</v>
      </c>
      <c r="D674" s="63" t="s">
        <v>765</v>
      </c>
      <c r="E674" s="64" t="s">
        <v>24</v>
      </c>
      <c r="F674" s="64">
        <v>679</v>
      </c>
      <c r="G674" s="67">
        <v>674</v>
      </c>
    </row>
    <row r="675" spans="1:7" x14ac:dyDescent="0.25">
      <c r="A675" s="62" t="s">
        <v>2443</v>
      </c>
      <c r="B675" s="62">
        <v>678</v>
      </c>
      <c r="C675" s="62">
        <v>1671</v>
      </c>
      <c r="D675" s="63" t="s">
        <v>766</v>
      </c>
      <c r="E675" s="64" t="s">
        <v>24</v>
      </c>
      <c r="F675" s="64">
        <v>680</v>
      </c>
      <c r="G675" s="67">
        <v>675</v>
      </c>
    </row>
    <row r="676" spans="1:7" x14ac:dyDescent="0.25">
      <c r="A676" s="62" t="s">
        <v>2444</v>
      </c>
      <c r="B676" s="62">
        <v>680</v>
      </c>
      <c r="C676" s="62">
        <v>1672</v>
      </c>
      <c r="D676" s="63" t="s">
        <v>767</v>
      </c>
      <c r="E676" s="64" t="s">
        <v>24</v>
      </c>
      <c r="F676" s="64">
        <v>681</v>
      </c>
      <c r="G676" s="67">
        <v>676</v>
      </c>
    </row>
    <row r="677" spans="1:7" x14ac:dyDescent="0.25">
      <c r="A677" s="62" t="s">
        <v>2445</v>
      </c>
      <c r="B677" s="62">
        <v>681</v>
      </c>
      <c r="C677" s="62">
        <v>1673</v>
      </c>
      <c r="D677" s="63" t="s">
        <v>768</v>
      </c>
      <c r="E677" s="64" t="s">
        <v>24</v>
      </c>
      <c r="F677" s="64">
        <v>682</v>
      </c>
      <c r="G677" s="67">
        <v>677</v>
      </c>
    </row>
    <row r="678" spans="1:7" x14ac:dyDescent="0.25">
      <c r="A678" s="62" t="s">
        <v>2446</v>
      </c>
      <c r="B678" s="62">
        <v>682</v>
      </c>
      <c r="C678" s="62">
        <v>1674</v>
      </c>
      <c r="D678" s="63" t="s">
        <v>769</v>
      </c>
      <c r="E678" s="64" t="s">
        <v>24</v>
      </c>
      <c r="F678" s="64">
        <v>683</v>
      </c>
      <c r="G678" s="67">
        <v>678</v>
      </c>
    </row>
    <row r="679" spans="1:7" x14ac:dyDescent="0.25">
      <c r="A679" s="62" t="s">
        <v>2447</v>
      </c>
      <c r="B679" s="62">
        <v>683</v>
      </c>
      <c r="C679" s="62">
        <v>1675</v>
      </c>
      <c r="D679" s="63" t="s">
        <v>770</v>
      </c>
      <c r="E679" s="64" t="s">
        <v>24</v>
      </c>
      <c r="F679" s="64">
        <v>684</v>
      </c>
      <c r="G679" s="67">
        <v>679</v>
      </c>
    </row>
    <row r="680" spans="1:7" x14ac:dyDescent="0.25">
      <c r="A680" s="62" t="s">
        <v>2448</v>
      </c>
      <c r="B680" s="62">
        <v>684</v>
      </c>
      <c r="C680" s="62">
        <v>1676</v>
      </c>
      <c r="D680" s="63" t="s">
        <v>771</v>
      </c>
      <c r="E680" s="64" t="s">
        <v>24</v>
      </c>
      <c r="F680" s="64">
        <v>685</v>
      </c>
      <c r="G680" s="67">
        <v>680</v>
      </c>
    </row>
    <row r="681" spans="1:7" x14ac:dyDescent="0.25">
      <c r="A681" s="62" t="s">
        <v>2449</v>
      </c>
      <c r="B681" s="62">
        <v>685</v>
      </c>
      <c r="C681" s="62">
        <v>1677</v>
      </c>
      <c r="D681" s="63" t="s">
        <v>772</v>
      </c>
      <c r="E681" s="64" t="s">
        <v>24</v>
      </c>
      <c r="F681" s="64">
        <v>686</v>
      </c>
      <c r="G681" s="67">
        <v>681</v>
      </c>
    </row>
    <row r="682" spans="1:7" x14ac:dyDescent="0.25">
      <c r="A682" s="62" t="s">
        <v>2450</v>
      </c>
      <c r="B682" s="62">
        <v>686</v>
      </c>
      <c r="C682" s="62">
        <v>1678</v>
      </c>
      <c r="D682" s="63" t="s">
        <v>773</v>
      </c>
      <c r="E682" s="64" t="s">
        <v>93</v>
      </c>
      <c r="F682" s="64">
        <v>687</v>
      </c>
      <c r="G682" s="67">
        <v>682</v>
      </c>
    </row>
    <row r="683" spans="1:7" x14ac:dyDescent="0.25">
      <c r="A683" s="62" t="s">
        <v>2451</v>
      </c>
      <c r="B683" s="62">
        <v>687</v>
      </c>
      <c r="C683" s="62">
        <v>1679</v>
      </c>
      <c r="D683" s="63" t="s">
        <v>774</v>
      </c>
      <c r="E683" s="64" t="s">
        <v>93</v>
      </c>
      <c r="F683" s="64">
        <v>688</v>
      </c>
      <c r="G683" s="67">
        <v>683</v>
      </c>
    </row>
    <row r="684" spans="1:7" x14ac:dyDescent="0.25">
      <c r="A684" s="62" t="s">
        <v>2452</v>
      </c>
      <c r="B684" s="62">
        <v>688</v>
      </c>
      <c r="C684" s="62">
        <v>1680</v>
      </c>
      <c r="D684" s="63" t="s">
        <v>775</v>
      </c>
      <c r="E684" s="64" t="s">
        <v>24</v>
      </c>
      <c r="F684" s="64">
        <v>689</v>
      </c>
      <c r="G684" s="67">
        <v>684</v>
      </c>
    </row>
    <row r="685" spans="1:7" x14ac:dyDescent="0.25">
      <c r="A685" s="62" t="s">
        <v>2453</v>
      </c>
      <c r="B685" s="62">
        <v>689</v>
      </c>
      <c r="C685" s="62">
        <v>1681</v>
      </c>
      <c r="D685" s="63" t="s">
        <v>776</v>
      </c>
      <c r="E685" s="64" t="s">
        <v>24</v>
      </c>
      <c r="F685" s="64">
        <v>690</v>
      </c>
      <c r="G685" s="67">
        <v>685</v>
      </c>
    </row>
    <row r="686" spans="1:7" x14ac:dyDescent="0.25">
      <c r="A686" s="62" t="s">
        <v>2454</v>
      </c>
      <c r="B686" s="62">
        <v>690</v>
      </c>
      <c r="C686" s="62">
        <v>1682</v>
      </c>
      <c r="D686" s="63" t="s">
        <v>777</v>
      </c>
      <c r="E686" s="64" t="s">
        <v>24</v>
      </c>
      <c r="F686" s="64">
        <v>691</v>
      </c>
      <c r="G686" s="67">
        <v>686</v>
      </c>
    </row>
    <row r="687" spans="1:7" x14ac:dyDescent="0.25">
      <c r="A687" s="62" t="s">
        <v>2455</v>
      </c>
      <c r="B687" s="62">
        <v>691</v>
      </c>
      <c r="C687" s="62">
        <v>1683</v>
      </c>
      <c r="D687" s="63" t="s">
        <v>778</v>
      </c>
      <c r="E687" s="64" t="s">
        <v>24</v>
      </c>
      <c r="F687" s="64">
        <v>692</v>
      </c>
      <c r="G687" s="67">
        <v>687</v>
      </c>
    </row>
    <row r="688" spans="1:7" x14ac:dyDescent="0.25">
      <c r="A688" s="62" t="s">
        <v>2456</v>
      </c>
      <c r="B688" s="62">
        <v>692</v>
      </c>
      <c r="C688" s="62">
        <v>1684</v>
      </c>
      <c r="D688" s="63" t="s">
        <v>779</v>
      </c>
      <c r="E688" s="64" t="s">
        <v>24</v>
      </c>
      <c r="F688" s="64">
        <v>693</v>
      </c>
      <c r="G688" s="67">
        <v>688</v>
      </c>
    </row>
    <row r="689" spans="1:7" x14ac:dyDescent="0.25">
      <c r="A689" s="62" t="s">
        <v>2457</v>
      </c>
      <c r="B689" s="62">
        <v>693</v>
      </c>
      <c r="C689" s="62">
        <v>1685</v>
      </c>
      <c r="D689" s="63" t="s">
        <v>780</v>
      </c>
      <c r="E689" s="64" t="s">
        <v>24</v>
      </c>
      <c r="F689" s="64">
        <v>694</v>
      </c>
      <c r="G689" s="67">
        <v>689</v>
      </c>
    </row>
    <row r="690" spans="1:7" x14ac:dyDescent="0.25">
      <c r="A690" s="62" t="s">
        <v>2458</v>
      </c>
      <c r="B690" s="62">
        <v>694</v>
      </c>
      <c r="C690" s="62">
        <v>1686</v>
      </c>
      <c r="D690" s="63" t="s">
        <v>781</v>
      </c>
      <c r="E690" s="64" t="s">
        <v>24</v>
      </c>
      <c r="F690" s="64">
        <v>695</v>
      </c>
      <c r="G690" s="67">
        <v>690</v>
      </c>
    </row>
    <row r="691" spans="1:7" x14ac:dyDescent="0.25">
      <c r="A691" s="62" t="s">
        <v>2459</v>
      </c>
      <c r="B691" s="62">
        <v>695</v>
      </c>
      <c r="C691" s="62">
        <v>1687</v>
      </c>
      <c r="D691" s="63" t="s">
        <v>782</v>
      </c>
      <c r="E691" s="64" t="s">
        <v>24</v>
      </c>
      <c r="F691" s="64">
        <v>696</v>
      </c>
      <c r="G691" s="67">
        <v>691</v>
      </c>
    </row>
    <row r="692" spans="1:7" x14ac:dyDescent="0.25">
      <c r="A692" s="62" t="s">
        <v>2460</v>
      </c>
      <c r="B692" s="62">
        <v>696</v>
      </c>
      <c r="C692" s="62">
        <v>1688</v>
      </c>
      <c r="D692" s="63" t="s">
        <v>783</v>
      </c>
      <c r="E692" s="64" t="s">
        <v>24</v>
      </c>
      <c r="F692" s="64">
        <v>697</v>
      </c>
      <c r="G692" s="67">
        <v>692</v>
      </c>
    </row>
    <row r="693" spans="1:7" x14ac:dyDescent="0.25">
      <c r="A693" s="62" t="s">
        <v>2461</v>
      </c>
      <c r="B693" s="62">
        <v>697</v>
      </c>
      <c r="C693" s="62">
        <v>1689</v>
      </c>
      <c r="D693" s="63" t="s">
        <v>784</v>
      </c>
      <c r="E693" s="64" t="s">
        <v>24</v>
      </c>
      <c r="F693" s="64">
        <v>698</v>
      </c>
      <c r="G693" s="67">
        <v>693</v>
      </c>
    </row>
    <row r="694" spans="1:7" x14ac:dyDescent="0.25">
      <c r="A694" s="62" t="s">
        <v>2462</v>
      </c>
      <c r="B694" s="62">
        <v>698</v>
      </c>
      <c r="C694" s="62">
        <v>1690</v>
      </c>
      <c r="D694" s="63" t="s">
        <v>785</v>
      </c>
      <c r="E694" s="64" t="s">
        <v>24</v>
      </c>
      <c r="F694" s="64">
        <v>699</v>
      </c>
      <c r="G694" s="67">
        <v>694</v>
      </c>
    </row>
    <row r="695" spans="1:7" x14ac:dyDescent="0.25">
      <c r="A695" s="62" t="s">
        <v>2463</v>
      </c>
      <c r="B695" s="62">
        <v>699</v>
      </c>
      <c r="C695" s="62">
        <v>1691</v>
      </c>
      <c r="D695" s="63" t="s">
        <v>786</v>
      </c>
      <c r="E695" s="64" t="s">
        <v>24</v>
      </c>
      <c r="F695" s="64">
        <v>700</v>
      </c>
      <c r="G695" s="67">
        <v>695</v>
      </c>
    </row>
    <row r="696" spans="1:7" x14ac:dyDescent="0.25">
      <c r="A696" s="62" t="s">
        <v>2464</v>
      </c>
      <c r="B696" s="62">
        <v>700</v>
      </c>
      <c r="C696" s="62">
        <v>1692</v>
      </c>
      <c r="D696" s="63" t="s">
        <v>787</v>
      </c>
      <c r="E696" s="64" t="s">
        <v>24</v>
      </c>
      <c r="F696" s="64">
        <v>701</v>
      </c>
      <c r="G696" s="67">
        <v>696</v>
      </c>
    </row>
    <row r="697" spans="1:7" x14ac:dyDescent="0.25">
      <c r="A697" s="62" t="s">
        <v>2465</v>
      </c>
      <c r="B697" s="62">
        <v>701</v>
      </c>
      <c r="C697" s="62">
        <v>1693</v>
      </c>
      <c r="D697" s="63" t="s">
        <v>788</v>
      </c>
      <c r="E697" s="64" t="s">
        <v>24</v>
      </c>
      <c r="F697" s="64">
        <v>702</v>
      </c>
      <c r="G697" s="67">
        <v>697</v>
      </c>
    </row>
    <row r="698" spans="1:7" x14ac:dyDescent="0.25">
      <c r="A698" s="62" t="s">
        <v>2466</v>
      </c>
      <c r="B698" s="62">
        <v>702</v>
      </c>
      <c r="C698" s="62">
        <v>1694</v>
      </c>
      <c r="D698" s="63" t="s">
        <v>790</v>
      </c>
      <c r="E698" s="64" t="s">
        <v>24</v>
      </c>
      <c r="F698" s="64">
        <v>703</v>
      </c>
      <c r="G698" s="67">
        <v>698</v>
      </c>
    </row>
    <row r="699" spans="1:7" x14ac:dyDescent="0.25">
      <c r="A699" s="62" t="s">
        <v>2467</v>
      </c>
      <c r="B699" s="62">
        <v>703</v>
      </c>
      <c r="C699" s="62">
        <v>1695</v>
      </c>
      <c r="D699" s="63" t="s">
        <v>791</v>
      </c>
      <c r="E699" s="64" t="s">
        <v>24</v>
      </c>
      <c r="F699" s="64">
        <v>704</v>
      </c>
      <c r="G699" s="67">
        <v>699</v>
      </c>
    </row>
    <row r="700" spans="1:7" x14ac:dyDescent="0.25">
      <c r="A700" s="62" t="s">
        <v>2468</v>
      </c>
      <c r="B700" s="62">
        <v>704</v>
      </c>
      <c r="C700" s="62">
        <v>1696</v>
      </c>
      <c r="D700" s="63" t="s">
        <v>792</v>
      </c>
      <c r="E700" s="64" t="s">
        <v>55</v>
      </c>
      <c r="F700" s="64">
        <v>705</v>
      </c>
      <c r="G700" s="67">
        <v>700</v>
      </c>
    </row>
    <row r="701" spans="1:7" x14ac:dyDescent="0.25">
      <c r="A701" s="62" t="s">
        <v>2469</v>
      </c>
      <c r="B701" s="62">
        <v>705</v>
      </c>
      <c r="C701" s="62">
        <v>1697</v>
      </c>
      <c r="D701" s="63" t="s">
        <v>793</v>
      </c>
      <c r="E701" s="64" t="s">
        <v>24</v>
      </c>
      <c r="F701" s="64">
        <v>706</v>
      </c>
      <c r="G701" s="67">
        <v>701</v>
      </c>
    </row>
    <row r="702" spans="1:7" x14ac:dyDescent="0.25">
      <c r="A702" s="62" t="s">
        <v>2470</v>
      </c>
      <c r="B702" s="62">
        <v>706</v>
      </c>
      <c r="C702" s="62">
        <v>1698</v>
      </c>
      <c r="D702" s="63" t="s">
        <v>794</v>
      </c>
      <c r="E702" s="64" t="s">
        <v>24</v>
      </c>
      <c r="F702" s="64">
        <v>707</v>
      </c>
      <c r="G702" s="67">
        <v>702</v>
      </c>
    </row>
    <row r="703" spans="1:7" x14ac:dyDescent="0.25">
      <c r="A703" s="62" t="s">
        <v>2471</v>
      </c>
      <c r="B703" s="62">
        <v>707</v>
      </c>
      <c r="C703" s="62">
        <v>1699</v>
      </c>
      <c r="D703" s="63" t="s">
        <v>795</v>
      </c>
      <c r="E703" s="64" t="s">
        <v>24</v>
      </c>
      <c r="F703" s="64">
        <v>708</v>
      </c>
      <c r="G703" s="67">
        <v>703</v>
      </c>
    </row>
    <row r="704" spans="1:7" x14ac:dyDescent="0.25">
      <c r="A704" s="62" t="s">
        <v>2472</v>
      </c>
      <c r="B704" s="62">
        <v>708</v>
      </c>
      <c r="C704" s="62">
        <v>1700</v>
      </c>
      <c r="D704" s="63" t="s">
        <v>796</v>
      </c>
      <c r="E704" s="64" t="s">
        <v>24</v>
      </c>
      <c r="F704" s="64">
        <v>709</v>
      </c>
      <c r="G704" s="67">
        <v>704</v>
      </c>
    </row>
    <row r="705" spans="1:7" x14ac:dyDescent="0.25">
      <c r="A705" s="62" t="s">
        <v>2473</v>
      </c>
      <c r="B705" s="62">
        <v>709</v>
      </c>
      <c r="C705" s="62">
        <v>1701</v>
      </c>
      <c r="D705" s="63" t="s">
        <v>797</v>
      </c>
      <c r="E705" s="64" t="s">
        <v>55</v>
      </c>
      <c r="F705" s="64">
        <v>710</v>
      </c>
      <c r="G705" s="67">
        <v>705</v>
      </c>
    </row>
    <row r="706" spans="1:7" x14ac:dyDescent="0.25">
      <c r="A706" s="62" t="s">
        <v>2474</v>
      </c>
      <c r="B706" s="62">
        <v>710</v>
      </c>
      <c r="C706" s="62">
        <v>1702</v>
      </c>
      <c r="D706" s="63" t="s">
        <v>798</v>
      </c>
      <c r="E706" s="64" t="s">
        <v>55</v>
      </c>
      <c r="F706" s="64">
        <v>711</v>
      </c>
      <c r="G706" s="67">
        <v>706</v>
      </c>
    </row>
    <row r="707" spans="1:7" x14ac:dyDescent="0.25">
      <c r="A707" s="62" t="s">
        <v>2475</v>
      </c>
      <c r="B707" s="62">
        <v>711</v>
      </c>
      <c r="C707" s="62">
        <v>1703</v>
      </c>
      <c r="D707" s="63" t="s">
        <v>799</v>
      </c>
      <c r="E707" s="64" t="s">
        <v>55</v>
      </c>
      <c r="F707" s="64">
        <v>712</v>
      </c>
      <c r="G707" s="67">
        <v>707</v>
      </c>
    </row>
    <row r="708" spans="1:7" x14ac:dyDescent="0.25">
      <c r="A708" s="62" t="s">
        <v>2476</v>
      </c>
      <c r="B708" s="62">
        <v>712</v>
      </c>
      <c r="C708" s="62">
        <v>1704</v>
      </c>
      <c r="D708" s="63" t="s">
        <v>800</v>
      </c>
      <c r="E708" s="64" t="s">
        <v>55</v>
      </c>
      <c r="F708" s="64">
        <v>713</v>
      </c>
      <c r="G708" s="67">
        <v>708</v>
      </c>
    </row>
    <row r="709" spans="1:7" x14ac:dyDescent="0.25">
      <c r="A709" s="62" t="s">
        <v>2477</v>
      </c>
      <c r="B709" s="62">
        <v>713</v>
      </c>
      <c r="C709" s="62">
        <v>1705</v>
      </c>
      <c r="D709" s="63" t="s">
        <v>801</v>
      </c>
      <c r="E709" s="64" t="s">
        <v>24</v>
      </c>
      <c r="F709" s="64">
        <v>714</v>
      </c>
      <c r="G709" s="67">
        <v>709</v>
      </c>
    </row>
    <row r="710" spans="1:7" x14ac:dyDescent="0.25">
      <c r="A710" s="62" t="s">
        <v>2478</v>
      </c>
      <c r="B710" s="62">
        <v>714</v>
      </c>
      <c r="C710" s="62">
        <v>1706</v>
      </c>
      <c r="D710" s="63" t="s">
        <v>802</v>
      </c>
      <c r="E710" s="64" t="s">
        <v>55</v>
      </c>
      <c r="F710" s="64">
        <v>715</v>
      </c>
      <c r="G710" s="67">
        <v>710</v>
      </c>
    </row>
    <row r="711" spans="1:7" x14ac:dyDescent="0.25">
      <c r="A711" s="62" t="s">
        <v>2479</v>
      </c>
      <c r="B711" s="62">
        <v>715</v>
      </c>
      <c r="C711" s="62">
        <v>1707</v>
      </c>
      <c r="D711" s="63" t="s">
        <v>803</v>
      </c>
      <c r="E711" s="64" t="s">
        <v>24</v>
      </c>
      <c r="F711" s="64">
        <v>716</v>
      </c>
      <c r="G711" s="67">
        <v>711</v>
      </c>
    </row>
    <row r="712" spans="1:7" x14ac:dyDescent="0.25">
      <c r="A712" s="62" t="s">
        <v>2480</v>
      </c>
      <c r="B712" s="62">
        <v>716</v>
      </c>
      <c r="C712" s="62">
        <v>1708</v>
      </c>
      <c r="D712" s="63" t="s">
        <v>805</v>
      </c>
      <c r="E712" s="64" t="s">
        <v>24</v>
      </c>
      <c r="F712" s="64">
        <v>717</v>
      </c>
      <c r="G712" s="67">
        <v>712</v>
      </c>
    </row>
    <row r="713" spans="1:7" x14ac:dyDescent="0.25">
      <c r="A713" s="62" t="s">
        <v>2481</v>
      </c>
      <c r="B713" s="62">
        <v>717</v>
      </c>
      <c r="C713" s="62">
        <v>1709</v>
      </c>
      <c r="D713" s="63" t="s">
        <v>806</v>
      </c>
      <c r="E713" s="64" t="s">
        <v>24</v>
      </c>
      <c r="F713" s="64">
        <v>718</v>
      </c>
      <c r="G713" s="67">
        <v>713</v>
      </c>
    </row>
    <row r="714" spans="1:7" x14ac:dyDescent="0.25">
      <c r="A714" s="62" t="s">
        <v>2482</v>
      </c>
      <c r="B714" s="62">
        <v>718</v>
      </c>
      <c r="C714" s="62">
        <v>1710</v>
      </c>
      <c r="D714" s="63" t="s">
        <v>807</v>
      </c>
      <c r="E714" s="64" t="s">
        <v>24</v>
      </c>
      <c r="F714" s="64">
        <v>719</v>
      </c>
      <c r="G714" s="67">
        <v>714</v>
      </c>
    </row>
    <row r="715" spans="1:7" x14ac:dyDescent="0.25">
      <c r="A715" s="62" t="s">
        <v>2483</v>
      </c>
      <c r="B715" s="62">
        <v>719</v>
      </c>
      <c r="C715" s="62">
        <v>1711</v>
      </c>
      <c r="D715" s="63" t="s">
        <v>808</v>
      </c>
      <c r="E715" s="64" t="s">
        <v>24</v>
      </c>
      <c r="F715" s="64">
        <v>720</v>
      </c>
      <c r="G715" s="67">
        <v>715</v>
      </c>
    </row>
    <row r="716" spans="1:7" x14ac:dyDescent="0.25">
      <c r="A716" s="62" t="s">
        <v>2484</v>
      </c>
      <c r="B716" s="62">
        <v>720</v>
      </c>
      <c r="C716" s="62">
        <v>1712</v>
      </c>
      <c r="D716" s="63" t="s">
        <v>809</v>
      </c>
      <c r="E716" s="64" t="s">
        <v>24</v>
      </c>
      <c r="F716" s="64">
        <v>721</v>
      </c>
      <c r="G716" s="67">
        <v>716</v>
      </c>
    </row>
    <row r="717" spans="1:7" x14ac:dyDescent="0.25">
      <c r="A717" s="62" t="s">
        <v>2485</v>
      </c>
      <c r="B717" s="62">
        <v>721</v>
      </c>
      <c r="C717" s="62">
        <v>1713</v>
      </c>
      <c r="D717" s="63" t="s">
        <v>810</v>
      </c>
      <c r="E717" s="64"/>
      <c r="F717" s="64">
        <v>722</v>
      </c>
      <c r="G717" s="67">
        <v>717</v>
      </c>
    </row>
    <row r="718" spans="1:7" x14ac:dyDescent="0.25">
      <c r="A718" s="62" t="s">
        <v>2486</v>
      </c>
      <c r="B718" s="62">
        <v>722</v>
      </c>
      <c r="C718" s="62">
        <v>1714</v>
      </c>
      <c r="D718" s="63" t="s">
        <v>811</v>
      </c>
      <c r="E718" s="64" t="s">
        <v>24</v>
      </c>
      <c r="F718" s="64">
        <v>723</v>
      </c>
      <c r="G718" s="67">
        <v>718</v>
      </c>
    </row>
    <row r="719" spans="1:7" x14ac:dyDescent="0.25">
      <c r="A719" s="62" t="s">
        <v>2487</v>
      </c>
      <c r="B719" s="62">
        <v>723</v>
      </c>
      <c r="C719" s="62">
        <v>1715</v>
      </c>
      <c r="D719" s="63" t="s">
        <v>812</v>
      </c>
      <c r="E719" s="64" t="s">
        <v>24</v>
      </c>
      <c r="F719" s="64">
        <v>724</v>
      </c>
      <c r="G719" s="67">
        <v>719</v>
      </c>
    </row>
    <row r="720" spans="1:7" x14ac:dyDescent="0.25">
      <c r="A720" s="62" t="s">
        <v>2488</v>
      </c>
      <c r="B720" s="62">
        <v>724</v>
      </c>
      <c r="C720" s="62">
        <v>1716</v>
      </c>
      <c r="D720" s="63" t="s">
        <v>813</v>
      </c>
      <c r="E720" s="64" t="s">
        <v>24</v>
      </c>
      <c r="F720" s="64">
        <v>725</v>
      </c>
      <c r="G720" s="67">
        <v>720</v>
      </c>
    </row>
    <row r="721" spans="1:7" x14ac:dyDescent="0.25">
      <c r="A721" s="62" t="s">
        <v>2489</v>
      </c>
      <c r="B721" s="62">
        <v>725</v>
      </c>
      <c r="C721" s="62">
        <v>1717</v>
      </c>
      <c r="D721" s="63" t="s">
        <v>815</v>
      </c>
      <c r="E721" s="64" t="s">
        <v>24</v>
      </c>
      <c r="F721" s="64">
        <v>726</v>
      </c>
      <c r="G721" s="67">
        <v>721</v>
      </c>
    </row>
    <row r="722" spans="1:7" x14ac:dyDescent="0.25">
      <c r="A722" s="62" t="s">
        <v>2490</v>
      </c>
      <c r="B722" s="62">
        <v>726</v>
      </c>
      <c r="C722" s="62">
        <v>1718</v>
      </c>
      <c r="D722" s="63" t="s">
        <v>816</v>
      </c>
      <c r="E722" s="64" t="s">
        <v>24</v>
      </c>
      <c r="F722" s="64">
        <v>725</v>
      </c>
      <c r="G722" s="67">
        <v>722</v>
      </c>
    </row>
    <row r="723" spans="1:7" x14ac:dyDescent="0.25">
      <c r="A723" s="62" t="s">
        <v>2491</v>
      </c>
      <c r="B723" s="62">
        <v>727</v>
      </c>
      <c r="C723" s="62">
        <v>1719</v>
      </c>
      <c r="D723" s="63" t="s">
        <v>817</v>
      </c>
      <c r="E723" s="64" t="s">
        <v>24</v>
      </c>
      <c r="F723" s="64">
        <v>728</v>
      </c>
      <c r="G723" s="67">
        <v>723</v>
      </c>
    </row>
    <row r="724" spans="1:7" x14ac:dyDescent="0.25">
      <c r="A724" s="62" t="s">
        <v>2492</v>
      </c>
      <c r="B724" s="62">
        <v>728</v>
      </c>
      <c r="C724" s="62">
        <v>1720</v>
      </c>
      <c r="D724" s="63" t="s">
        <v>818</v>
      </c>
      <c r="E724" s="64" t="s">
        <v>24</v>
      </c>
      <c r="F724" s="64">
        <v>729</v>
      </c>
      <c r="G724" s="67">
        <v>724</v>
      </c>
    </row>
    <row r="725" spans="1:7" x14ac:dyDescent="0.25">
      <c r="A725" s="62" t="s">
        <v>2493</v>
      </c>
      <c r="B725" s="62">
        <v>729</v>
      </c>
      <c r="C725" s="62">
        <v>1721</v>
      </c>
      <c r="D725" s="63" t="s">
        <v>819</v>
      </c>
      <c r="E725" s="64" t="s">
        <v>24</v>
      </c>
      <c r="F725" s="64">
        <v>730</v>
      </c>
      <c r="G725" s="67">
        <v>725</v>
      </c>
    </row>
    <row r="726" spans="1:7" x14ac:dyDescent="0.25">
      <c r="A726" s="62" t="s">
        <v>2494</v>
      </c>
      <c r="B726" s="62">
        <v>730</v>
      </c>
      <c r="C726" s="62">
        <v>1722</v>
      </c>
      <c r="D726" s="63" t="s">
        <v>820</v>
      </c>
      <c r="E726" s="64" t="s">
        <v>24</v>
      </c>
      <c r="F726" s="64">
        <v>731</v>
      </c>
      <c r="G726" s="67">
        <v>726</v>
      </c>
    </row>
    <row r="727" spans="1:7" x14ac:dyDescent="0.25">
      <c r="A727" s="62" t="s">
        <v>2495</v>
      </c>
      <c r="B727" s="62">
        <v>731</v>
      </c>
      <c r="C727" s="62">
        <v>1723</v>
      </c>
      <c r="D727" s="63" t="s">
        <v>821</v>
      </c>
      <c r="E727" s="64" t="s">
        <v>24</v>
      </c>
      <c r="F727" s="64">
        <v>732</v>
      </c>
      <c r="G727" s="67">
        <v>727</v>
      </c>
    </row>
    <row r="728" spans="1:7" x14ac:dyDescent="0.25">
      <c r="A728" s="62" t="s">
        <v>2496</v>
      </c>
      <c r="B728" s="62">
        <v>732</v>
      </c>
      <c r="C728" s="62">
        <v>1724</v>
      </c>
      <c r="D728" s="63" t="s">
        <v>822</v>
      </c>
      <c r="E728" s="64" t="s">
        <v>24</v>
      </c>
      <c r="F728" s="64">
        <v>733</v>
      </c>
      <c r="G728" s="67">
        <v>728</v>
      </c>
    </row>
    <row r="729" spans="1:7" x14ac:dyDescent="0.25">
      <c r="A729" s="62" t="s">
        <v>2497</v>
      </c>
      <c r="B729" s="62">
        <v>733</v>
      </c>
      <c r="C729" s="62">
        <v>1725</v>
      </c>
      <c r="D729" s="63" t="s">
        <v>823</v>
      </c>
      <c r="E729" s="64" t="s">
        <v>24</v>
      </c>
      <c r="F729" s="64">
        <v>734</v>
      </c>
      <c r="G729" s="67">
        <v>729</v>
      </c>
    </row>
    <row r="730" spans="1:7" x14ac:dyDescent="0.25">
      <c r="A730" s="62" t="s">
        <v>2498</v>
      </c>
      <c r="B730" s="62">
        <v>734</v>
      </c>
      <c r="C730" s="62">
        <v>1726</v>
      </c>
      <c r="D730" s="63" t="s">
        <v>824</v>
      </c>
      <c r="E730" s="64" t="s">
        <v>24</v>
      </c>
      <c r="F730" s="64">
        <v>735</v>
      </c>
      <c r="G730" s="67">
        <v>730</v>
      </c>
    </row>
    <row r="731" spans="1:7" x14ac:dyDescent="0.25">
      <c r="A731" s="62" t="s">
        <v>2499</v>
      </c>
      <c r="B731" s="62">
        <v>735</v>
      </c>
      <c r="C731" s="62">
        <v>1727</v>
      </c>
      <c r="D731" s="63" t="s">
        <v>825</v>
      </c>
      <c r="E731" s="64" t="s">
        <v>24</v>
      </c>
      <c r="F731" s="64">
        <v>736</v>
      </c>
      <c r="G731" s="67">
        <v>731</v>
      </c>
    </row>
    <row r="732" spans="1:7" x14ac:dyDescent="0.25">
      <c r="A732" s="62" t="s">
        <v>2500</v>
      </c>
      <c r="B732" s="62">
        <v>736</v>
      </c>
      <c r="C732" s="62">
        <v>1728</v>
      </c>
      <c r="D732" s="63" t="s">
        <v>827</v>
      </c>
      <c r="E732" s="64" t="s">
        <v>24</v>
      </c>
      <c r="F732" s="64">
        <v>737</v>
      </c>
      <c r="G732" s="67">
        <v>732</v>
      </c>
    </row>
    <row r="733" spans="1:7" x14ac:dyDescent="0.25">
      <c r="A733" s="62" t="s">
        <v>2501</v>
      </c>
      <c r="B733" s="62">
        <v>737</v>
      </c>
      <c r="C733" s="62">
        <v>1729</v>
      </c>
      <c r="D733" s="63" t="s">
        <v>828</v>
      </c>
      <c r="E733" s="64" t="s">
        <v>24</v>
      </c>
      <c r="F733" s="64">
        <v>738</v>
      </c>
      <c r="G733" s="67">
        <v>733</v>
      </c>
    </row>
    <row r="734" spans="1:7" x14ac:dyDescent="0.25">
      <c r="A734" s="62" t="s">
        <v>2502</v>
      </c>
      <c r="B734" s="62">
        <v>738</v>
      </c>
      <c r="C734" s="62">
        <v>1730</v>
      </c>
      <c r="D734" s="63" t="s">
        <v>829</v>
      </c>
      <c r="E734" s="64" t="s">
        <v>24</v>
      </c>
      <c r="F734" s="64">
        <v>739</v>
      </c>
      <c r="G734" s="67">
        <v>734</v>
      </c>
    </row>
    <row r="735" spans="1:7" x14ac:dyDescent="0.25">
      <c r="A735" s="62" t="s">
        <v>2503</v>
      </c>
      <c r="B735" s="62">
        <v>739</v>
      </c>
      <c r="C735" s="62">
        <v>1731</v>
      </c>
      <c r="D735" s="63" t="s">
        <v>830</v>
      </c>
      <c r="E735" s="64" t="s">
        <v>24</v>
      </c>
      <c r="F735" s="64">
        <v>740</v>
      </c>
      <c r="G735" s="67">
        <v>735</v>
      </c>
    </row>
    <row r="736" spans="1:7" x14ac:dyDescent="0.25">
      <c r="A736" s="62" t="s">
        <v>2504</v>
      </c>
      <c r="B736" s="62">
        <v>740</v>
      </c>
      <c r="C736" s="62">
        <v>1732</v>
      </c>
      <c r="D736" s="63" t="s">
        <v>831</v>
      </c>
      <c r="E736" s="64" t="s">
        <v>24</v>
      </c>
      <c r="F736" s="64">
        <v>741</v>
      </c>
      <c r="G736" s="67">
        <v>736</v>
      </c>
    </row>
    <row r="737" spans="1:7" x14ac:dyDescent="0.25">
      <c r="A737" s="62" t="s">
        <v>2505</v>
      </c>
      <c r="B737" s="62">
        <v>741</v>
      </c>
      <c r="C737" s="62">
        <v>1733</v>
      </c>
      <c r="D737" s="63" t="s">
        <v>832</v>
      </c>
      <c r="E737" s="64" t="s">
        <v>24</v>
      </c>
      <c r="F737" s="64">
        <v>742</v>
      </c>
      <c r="G737" s="67">
        <v>737</v>
      </c>
    </row>
    <row r="738" spans="1:7" x14ac:dyDescent="0.25">
      <c r="A738" s="62" t="s">
        <v>2506</v>
      </c>
      <c r="B738" s="62">
        <v>742</v>
      </c>
      <c r="C738" s="62">
        <v>1734</v>
      </c>
      <c r="D738" s="63" t="s">
        <v>833</v>
      </c>
      <c r="E738" s="64" t="s">
        <v>24</v>
      </c>
      <c r="F738" s="64">
        <v>743</v>
      </c>
      <c r="G738" s="67">
        <v>738</v>
      </c>
    </row>
    <row r="739" spans="1:7" x14ac:dyDescent="0.25">
      <c r="A739" s="62" t="s">
        <v>2507</v>
      </c>
      <c r="B739" s="62">
        <v>743</v>
      </c>
      <c r="C739" s="62">
        <v>1735</v>
      </c>
      <c r="D739" s="63" t="s">
        <v>834</v>
      </c>
      <c r="E739" s="64" t="s">
        <v>24</v>
      </c>
      <c r="F739" s="64">
        <v>744</v>
      </c>
      <c r="G739" s="67">
        <v>739</v>
      </c>
    </row>
    <row r="740" spans="1:7" x14ac:dyDescent="0.25">
      <c r="A740" s="62" t="s">
        <v>2508</v>
      </c>
      <c r="B740" s="62">
        <v>745</v>
      </c>
      <c r="C740" s="62">
        <v>1736</v>
      </c>
      <c r="D740" s="63" t="s">
        <v>835</v>
      </c>
      <c r="E740" s="64"/>
      <c r="F740" s="64">
        <v>745</v>
      </c>
      <c r="G740" s="67">
        <v>740</v>
      </c>
    </row>
    <row r="741" spans="1:7" x14ac:dyDescent="0.25">
      <c r="A741" s="62" t="s">
        <v>2509</v>
      </c>
      <c r="B741" s="62">
        <v>746</v>
      </c>
      <c r="C741" s="62">
        <v>1737</v>
      </c>
      <c r="D741" s="63" t="s">
        <v>836</v>
      </c>
      <c r="E741" s="64" t="s">
        <v>24</v>
      </c>
      <c r="F741" s="64">
        <v>746</v>
      </c>
      <c r="G741" s="67">
        <v>741</v>
      </c>
    </row>
    <row r="742" spans="1:7" x14ac:dyDescent="0.25">
      <c r="A742" s="62" t="s">
        <v>2510</v>
      </c>
      <c r="B742" s="62">
        <v>747</v>
      </c>
      <c r="C742" s="62">
        <v>1738</v>
      </c>
      <c r="D742" s="63" t="s">
        <v>838</v>
      </c>
      <c r="E742" s="64" t="s">
        <v>24</v>
      </c>
      <c r="F742" s="64">
        <v>747</v>
      </c>
      <c r="G742" s="67">
        <v>742</v>
      </c>
    </row>
    <row r="743" spans="1:7" x14ac:dyDescent="0.25">
      <c r="A743" s="62" t="s">
        <v>2511</v>
      </c>
      <c r="B743" s="62">
        <v>748</v>
      </c>
      <c r="C743" s="62">
        <v>1739</v>
      </c>
      <c r="D743" s="63" t="s">
        <v>839</v>
      </c>
      <c r="E743" s="64" t="s">
        <v>24</v>
      </c>
      <c r="F743" s="64">
        <v>748</v>
      </c>
      <c r="G743" s="67">
        <v>743</v>
      </c>
    </row>
    <row r="744" spans="1:7" x14ac:dyDescent="0.25">
      <c r="A744" s="62" t="s">
        <v>2512</v>
      </c>
      <c r="B744" s="62">
        <v>749</v>
      </c>
      <c r="C744" s="62">
        <v>1740</v>
      </c>
      <c r="D744" s="63" t="s">
        <v>840</v>
      </c>
      <c r="E744" s="64" t="s">
        <v>24</v>
      </c>
      <c r="F744" s="64">
        <v>749</v>
      </c>
      <c r="G744" s="67">
        <v>744</v>
      </c>
    </row>
    <row r="745" spans="1:7" x14ac:dyDescent="0.25">
      <c r="A745" s="62" t="s">
        <v>2513</v>
      </c>
      <c r="B745" s="62">
        <v>750</v>
      </c>
      <c r="C745" s="62">
        <v>1741</v>
      </c>
      <c r="D745" s="63" t="s">
        <v>842</v>
      </c>
      <c r="E745" s="64" t="s">
        <v>24</v>
      </c>
      <c r="F745" s="64">
        <v>750</v>
      </c>
      <c r="G745" s="67">
        <v>745</v>
      </c>
    </row>
    <row r="746" spans="1:7" x14ac:dyDescent="0.25">
      <c r="A746" s="62" t="s">
        <v>2514</v>
      </c>
      <c r="B746" s="62">
        <v>751</v>
      </c>
      <c r="C746" s="62">
        <v>1742</v>
      </c>
      <c r="D746" s="63" t="s">
        <v>843</v>
      </c>
      <c r="E746" s="64" t="s">
        <v>24</v>
      </c>
      <c r="F746" s="64">
        <v>751</v>
      </c>
      <c r="G746" s="67">
        <v>746</v>
      </c>
    </row>
    <row r="747" spans="1:7" x14ac:dyDescent="0.25">
      <c r="A747" s="62" t="s">
        <v>2515</v>
      </c>
      <c r="B747" s="62">
        <v>752</v>
      </c>
      <c r="C747" s="62">
        <v>1743</v>
      </c>
      <c r="D747" s="63" t="s">
        <v>844</v>
      </c>
      <c r="E747" s="64" t="s">
        <v>24</v>
      </c>
      <c r="F747" s="64">
        <v>752</v>
      </c>
      <c r="G747" s="67">
        <v>747</v>
      </c>
    </row>
    <row r="748" spans="1:7" x14ac:dyDescent="0.25">
      <c r="A748" s="62" t="s">
        <v>2516</v>
      </c>
      <c r="B748" s="62">
        <v>753</v>
      </c>
      <c r="C748" s="62">
        <v>1744</v>
      </c>
      <c r="D748" s="63" t="s">
        <v>846</v>
      </c>
      <c r="E748" s="64" t="s">
        <v>24</v>
      </c>
      <c r="F748" s="64">
        <v>753</v>
      </c>
      <c r="G748" s="67">
        <v>748</v>
      </c>
    </row>
    <row r="749" spans="1:7" x14ac:dyDescent="0.25">
      <c r="A749" s="62" t="s">
        <v>2517</v>
      </c>
      <c r="B749" s="62">
        <v>754</v>
      </c>
      <c r="C749" s="62">
        <v>1745</v>
      </c>
      <c r="D749" s="63" t="s">
        <v>847</v>
      </c>
      <c r="E749" s="64" t="s">
        <v>24</v>
      </c>
      <c r="F749" s="64">
        <v>754</v>
      </c>
      <c r="G749" s="67">
        <v>749</v>
      </c>
    </row>
    <row r="750" spans="1:7" x14ac:dyDescent="0.25">
      <c r="A750" s="62" t="s">
        <v>2518</v>
      </c>
      <c r="B750" s="62">
        <v>755</v>
      </c>
      <c r="C750" s="62">
        <v>1746</v>
      </c>
      <c r="D750" s="63" t="s">
        <v>849</v>
      </c>
      <c r="E750" s="64" t="s">
        <v>24</v>
      </c>
      <c r="F750" s="64">
        <v>755</v>
      </c>
      <c r="G750" s="67">
        <v>750</v>
      </c>
    </row>
    <row r="751" spans="1:7" x14ac:dyDescent="0.25">
      <c r="A751" s="62" t="s">
        <v>2519</v>
      </c>
      <c r="B751" s="62">
        <v>756</v>
      </c>
      <c r="C751" s="62">
        <v>1747</v>
      </c>
      <c r="D751" s="63" t="s">
        <v>850</v>
      </c>
      <c r="E751" s="64" t="s">
        <v>24</v>
      </c>
      <c r="F751" s="64">
        <v>756</v>
      </c>
      <c r="G751" s="67">
        <v>751</v>
      </c>
    </row>
    <row r="752" spans="1:7" x14ac:dyDescent="0.25">
      <c r="A752" s="62" t="s">
        <v>2520</v>
      </c>
      <c r="B752" s="62">
        <v>757</v>
      </c>
      <c r="C752" s="62">
        <v>1748</v>
      </c>
      <c r="D752" s="63" t="s">
        <v>851</v>
      </c>
      <c r="E752" s="64" t="s">
        <v>24</v>
      </c>
      <c r="F752" s="64">
        <v>757</v>
      </c>
      <c r="G752" s="67">
        <v>752</v>
      </c>
    </row>
    <row r="753" spans="1:7" x14ac:dyDescent="0.25">
      <c r="A753" s="62" t="s">
        <v>2521</v>
      </c>
      <c r="B753" s="62">
        <v>758</v>
      </c>
      <c r="C753" s="62">
        <v>1749</v>
      </c>
      <c r="D753" s="63" t="s">
        <v>852</v>
      </c>
      <c r="E753" s="64" t="s">
        <v>24</v>
      </c>
      <c r="F753" s="64">
        <v>758</v>
      </c>
      <c r="G753" s="67">
        <v>753</v>
      </c>
    </row>
    <row r="754" spans="1:7" x14ac:dyDescent="0.25">
      <c r="A754" s="62" t="s">
        <v>2522</v>
      </c>
      <c r="B754" s="62">
        <v>759</v>
      </c>
      <c r="C754" s="62">
        <v>1750</v>
      </c>
      <c r="D754" s="63" t="s">
        <v>853</v>
      </c>
      <c r="E754" s="64" t="s">
        <v>24</v>
      </c>
      <c r="F754" s="64">
        <v>759</v>
      </c>
      <c r="G754" s="67">
        <v>754</v>
      </c>
    </row>
    <row r="755" spans="1:7" x14ac:dyDescent="0.25">
      <c r="A755" s="62" t="s">
        <v>2523</v>
      </c>
      <c r="B755" s="62">
        <v>760</v>
      </c>
      <c r="C755" s="62">
        <v>1751</v>
      </c>
      <c r="D755" s="63" t="s">
        <v>854</v>
      </c>
      <c r="E755" s="64" t="s">
        <v>24</v>
      </c>
      <c r="F755" s="64">
        <v>760</v>
      </c>
      <c r="G755" s="67">
        <v>755</v>
      </c>
    </row>
    <row r="756" spans="1:7" x14ac:dyDescent="0.25">
      <c r="A756" s="62" t="s">
        <v>2524</v>
      </c>
      <c r="B756" s="62">
        <v>761</v>
      </c>
      <c r="C756" s="62">
        <v>1752</v>
      </c>
      <c r="D756" s="63" t="s">
        <v>855</v>
      </c>
      <c r="E756" s="64" t="s">
        <v>24</v>
      </c>
      <c r="F756" s="64">
        <v>761</v>
      </c>
      <c r="G756" s="67">
        <v>756</v>
      </c>
    </row>
    <row r="757" spans="1:7" x14ac:dyDescent="0.25">
      <c r="A757" s="62" t="s">
        <v>2525</v>
      </c>
      <c r="B757" s="62">
        <v>762</v>
      </c>
      <c r="C757" s="62">
        <v>1753</v>
      </c>
      <c r="D757" s="63" t="s">
        <v>856</v>
      </c>
      <c r="E757" s="64" t="s">
        <v>24</v>
      </c>
      <c r="F757" s="64">
        <v>762</v>
      </c>
      <c r="G757" s="67">
        <v>757</v>
      </c>
    </row>
    <row r="758" spans="1:7" x14ac:dyDescent="0.25">
      <c r="A758" s="62" t="s">
        <v>2526</v>
      </c>
      <c r="B758" s="62">
        <v>763</v>
      </c>
      <c r="C758" s="62">
        <v>1754</v>
      </c>
      <c r="D758" s="63" t="s">
        <v>857</v>
      </c>
      <c r="E758" s="64" t="s">
        <v>24</v>
      </c>
      <c r="F758" s="64">
        <v>763</v>
      </c>
      <c r="G758" s="67">
        <v>758</v>
      </c>
    </row>
    <row r="759" spans="1:7" x14ac:dyDescent="0.25">
      <c r="A759" s="62" t="s">
        <v>2527</v>
      </c>
      <c r="B759" s="62">
        <v>764</v>
      </c>
      <c r="C759" s="62">
        <v>1755</v>
      </c>
      <c r="D759" s="63" t="s">
        <v>858</v>
      </c>
      <c r="E759" s="64" t="s">
        <v>24</v>
      </c>
      <c r="F759" s="64">
        <v>764</v>
      </c>
      <c r="G759" s="67">
        <v>759</v>
      </c>
    </row>
    <row r="760" spans="1:7" x14ac:dyDescent="0.25">
      <c r="A760" s="62" t="s">
        <v>2528</v>
      </c>
      <c r="B760" s="62">
        <v>765</v>
      </c>
      <c r="C760" s="62">
        <v>1756</v>
      </c>
      <c r="D760" s="63" t="s">
        <v>859</v>
      </c>
      <c r="E760" s="64" t="s">
        <v>24</v>
      </c>
      <c r="F760" s="64">
        <v>765</v>
      </c>
      <c r="G760" s="67">
        <v>760</v>
      </c>
    </row>
    <row r="761" spans="1:7" x14ac:dyDescent="0.25">
      <c r="A761" s="62" t="s">
        <v>2529</v>
      </c>
      <c r="B761" s="62">
        <v>766</v>
      </c>
      <c r="C761" s="62">
        <v>1757</v>
      </c>
      <c r="D761" s="63" t="s">
        <v>860</v>
      </c>
      <c r="E761" s="64" t="s">
        <v>24</v>
      </c>
      <c r="F761" s="64">
        <v>766</v>
      </c>
      <c r="G761" s="67">
        <v>761</v>
      </c>
    </row>
    <row r="762" spans="1:7" x14ac:dyDescent="0.25">
      <c r="A762" s="62" t="s">
        <v>2530</v>
      </c>
      <c r="B762" s="62">
        <v>767</v>
      </c>
      <c r="C762" s="62">
        <v>1758</v>
      </c>
      <c r="D762" s="63" t="s">
        <v>861</v>
      </c>
      <c r="E762" s="64" t="s">
        <v>24</v>
      </c>
      <c r="F762" s="64">
        <v>767</v>
      </c>
      <c r="G762" s="67">
        <v>762</v>
      </c>
    </row>
    <row r="763" spans="1:7" x14ac:dyDescent="0.25">
      <c r="A763" s="62" t="s">
        <v>2531</v>
      </c>
      <c r="B763" s="62">
        <v>768</v>
      </c>
      <c r="C763" s="62">
        <v>1759</v>
      </c>
      <c r="D763" s="63" t="s">
        <v>862</v>
      </c>
      <c r="E763" s="64" t="s">
        <v>24</v>
      </c>
      <c r="F763" s="64">
        <v>768</v>
      </c>
      <c r="G763" s="67">
        <v>763</v>
      </c>
    </row>
    <row r="764" spans="1:7" x14ac:dyDescent="0.25">
      <c r="A764" s="62" t="s">
        <v>2532</v>
      </c>
      <c r="B764" s="62">
        <v>769</v>
      </c>
      <c r="C764" s="62">
        <v>1760</v>
      </c>
      <c r="D764" s="63" t="s">
        <v>863</v>
      </c>
      <c r="E764" s="64" t="s">
        <v>93</v>
      </c>
      <c r="F764" s="64">
        <v>769</v>
      </c>
      <c r="G764" s="67">
        <v>764</v>
      </c>
    </row>
    <row r="765" spans="1:7" x14ac:dyDescent="0.25">
      <c r="A765" s="62" t="s">
        <v>2533</v>
      </c>
      <c r="B765" s="62">
        <v>770</v>
      </c>
      <c r="C765" s="62">
        <v>1761</v>
      </c>
      <c r="D765" s="63" t="s">
        <v>864</v>
      </c>
      <c r="E765" s="64" t="s">
        <v>93</v>
      </c>
      <c r="F765" s="64">
        <v>770</v>
      </c>
      <c r="G765" s="67">
        <v>765</v>
      </c>
    </row>
    <row r="766" spans="1:7" x14ac:dyDescent="0.25">
      <c r="A766" s="62" t="s">
        <v>2534</v>
      </c>
      <c r="B766" s="62">
        <v>771</v>
      </c>
      <c r="C766" s="62">
        <v>1762</v>
      </c>
      <c r="D766" s="63" t="s">
        <v>865</v>
      </c>
      <c r="E766" s="64" t="s">
        <v>24</v>
      </c>
      <c r="F766" s="64">
        <v>771</v>
      </c>
      <c r="G766" s="67">
        <v>766</v>
      </c>
    </row>
    <row r="767" spans="1:7" x14ac:dyDescent="0.25">
      <c r="A767" s="62" t="s">
        <v>2535</v>
      </c>
      <c r="B767" s="62">
        <v>772</v>
      </c>
      <c r="C767" s="62">
        <v>1763</v>
      </c>
      <c r="D767" s="63" t="s">
        <v>866</v>
      </c>
      <c r="E767" s="64" t="s">
        <v>24</v>
      </c>
      <c r="F767" s="64">
        <v>772</v>
      </c>
      <c r="G767" s="67">
        <v>767</v>
      </c>
    </row>
    <row r="768" spans="1:7" x14ac:dyDescent="0.25">
      <c r="A768" s="62" t="s">
        <v>2536</v>
      </c>
      <c r="B768" s="62">
        <v>773</v>
      </c>
      <c r="C768" s="62">
        <v>1764</v>
      </c>
      <c r="D768" s="63" t="s">
        <v>867</v>
      </c>
      <c r="E768" s="64" t="s">
        <v>24</v>
      </c>
      <c r="F768" s="64">
        <v>773</v>
      </c>
      <c r="G768" s="67">
        <v>768</v>
      </c>
    </row>
    <row r="769" spans="1:7" x14ac:dyDescent="0.25">
      <c r="A769" s="62" t="s">
        <v>2537</v>
      </c>
      <c r="B769" s="62">
        <v>774</v>
      </c>
      <c r="C769" s="62">
        <v>1765</v>
      </c>
      <c r="D769" s="63" t="s">
        <v>869</v>
      </c>
      <c r="E769" s="64" t="s">
        <v>24</v>
      </c>
      <c r="F769" s="64">
        <v>774</v>
      </c>
      <c r="G769" s="67">
        <v>769</v>
      </c>
    </row>
    <row r="770" spans="1:7" x14ac:dyDescent="0.25">
      <c r="A770" s="62" t="s">
        <v>2538</v>
      </c>
      <c r="B770" s="62">
        <v>775</v>
      </c>
      <c r="C770" s="62">
        <v>1766</v>
      </c>
      <c r="D770" s="63" t="s">
        <v>870</v>
      </c>
      <c r="E770" s="64" t="s">
        <v>24</v>
      </c>
      <c r="F770" s="64">
        <v>775</v>
      </c>
      <c r="G770" s="67">
        <v>770</v>
      </c>
    </row>
    <row r="771" spans="1:7" x14ac:dyDescent="0.25">
      <c r="A771" s="62" t="s">
        <v>2539</v>
      </c>
      <c r="B771" s="62">
        <v>776</v>
      </c>
      <c r="C771" s="62">
        <v>1767</v>
      </c>
      <c r="D771" s="63" t="s">
        <v>871</v>
      </c>
      <c r="E771" s="64" t="s">
        <v>24</v>
      </c>
      <c r="F771" s="64">
        <v>776</v>
      </c>
      <c r="G771" s="67">
        <v>771</v>
      </c>
    </row>
    <row r="772" spans="1:7" x14ac:dyDescent="0.25">
      <c r="A772" s="62" t="s">
        <v>2540</v>
      </c>
      <c r="B772" s="62">
        <v>778</v>
      </c>
      <c r="C772" s="62">
        <v>1768</v>
      </c>
      <c r="D772" s="63" t="s">
        <v>872</v>
      </c>
      <c r="E772" s="64" t="s">
        <v>24</v>
      </c>
      <c r="F772" s="64">
        <v>777</v>
      </c>
      <c r="G772" s="67">
        <v>772</v>
      </c>
    </row>
    <row r="773" spans="1:7" x14ac:dyDescent="0.25">
      <c r="A773" s="62" t="s">
        <v>2541</v>
      </c>
      <c r="B773" s="62">
        <v>779</v>
      </c>
      <c r="C773" s="62">
        <v>1769</v>
      </c>
      <c r="D773" s="63" t="s">
        <v>873</v>
      </c>
      <c r="E773" s="64" t="s">
        <v>24</v>
      </c>
      <c r="F773" s="64">
        <v>778</v>
      </c>
      <c r="G773" s="67">
        <v>773</v>
      </c>
    </row>
    <row r="774" spans="1:7" x14ac:dyDescent="0.25">
      <c r="A774" s="62" t="s">
        <v>2542</v>
      </c>
      <c r="B774" s="62">
        <v>780</v>
      </c>
      <c r="C774" s="62">
        <v>1770</v>
      </c>
      <c r="D774" s="63" t="s">
        <v>874</v>
      </c>
      <c r="E774" s="64" t="s">
        <v>55</v>
      </c>
      <c r="F774" s="64">
        <v>779</v>
      </c>
      <c r="G774" s="67">
        <v>774</v>
      </c>
    </row>
    <row r="775" spans="1:7" x14ac:dyDescent="0.25">
      <c r="A775" s="62" t="s">
        <v>2543</v>
      </c>
      <c r="B775" s="62">
        <v>781</v>
      </c>
      <c r="C775" s="62">
        <v>1771</v>
      </c>
      <c r="D775" s="63" t="s">
        <v>875</v>
      </c>
      <c r="E775" s="64" t="s">
        <v>24</v>
      </c>
      <c r="F775" s="64">
        <v>780</v>
      </c>
      <c r="G775" s="67">
        <v>775</v>
      </c>
    </row>
    <row r="776" spans="1:7" x14ac:dyDescent="0.25">
      <c r="A776" s="62" t="s">
        <v>2544</v>
      </c>
      <c r="B776" s="62">
        <v>782</v>
      </c>
      <c r="C776" s="62">
        <v>1772</v>
      </c>
      <c r="D776" s="63" t="s">
        <v>876</v>
      </c>
      <c r="E776" s="64" t="s">
        <v>24</v>
      </c>
      <c r="F776" s="64">
        <v>781</v>
      </c>
      <c r="G776" s="67">
        <v>776</v>
      </c>
    </row>
    <row r="777" spans="1:7" x14ac:dyDescent="0.25">
      <c r="A777" s="62" t="s">
        <v>2545</v>
      </c>
      <c r="B777" s="62">
        <v>783</v>
      </c>
      <c r="C777" s="62">
        <v>1773</v>
      </c>
      <c r="D777" s="63" t="s">
        <v>877</v>
      </c>
      <c r="E777" s="64" t="s">
        <v>24</v>
      </c>
      <c r="F777" s="64">
        <v>782</v>
      </c>
      <c r="G777" s="67">
        <v>777</v>
      </c>
    </row>
    <row r="778" spans="1:7" x14ac:dyDescent="0.25">
      <c r="A778" s="62" t="s">
        <v>2546</v>
      </c>
      <c r="B778" s="62">
        <v>784</v>
      </c>
      <c r="C778" s="62">
        <v>1774</v>
      </c>
      <c r="D778" s="63" t="s">
        <v>878</v>
      </c>
      <c r="E778" s="64" t="s">
        <v>24</v>
      </c>
      <c r="F778" s="64">
        <v>783</v>
      </c>
      <c r="G778" s="67">
        <v>778</v>
      </c>
    </row>
    <row r="779" spans="1:7" x14ac:dyDescent="0.25">
      <c r="A779" s="62" t="s">
        <v>2547</v>
      </c>
      <c r="B779" s="62">
        <v>785</v>
      </c>
      <c r="C779" s="62">
        <v>1775</v>
      </c>
      <c r="D779" s="63" t="s">
        <v>880</v>
      </c>
      <c r="E779" s="64" t="s">
        <v>55</v>
      </c>
      <c r="F779" s="64">
        <v>784</v>
      </c>
      <c r="G779" s="67">
        <v>779</v>
      </c>
    </row>
    <row r="780" spans="1:7" x14ac:dyDescent="0.25">
      <c r="A780" s="62" t="s">
        <v>2548</v>
      </c>
      <c r="B780" s="62">
        <v>786</v>
      </c>
      <c r="C780" s="62">
        <v>1776</v>
      </c>
      <c r="D780" s="63" t="s">
        <v>881</v>
      </c>
      <c r="E780" s="64" t="s">
        <v>24</v>
      </c>
      <c r="F780" s="64">
        <v>785</v>
      </c>
      <c r="G780" s="67">
        <v>780</v>
      </c>
    </row>
    <row r="781" spans="1:7" x14ac:dyDescent="0.25">
      <c r="A781" s="62" t="s">
        <v>2549</v>
      </c>
      <c r="B781" s="62">
        <v>787</v>
      </c>
      <c r="C781" s="62">
        <v>1777</v>
      </c>
      <c r="D781" s="63" t="s">
        <v>883</v>
      </c>
      <c r="E781" s="64" t="s">
        <v>24</v>
      </c>
      <c r="F781" s="64">
        <v>786</v>
      </c>
      <c r="G781" s="67">
        <v>781</v>
      </c>
    </row>
    <row r="782" spans="1:7" x14ac:dyDescent="0.25">
      <c r="A782" s="62" t="s">
        <v>2550</v>
      </c>
      <c r="B782" s="62">
        <v>788</v>
      </c>
      <c r="C782" s="62">
        <v>1778</v>
      </c>
      <c r="D782" s="63" t="s">
        <v>884</v>
      </c>
      <c r="E782" s="64" t="s">
        <v>24</v>
      </c>
      <c r="F782" s="64">
        <v>787</v>
      </c>
      <c r="G782" s="67">
        <v>782</v>
      </c>
    </row>
    <row r="783" spans="1:7" x14ac:dyDescent="0.25">
      <c r="A783" s="62" t="s">
        <v>2551</v>
      </c>
      <c r="B783" s="62">
        <v>789</v>
      </c>
      <c r="C783" s="62">
        <v>1779</v>
      </c>
      <c r="D783" s="63" t="s">
        <v>885</v>
      </c>
      <c r="E783" s="64" t="s">
        <v>24</v>
      </c>
      <c r="F783" s="64">
        <v>788</v>
      </c>
      <c r="G783" s="67">
        <v>783</v>
      </c>
    </row>
    <row r="784" spans="1:7" x14ac:dyDescent="0.25">
      <c r="A784" s="62" t="s">
        <v>2552</v>
      </c>
      <c r="B784" s="62">
        <v>790</v>
      </c>
      <c r="C784" s="62">
        <v>1780</v>
      </c>
      <c r="D784" s="63" t="s">
        <v>887</v>
      </c>
      <c r="E784" s="64" t="s">
        <v>24</v>
      </c>
      <c r="F784" s="64">
        <v>789</v>
      </c>
      <c r="G784" s="67">
        <v>784</v>
      </c>
    </row>
    <row r="785" spans="1:7" x14ac:dyDescent="0.25">
      <c r="A785" s="62" t="s">
        <v>2553</v>
      </c>
      <c r="B785" s="62">
        <v>791</v>
      </c>
      <c r="C785" s="62">
        <v>1781</v>
      </c>
      <c r="D785" s="63" t="s">
        <v>888</v>
      </c>
      <c r="E785" s="64" t="s">
        <v>24</v>
      </c>
      <c r="F785" s="64">
        <v>790</v>
      </c>
      <c r="G785" s="67">
        <v>785</v>
      </c>
    </row>
    <row r="786" spans="1:7" x14ac:dyDescent="0.25">
      <c r="A786" s="62" t="s">
        <v>2554</v>
      </c>
      <c r="B786" s="62">
        <v>792</v>
      </c>
      <c r="C786" s="62">
        <v>1782</v>
      </c>
      <c r="D786" s="63" t="s">
        <v>889</v>
      </c>
      <c r="E786" s="64" t="s">
        <v>24</v>
      </c>
      <c r="F786" s="64">
        <v>791</v>
      </c>
      <c r="G786" s="67">
        <v>786</v>
      </c>
    </row>
    <row r="787" spans="1:7" x14ac:dyDescent="0.25">
      <c r="A787" s="62" t="s">
        <v>2555</v>
      </c>
      <c r="B787" s="62">
        <v>793</v>
      </c>
      <c r="C787" s="62">
        <v>1783</v>
      </c>
      <c r="D787" s="63" t="s">
        <v>890</v>
      </c>
      <c r="E787" s="64" t="s">
        <v>24</v>
      </c>
      <c r="F787" s="64">
        <v>792</v>
      </c>
      <c r="G787" s="67">
        <v>787</v>
      </c>
    </row>
    <row r="788" spans="1:7" x14ac:dyDescent="0.25">
      <c r="A788" s="62" t="s">
        <v>2556</v>
      </c>
      <c r="B788" s="62">
        <v>794</v>
      </c>
      <c r="C788" s="62">
        <v>1784</v>
      </c>
      <c r="D788" s="63" t="s">
        <v>891</v>
      </c>
      <c r="E788" s="64" t="s">
        <v>24</v>
      </c>
      <c r="F788" s="64">
        <v>793</v>
      </c>
      <c r="G788" s="67">
        <v>788</v>
      </c>
    </row>
    <row r="789" spans="1:7" x14ac:dyDescent="0.25">
      <c r="A789" s="62" t="s">
        <v>2557</v>
      </c>
      <c r="B789" s="62">
        <v>795</v>
      </c>
      <c r="C789" s="62">
        <v>1785</v>
      </c>
      <c r="D789" s="63" t="s">
        <v>893</v>
      </c>
      <c r="E789" s="64" t="s">
        <v>24</v>
      </c>
      <c r="F789" s="64">
        <v>791</v>
      </c>
      <c r="G789" s="67">
        <v>789</v>
      </c>
    </row>
    <row r="790" spans="1:7" x14ac:dyDescent="0.25">
      <c r="A790" s="62" t="s">
        <v>2558</v>
      </c>
      <c r="B790" s="62">
        <v>796</v>
      </c>
      <c r="C790" s="62">
        <v>1786</v>
      </c>
      <c r="D790" s="63" t="s">
        <v>894</v>
      </c>
      <c r="E790" s="64" t="s">
        <v>24</v>
      </c>
      <c r="F790" s="64">
        <v>795</v>
      </c>
      <c r="G790" s="67">
        <v>790</v>
      </c>
    </row>
    <row r="791" spans="1:7" x14ac:dyDescent="0.25">
      <c r="A791" s="62" t="s">
        <v>2559</v>
      </c>
      <c r="B791" s="62">
        <v>797</v>
      </c>
      <c r="C791" s="62">
        <v>1787</v>
      </c>
      <c r="D791" s="63" t="s">
        <v>895</v>
      </c>
      <c r="E791" s="64" t="s">
        <v>24</v>
      </c>
      <c r="F791" s="64">
        <v>796</v>
      </c>
      <c r="G791" s="67">
        <v>791</v>
      </c>
    </row>
    <row r="792" spans="1:7" x14ac:dyDescent="0.25">
      <c r="A792" s="62" t="s">
        <v>2560</v>
      </c>
      <c r="B792" s="62">
        <v>798</v>
      </c>
      <c r="C792" s="62">
        <v>1788</v>
      </c>
      <c r="D792" s="63" t="s">
        <v>896</v>
      </c>
      <c r="E792" s="64" t="s">
        <v>24</v>
      </c>
      <c r="F792" s="64">
        <v>797</v>
      </c>
      <c r="G792" s="67">
        <v>792</v>
      </c>
    </row>
    <row r="793" spans="1:7" x14ac:dyDescent="0.25">
      <c r="A793" s="62" t="s">
        <v>2561</v>
      </c>
      <c r="B793" s="62">
        <v>799</v>
      </c>
      <c r="C793" s="62">
        <v>1789</v>
      </c>
      <c r="D793" s="63" t="s">
        <v>897</v>
      </c>
      <c r="E793" s="64" t="s">
        <v>24</v>
      </c>
      <c r="F793" s="64">
        <v>798</v>
      </c>
      <c r="G793" s="67">
        <v>793</v>
      </c>
    </row>
    <row r="794" spans="1:7" x14ac:dyDescent="0.25">
      <c r="A794" s="62" t="s">
        <v>2562</v>
      </c>
      <c r="B794" s="62">
        <v>800</v>
      </c>
      <c r="C794" s="62">
        <v>1790</v>
      </c>
      <c r="D794" s="63" t="s">
        <v>898</v>
      </c>
      <c r="E794" s="64" t="s">
        <v>24</v>
      </c>
      <c r="F794" s="64">
        <v>799</v>
      </c>
      <c r="G794" s="67">
        <v>794</v>
      </c>
    </row>
    <row r="795" spans="1:7" x14ac:dyDescent="0.25">
      <c r="A795" s="62" t="s">
        <v>2563</v>
      </c>
      <c r="B795" s="62">
        <v>801</v>
      </c>
      <c r="C795" s="62">
        <v>1791</v>
      </c>
      <c r="D795" s="63" t="s">
        <v>899</v>
      </c>
      <c r="E795" s="64" t="s">
        <v>24</v>
      </c>
      <c r="F795" s="64">
        <v>800</v>
      </c>
      <c r="G795" s="67">
        <v>795</v>
      </c>
    </row>
    <row r="796" spans="1:7" x14ac:dyDescent="0.25">
      <c r="A796" s="62" t="s">
        <v>2564</v>
      </c>
      <c r="B796" s="62">
        <v>802</v>
      </c>
      <c r="C796" s="62">
        <v>1792</v>
      </c>
      <c r="D796" s="63" t="s">
        <v>900</v>
      </c>
      <c r="E796" s="64" t="s">
        <v>24</v>
      </c>
      <c r="F796" s="64">
        <v>801</v>
      </c>
      <c r="G796" s="67">
        <v>796</v>
      </c>
    </row>
    <row r="797" spans="1:7" x14ac:dyDescent="0.25">
      <c r="A797" s="62" t="s">
        <v>2565</v>
      </c>
      <c r="B797" s="62">
        <v>803</v>
      </c>
      <c r="C797" s="62">
        <v>1793</v>
      </c>
      <c r="D797" s="63" t="s">
        <v>901</v>
      </c>
      <c r="E797" s="64" t="s">
        <v>24</v>
      </c>
      <c r="F797" s="64">
        <v>802</v>
      </c>
      <c r="G797" s="67">
        <v>797</v>
      </c>
    </row>
    <row r="798" spans="1:7" x14ac:dyDescent="0.25">
      <c r="A798" s="62" t="s">
        <v>2566</v>
      </c>
      <c r="B798" s="62">
        <v>804</v>
      </c>
      <c r="C798" s="62">
        <v>1794</v>
      </c>
      <c r="D798" s="63" t="s">
        <v>902</v>
      </c>
      <c r="E798" s="64" t="s">
        <v>55</v>
      </c>
      <c r="F798" s="64">
        <v>803</v>
      </c>
      <c r="G798" s="67">
        <v>798</v>
      </c>
    </row>
    <row r="799" spans="1:7" x14ac:dyDescent="0.25">
      <c r="A799" s="62" t="s">
        <v>2567</v>
      </c>
      <c r="B799" s="62">
        <v>805</v>
      </c>
      <c r="C799" s="62">
        <v>1795</v>
      </c>
      <c r="D799" s="63" t="s">
        <v>903</v>
      </c>
      <c r="E799" s="64" t="s">
        <v>55</v>
      </c>
      <c r="F799" s="64">
        <v>804</v>
      </c>
      <c r="G799" s="67">
        <v>799</v>
      </c>
    </row>
    <row r="800" spans="1:7" x14ac:dyDescent="0.25">
      <c r="A800" s="62" t="s">
        <v>2568</v>
      </c>
      <c r="B800" s="62">
        <v>806</v>
      </c>
      <c r="C800" s="62">
        <v>1796</v>
      </c>
      <c r="D800" s="63" t="s">
        <v>904</v>
      </c>
      <c r="E800" s="64" t="s">
        <v>55</v>
      </c>
      <c r="F800" s="64">
        <v>805</v>
      </c>
      <c r="G800" s="67">
        <v>800</v>
      </c>
    </row>
    <row r="801" spans="1:7" x14ac:dyDescent="0.25">
      <c r="A801" s="62" t="s">
        <v>2569</v>
      </c>
      <c r="B801" s="62">
        <v>807</v>
      </c>
      <c r="C801" s="62">
        <v>1797</v>
      </c>
      <c r="D801" s="63" t="s">
        <v>905</v>
      </c>
      <c r="E801" s="64" t="s">
        <v>24</v>
      </c>
      <c r="F801" s="64">
        <v>806</v>
      </c>
      <c r="G801" s="67">
        <v>801</v>
      </c>
    </row>
    <row r="802" spans="1:7" x14ac:dyDescent="0.25">
      <c r="A802" s="62" t="s">
        <v>2570</v>
      </c>
      <c r="B802" s="62">
        <v>808</v>
      </c>
      <c r="C802" s="62">
        <v>1798</v>
      </c>
      <c r="D802" s="63" t="s">
        <v>906</v>
      </c>
      <c r="E802" s="64" t="s">
        <v>24</v>
      </c>
      <c r="F802" s="64">
        <v>807</v>
      </c>
      <c r="G802" s="67">
        <v>802</v>
      </c>
    </row>
    <row r="803" spans="1:7" x14ac:dyDescent="0.25">
      <c r="A803" s="62" t="s">
        <v>2571</v>
      </c>
      <c r="B803" s="62">
        <v>809</v>
      </c>
      <c r="C803" s="62">
        <v>1799</v>
      </c>
      <c r="D803" s="63" t="s">
        <v>907</v>
      </c>
      <c r="E803" s="64" t="s">
        <v>24</v>
      </c>
      <c r="F803" s="64">
        <v>808</v>
      </c>
      <c r="G803" s="67">
        <v>803</v>
      </c>
    </row>
    <row r="804" spans="1:7" x14ac:dyDescent="0.25">
      <c r="A804" s="62" t="s">
        <v>2572</v>
      </c>
      <c r="B804" s="62">
        <v>810</v>
      </c>
      <c r="C804" s="62">
        <v>1800</v>
      </c>
      <c r="D804" s="63" t="s">
        <v>908</v>
      </c>
      <c r="E804" s="64" t="s">
        <v>24</v>
      </c>
      <c r="F804" s="64">
        <v>809</v>
      </c>
      <c r="G804" s="67">
        <v>804</v>
      </c>
    </row>
    <row r="805" spans="1:7" x14ac:dyDescent="0.25">
      <c r="A805" s="62" t="s">
        <v>2573</v>
      </c>
      <c r="B805" s="62">
        <v>811</v>
      </c>
      <c r="C805" s="62">
        <v>1801</v>
      </c>
      <c r="D805" s="63" t="s">
        <v>909</v>
      </c>
      <c r="E805" s="64" t="s">
        <v>24</v>
      </c>
      <c r="F805" s="64">
        <v>810</v>
      </c>
      <c r="G805" s="67">
        <v>805</v>
      </c>
    </row>
    <row r="806" spans="1:7" x14ac:dyDescent="0.25">
      <c r="A806" s="62" t="s">
        <v>2574</v>
      </c>
      <c r="B806" s="62">
        <v>812</v>
      </c>
      <c r="C806" s="62">
        <v>1802</v>
      </c>
      <c r="D806" s="63" t="s">
        <v>910</v>
      </c>
      <c r="E806" s="64" t="s">
        <v>24</v>
      </c>
      <c r="F806" s="64">
        <v>811</v>
      </c>
      <c r="G806" s="67">
        <v>806</v>
      </c>
    </row>
    <row r="807" spans="1:7" x14ac:dyDescent="0.25">
      <c r="A807" s="62" t="s">
        <v>2575</v>
      </c>
      <c r="B807" s="62">
        <v>813</v>
      </c>
      <c r="C807" s="62">
        <v>1803</v>
      </c>
      <c r="D807" s="63" t="s">
        <v>912</v>
      </c>
      <c r="E807" s="64" t="s">
        <v>24</v>
      </c>
      <c r="F807" s="64">
        <v>812</v>
      </c>
      <c r="G807" s="67">
        <v>807</v>
      </c>
    </row>
    <row r="808" spans="1:7" x14ac:dyDescent="0.25">
      <c r="A808" s="62" t="s">
        <v>2576</v>
      </c>
      <c r="B808" s="62">
        <v>814</v>
      </c>
      <c r="C808" s="62">
        <v>1804</v>
      </c>
      <c r="D808" s="63" t="s">
        <v>913</v>
      </c>
      <c r="E808" s="64" t="s">
        <v>24</v>
      </c>
      <c r="F808" s="64">
        <v>813</v>
      </c>
      <c r="G808" s="67">
        <v>808</v>
      </c>
    </row>
    <row r="809" spans="1:7" x14ac:dyDescent="0.25">
      <c r="A809" s="62" t="s">
        <v>2577</v>
      </c>
      <c r="B809" s="62">
        <v>815</v>
      </c>
      <c r="C809" s="62">
        <v>1805</v>
      </c>
      <c r="D809" s="63" t="s">
        <v>914</v>
      </c>
      <c r="E809" s="64" t="s">
        <v>24</v>
      </c>
      <c r="F809" s="64">
        <v>814</v>
      </c>
      <c r="G809" s="67">
        <v>809</v>
      </c>
    </row>
    <row r="810" spans="1:7" x14ac:dyDescent="0.25">
      <c r="A810" s="62" t="s">
        <v>2578</v>
      </c>
      <c r="B810" s="62">
        <v>816</v>
      </c>
      <c r="C810" s="62">
        <v>1806</v>
      </c>
      <c r="D810" s="63" t="s">
        <v>916</v>
      </c>
      <c r="E810" s="64" t="s">
        <v>24</v>
      </c>
      <c r="F810" s="64">
        <v>815</v>
      </c>
      <c r="G810" s="67">
        <v>810</v>
      </c>
    </row>
    <row r="811" spans="1:7" x14ac:dyDescent="0.25">
      <c r="A811" s="62" t="s">
        <v>2579</v>
      </c>
      <c r="B811" s="62">
        <v>817</v>
      </c>
      <c r="C811" s="62">
        <v>1807</v>
      </c>
      <c r="D811" s="63" t="s">
        <v>917</v>
      </c>
      <c r="E811" s="64" t="s">
        <v>24</v>
      </c>
      <c r="F811" s="64">
        <v>816</v>
      </c>
      <c r="G811" s="67">
        <v>811</v>
      </c>
    </row>
    <row r="812" spans="1:7" x14ac:dyDescent="0.25">
      <c r="A812" s="62" t="s">
        <v>2580</v>
      </c>
      <c r="B812" s="62">
        <v>818</v>
      </c>
      <c r="C812" s="62">
        <v>1808</v>
      </c>
      <c r="D812" s="63" t="s">
        <v>918</v>
      </c>
      <c r="E812" s="64" t="s">
        <v>24</v>
      </c>
      <c r="F812" s="64">
        <v>817</v>
      </c>
      <c r="G812" s="67">
        <v>812</v>
      </c>
    </row>
    <row r="813" spans="1:7" x14ac:dyDescent="0.25">
      <c r="A813" s="62" t="s">
        <v>2581</v>
      </c>
      <c r="B813" s="62">
        <v>819</v>
      </c>
      <c r="C813" s="62">
        <v>1809</v>
      </c>
      <c r="D813" s="63" t="s">
        <v>919</v>
      </c>
      <c r="E813" s="64" t="s">
        <v>24</v>
      </c>
      <c r="F813" s="64">
        <v>818</v>
      </c>
      <c r="G813" s="67">
        <v>813</v>
      </c>
    </row>
    <row r="814" spans="1:7" x14ac:dyDescent="0.25">
      <c r="A814" s="62" t="s">
        <v>2582</v>
      </c>
      <c r="B814" s="62">
        <v>820</v>
      </c>
      <c r="C814" s="62">
        <v>1810</v>
      </c>
      <c r="D814" s="63" t="s">
        <v>920</v>
      </c>
      <c r="E814" s="64" t="s">
        <v>24</v>
      </c>
      <c r="F814" s="64">
        <v>819</v>
      </c>
      <c r="G814" s="67">
        <v>814</v>
      </c>
    </row>
    <row r="815" spans="1:7" x14ac:dyDescent="0.25">
      <c r="A815" s="62" t="s">
        <v>2583</v>
      </c>
      <c r="B815" s="62">
        <v>821</v>
      </c>
      <c r="C815" s="62">
        <v>1811</v>
      </c>
      <c r="D815" s="63" t="s">
        <v>921</v>
      </c>
      <c r="E815" s="64" t="s">
        <v>24</v>
      </c>
      <c r="F815" s="64">
        <v>820</v>
      </c>
      <c r="G815" s="67">
        <v>815</v>
      </c>
    </row>
    <row r="816" spans="1:7" x14ac:dyDescent="0.25">
      <c r="A816" s="62" t="s">
        <v>2584</v>
      </c>
      <c r="B816" s="62">
        <v>822</v>
      </c>
      <c r="C816" s="62">
        <v>1812</v>
      </c>
      <c r="D816" s="63" t="s">
        <v>922</v>
      </c>
      <c r="E816" s="64" t="s">
        <v>24</v>
      </c>
      <c r="F816" s="64">
        <v>821</v>
      </c>
      <c r="G816" s="67">
        <v>816</v>
      </c>
    </row>
    <row r="817" spans="1:7" x14ac:dyDescent="0.25">
      <c r="A817" s="62" t="s">
        <v>2585</v>
      </c>
      <c r="B817" s="62">
        <v>823</v>
      </c>
      <c r="C817" s="62">
        <v>1813</v>
      </c>
      <c r="D817" s="63" t="s">
        <v>923</v>
      </c>
      <c r="E817" s="64" t="s">
        <v>24</v>
      </c>
      <c r="F817" s="64">
        <v>822</v>
      </c>
      <c r="G817" s="67">
        <v>817</v>
      </c>
    </row>
    <row r="818" spans="1:7" x14ac:dyDescent="0.25">
      <c r="A818" s="62" t="s">
        <v>2586</v>
      </c>
      <c r="B818" s="62">
        <v>824</v>
      </c>
      <c r="C818" s="62">
        <v>1814</v>
      </c>
      <c r="D818" s="63" t="s">
        <v>924</v>
      </c>
      <c r="E818" s="64" t="s">
        <v>24</v>
      </c>
      <c r="F818" s="64">
        <v>823</v>
      </c>
      <c r="G818" s="67">
        <v>818</v>
      </c>
    </row>
    <row r="819" spans="1:7" x14ac:dyDescent="0.25">
      <c r="A819" s="62" t="s">
        <v>2587</v>
      </c>
      <c r="B819" s="62">
        <v>825</v>
      </c>
      <c r="C819" s="62">
        <v>1815</v>
      </c>
      <c r="D819" s="63" t="s">
        <v>925</v>
      </c>
      <c r="E819" s="64" t="s">
        <v>24</v>
      </c>
      <c r="F819" s="64">
        <v>824</v>
      </c>
      <c r="G819" s="67">
        <v>819</v>
      </c>
    </row>
    <row r="820" spans="1:7" x14ac:dyDescent="0.25">
      <c r="A820" s="62" t="s">
        <v>2588</v>
      </c>
      <c r="B820" s="62">
        <v>826</v>
      </c>
      <c r="C820" s="62">
        <v>1816</v>
      </c>
      <c r="D820" s="63" t="s">
        <v>926</v>
      </c>
      <c r="E820" s="64" t="s">
        <v>24</v>
      </c>
      <c r="F820" s="64">
        <v>825</v>
      </c>
      <c r="G820" s="67">
        <v>820</v>
      </c>
    </row>
    <row r="821" spans="1:7" x14ac:dyDescent="0.25">
      <c r="A821" s="62" t="s">
        <v>2589</v>
      </c>
      <c r="B821" s="62">
        <v>827</v>
      </c>
      <c r="C821" s="62">
        <v>1817</v>
      </c>
      <c r="D821" s="63" t="s">
        <v>927</v>
      </c>
      <c r="E821" s="64" t="s">
        <v>24</v>
      </c>
      <c r="F821" s="64">
        <v>826</v>
      </c>
      <c r="G821" s="67">
        <v>821</v>
      </c>
    </row>
    <row r="822" spans="1:7" x14ac:dyDescent="0.25">
      <c r="A822" s="62" t="s">
        <v>2590</v>
      </c>
      <c r="B822" s="62">
        <v>828</v>
      </c>
      <c r="C822" s="62">
        <v>1818</v>
      </c>
      <c r="D822" s="63" t="s">
        <v>929</v>
      </c>
      <c r="E822" s="64" t="s">
        <v>24</v>
      </c>
      <c r="F822" s="64">
        <v>827</v>
      </c>
      <c r="G822" s="67">
        <v>822</v>
      </c>
    </row>
    <row r="823" spans="1:7" x14ac:dyDescent="0.25">
      <c r="A823" s="62" t="s">
        <v>2591</v>
      </c>
      <c r="B823" s="62">
        <v>829</v>
      </c>
      <c r="C823" s="62">
        <v>1819</v>
      </c>
      <c r="D823" s="63" t="s">
        <v>930</v>
      </c>
      <c r="E823" s="64" t="s">
        <v>55</v>
      </c>
      <c r="F823" s="64">
        <v>828</v>
      </c>
      <c r="G823" s="67">
        <v>823</v>
      </c>
    </row>
    <row r="824" spans="1:7" x14ac:dyDescent="0.25">
      <c r="A824" s="62" t="s">
        <v>2592</v>
      </c>
      <c r="B824" s="62">
        <v>830</v>
      </c>
      <c r="C824" s="62">
        <v>1820</v>
      </c>
      <c r="D824" s="63" t="s">
        <v>931</v>
      </c>
      <c r="E824" s="64" t="s">
        <v>55</v>
      </c>
      <c r="F824" s="64">
        <v>829</v>
      </c>
      <c r="G824" s="67">
        <v>824</v>
      </c>
    </row>
    <row r="825" spans="1:7" x14ac:dyDescent="0.25">
      <c r="A825" s="62" t="s">
        <v>2593</v>
      </c>
      <c r="B825" s="62">
        <v>831</v>
      </c>
      <c r="C825" s="62">
        <v>1821</v>
      </c>
      <c r="D825" s="63" t="s">
        <v>932</v>
      </c>
      <c r="E825" s="64" t="s">
        <v>55</v>
      </c>
      <c r="F825" s="64">
        <v>830</v>
      </c>
      <c r="G825" s="67">
        <v>825</v>
      </c>
    </row>
    <row r="826" spans="1:7" x14ac:dyDescent="0.25">
      <c r="A826" s="62" t="s">
        <v>2594</v>
      </c>
      <c r="B826" s="62">
        <v>833</v>
      </c>
      <c r="C826" s="62">
        <v>1822</v>
      </c>
      <c r="D826" s="63" t="s">
        <v>933</v>
      </c>
      <c r="E826" s="64" t="s">
        <v>24</v>
      </c>
      <c r="F826" s="64">
        <v>831</v>
      </c>
      <c r="G826" s="67">
        <v>826</v>
      </c>
    </row>
    <row r="827" spans="1:7" x14ac:dyDescent="0.25">
      <c r="A827" s="62" t="s">
        <v>2595</v>
      </c>
      <c r="B827" s="62">
        <v>834</v>
      </c>
      <c r="C827" s="62">
        <v>1823</v>
      </c>
      <c r="D827" s="63" t="s">
        <v>935</v>
      </c>
      <c r="E827" s="64" t="s">
        <v>24</v>
      </c>
      <c r="F827" s="64">
        <v>832</v>
      </c>
      <c r="G827" s="67">
        <v>827</v>
      </c>
    </row>
    <row r="828" spans="1:7" x14ac:dyDescent="0.25">
      <c r="A828" s="62" t="s">
        <v>2596</v>
      </c>
      <c r="B828" s="62">
        <v>835</v>
      </c>
      <c r="C828" s="62">
        <v>1824</v>
      </c>
      <c r="D828" s="63" t="s">
        <v>936</v>
      </c>
      <c r="E828" s="64" t="s">
        <v>24</v>
      </c>
      <c r="F828" s="64">
        <v>833</v>
      </c>
      <c r="G828" s="67">
        <v>828</v>
      </c>
    </row>
    <row r="829" spans="1:7" x14ac:dyDescent="0.25">
      <c r="A829" s="62" t="s">
        <v>2597</v>
      </c>
      <c r="B829" s="62">
        <v>836</v>
      </c>
      <c r="C829" s="62">
        <v>1825</v>
      </c>
      <c r="D829" s="63" t="s">
        <v>938</v>
      </c>
      <c r="E829" s="64" t="s">
        <v>24</v>
      </c>
      <c r="F829" s="64">
        <v>834</v>
      </c>
      <c r="G829" s="67">
        <v>829</v>
      </c>
    </row>
    <row r="830" spans="1:7" x14ac:dyDescent="0.25">
      <c r="A830" s="62" t="s">
        <v>2598</v>
      </c>
      <c r="B830" s="62">
        <v>837</v>
      </c>
      <c r="C830" s="62">
        <v>1826</v>
      </c>
      <c r="D830" s="63" t="s">
        <v>939</v>
      </c>
      <c r="E830" s="64" t="s">
        <v>24</v>
      </c>
      <c r="F830" s="64">
        <v>835</v>
      </c>
      <c r="G830" s="67">
        <v>830</v>
      </c>
    </row>
    <row r="831" spans="1:7" x14ac:dyDescent="0.25">
      <c r="A831" s="62" t="s">
        <v>2599</v>
      </c>
      <c r="B831" s="62">
        <v>838</v>
      </c>
      <c r="C831" s="62">
        <v>1827</v>
      </c>
      <c r="D831" s="63" t="s">
        <v>940</v>
      </c>
      <c r="E831" s="64" t="s">
        <v>24</v>
      </c>
      <c r="F831" s="64">
        <v>836</v>
      </c>
      <c r="G831" s="67">
        <v>831</v>
      </c>
    </row>
    <row r="832" spans="1:7" x14ac:dyDescent="0.25">
      <c r="A832" s="62" t="s">
        <v>2600</v>
      </c>
      <c r="B832" s="62">
        <v>839</v>
      </c>
      <c r="C832" s="62">
        <v>1828</v>
      </c>
      <c r="D832" s="63" t="s">
        <v>941</v>
      </c>
      <c r="E832" s="64" t="s">
        <v>24</v>
      </c>
      <c r="F832" s="64">
        <v>837</v>
      </c>
      <c r="G832" s="67">
        <v>832</v>
      </c>
    </row>
    <row r="833" spans="1:7" x14ac:dyDescent="0.25">
      <c r="A833" s="62" t="s">
        <v>2601</v>
      </c>
      <c r="B833" s="62">
        <v>840</v>
      </c>
      <c r="C833" s="62">
        <v>1829</v>
      </c>
      <c r="D833" s="63" t="s">
        <v>942</v>
      </c>
      <c r="E833" s="64" t="s">
        <v>24</v>
      </c>
      <c r="F833" s="64">
        <v>838</v>
      </c>
      <c r="G833" s="67">
        <v>833</v>
      </c>
    </row>
    <row r="834" spans="1:7" x14ac:dyDescent="0.25">
      <c r="A834" s="62" t="s">
        <v>2602</v>
      </c>
      <c r="B834" s="62">
        <v>841</v>
      </c>
      <c r="C834" s="62">
        <v>1830</v>
      </c>
      <c r="D834" s="63" t="s">
        <v>943</v>
      </c>
      <c r="E834" s="64" t="s">
        <v>24</v>
      </c>
      <c r="F834" s="64">
        <v>839</v>
      </c>
      <c r="G834" s="67">
        <v>834</v>
      </c>
    </row>
    <row r="835" spans="1:7" x14ac:dyDescent="0.25">
      <c r="A835" s="62" t="s">
        <v>2603</v>
      </c>
      <c r="B835" s="62">
        <v>842</v>
      </c>
      <c r="C835" s="62">
        <v>1831</v>
      </c>
      <c r="D835" s="63" t="s">
        <v>944</v>
      </c>
      <c r="E835" s="64" t="s">
        <v>24</v>
      </c>
      <c r="F835" s="64">
        <v>840</v>
      </c>
      <c r="G835" s="67">
        <v>835</v>
      </c>
    </row>
    <row r="836" spans="1:7" x14ac:dyDescent="0.25">
      <c r="A836" s="62" t="s">
        <v>2604</v>
      </c>
      <c r="B836" s="62">
        <v>843</v>
      </c>
      <c r="C836" s="62">
        <v>1832</v>
      </c>
      <c r="D836" s="63" t="s">
        <v>945</v>
      </c>
      <c r="E836" s="64" t="s">
        <v>24</v>
      </c>
      <c r="F836" s="64">
        <v>841</v>
      </c>
      <c r="G836" s="67">
        <v>836</v>
      </c>
    </row>
    <row r="837" spans="1:7" x14ac:dyDescent="0.25">
      <c r="A837" s="62" t="s">
        <v>2605</v>
      </c>
      <c r="B837" s="62">
        <v>844</v>
      </c>
      <c r="C837" s="62">
        <v>1833</v>
      </c>
      <c r="D837" s="63" t="s">
        <v>946</v>
      </c>
      <c r="E837" s="64" t="s">
        <v>24</v>
      </c>
      <c r="F837" s="64">
        <v>842</v>
      </c>
      <c r="G837" s="67">
        <v>837</v>
      </c>
    </row>
    <row r="838" spans="1:7" x14ac:dyDescent="0.25">
      <c r="A838" s="62" t="s">
        <v>2606</v>
      </c>
      <c r="B838" s="62">
        <v>845</v>
      </c>
      <c r="C838" s="62">
        <v>1834</v>
      </c>
      <c r="D838" s="63" t="s">
        <v>947</v>
      </c>
      <c r="E838" s="64" t="s">
        <v>24</v>
      </c>
      <c r="F838" s="64">
        <v>843</v>
      </c>
      <c r="G838" s="67">
        <v>838</v>
      </c>
    </row>
    <row r="839" spans="1:7" x14ac:dyDescent="0.25">
      <c r="A839" s="62" t="s">
        <v>2607</v>
      </c>
      <c r="B839" s="62">
        <v>846</v>
      </c>
      <c r="C839" s="62">
        <v>1835</v>
      </c>
      <c r="D839" s="63" t="s">
        <v>948</v>
      </c>
      <c r="E839" s="64" t="s">
        <v>24</v>
      </c>
      <c r="F839" s="64">
        <v>844</v>
      </c>
      <c r="G839" s="67">
        <v>839</v>
      </c>
    </row>
    <row r="840" spans="1:7" x14ac:dyDescent="0.25">
      <c r="A840" s="62" t="s">
        <v>2608</v>
      </c>
      <c r="B840" s="62">
        <v>847</v>
      </c>
      <c r="C840" s="62">
        <v>1836</v>
      </c>
      <c r="D840" s="63" t="s">
        <v>949</v>
      </c>
      <c r="E840" s="64" t="s">
        <v>24</v>
      </c>
      <c r="F840" s="64">
        <v>845</v>
      </c>
      <c r="G840" s="67">
        <v>840</v>
      </c>
    </row>
    <row r="841" spans="1:7" x14ac:dyDescent="0.25">
      <c r="A841" s="62" t="s">
        <v>2609</v>
      </c>
      <c r="B841" s="62">
        <v>848</v>
      </c>
      <c r="C841" s="62">
        <v>1837</v>
      </c>
      <c r="D841" s="63" t="s">
        <v>950</v>
      </c>
      <c r="E841" s="64" t="s">
        <v>24</v>
      </c>
      <c r="F841" s="64">
        <v>846</v>
      </c>
      <c r="G841" s="67">
        <v>841</v>
      </c>
    </row>
    <row r="842" spans="1:7" x14ac:dyDescent="0.25">
      <c r="A842" s="62" t="s">
        <v>2610</v>
      </c>
      <c r="B842" s="62">
        <v>849</v>
      </c>
      <c r="C842" s="62">
        <v>1838</v>
      </c>
      <c r="D842" s="63" t="s">
        <v>951</v>
      </c>
      <c r="E842" s="64" t="s">
        <v>24</v>
      </c>
      <c r="F842" s="64">
        <v>847</v>
      </c>
      <c r="G842" s="67">
        <v>842</v>
      </c>
    </row>
    <row r="843" spans="1:7" x14ac:dyDescent="0.25">
      <c r="A843" s="62" t="s">
        <v>2611</v>
      </c>
      <c r="B843" s="62">
        <v>850</v>
      </c>
      <c r="C843" s="62">
        <v>1839</v>
      </c>
      <c r="D843" s="63" t="s">
        <v>952</v>
      </c>
      <c r="E843" s="64" t="s">
        <v>24</v>
      </c>
      <c r="F843" s="64">
        <v>848</v>
      </c>
      <c r="G843" s="67">
        <v>843</v>
      </c>
    </row>
    <row r="844" spans="1:7" x14ac:dyDescent="0.25">
      <c r="A844" s="62" t="s">
        <v>2612</v>
      </c>
      <c r="B844" s="62">
        <v>851</v>
      </c>
      <c r="C844" s="62">
        <v>1840</v>
      </c>
      <c r="D844" s="63" t="s">
        <v>953</v>
      </c>
      <c r="E844" s="64" t="s">
        <v>24</v>
      </c>
      <c r="F844" s="64">
        <v>849</v>
      </c>
      <c r="G844" s="67">
        <v>844</v>
      </c>
    </row>
    <row r="845" spans="1:7" x14ac:dyDescent="0.25">
      <c r="A845" s="62" t="s">
        <v>2613</v>
      </c>
      <c r="B845" s="62">
        <v>852</v>
      </c>
      <c r="C845" s="62">
        <v>1841</v>
      </c>
      <c r="D845" s="63" t="s">
        <v>954</v>
      </c>
      <c r="E845" s="64" t="s">
        <v>24</v>
      </c>
      <c r="F845" s="64">
        <v>850</v>
      </c>
      <c r="G845" s="67">
        <v>845</v>
      </c>
    </row>
    <row r="846" spans="1:7" x14ac:dyDescent="0.25">
      <c r="A846" s="62" t="s">
        <v>2614</v>
      </c>
      <c r="B846" s="62">
        <v>853</v>
      </c>
      <c r="C846" s="62">
        <v>1842</v>
      </c>
      <c r="D846" s="63" t="s">
        <v>955</v>
      </c>
      <c r="E846" s="64" t="s">
        <v>24</v>
      </c>
      <c r="F846" s="64">
        <v>851</v>
      </c>
      <c r="G846" s="67">
        <v>846</v>
      </c>
    </row>
    <row r="847" spans="1:7" x14ac:dyDescent="0.25">
      <c r="A847" s="62" t="s">
        <v>2615</v>
      </c>
      <c r="B847" s="62">
        <v>854</v>
      </c>
      <c r="C847" s="62">
        <v>1843</v>
      </c>
      <c r="D847" s="63" t="s">
        <v>956</v>
      </c>
      <c r="E847" s="64" t="s">
        <v>24</v>
      </c>
      <c r="F847" s="64">
        <v>852</v>
      </c>
      <c r="G847" s="67">
        <v>847</v>
      </c>
    </row>
    <row r="848" spans="1:7" x14ac:dyDescent="0.25">
      <c r="A848" s="62" t="s">
        <v>2616</v>
      </c>
      <c r="B848" s="62">
        <v>855</v>
      </c>
      <c r="C848" s="62">
        <v>1844</v>
      </c>
      <c r="D848" s="63" t="s">
        <v>957</v>
      </c>
      <c r="E848" s="64" t="s">
        <v>24</v>
      </c>
      <c r="F848" s="64">
        <v>853</v>
      </c>
      <c r="G848" s="67">
        <v>848</v>
      </c>
    </row>
    <row r="849" spans="1:7" x14ac:dyDescent="0.25">
      <c r="A849" s="62" t="s">
        <v>2617</v>
      </c>
      <c r="B849" s="62">
        <v>856</v>
      </c>
      <c r="C849" s="62">
        <v>1845</v>
      </c>
      <c r="D849" s="63" t="s">
        <v>958</v>
      </c>
      <c r="E849" s="64" t="s">
        <v>24</v>
      </c>
      <c r="F849" s="64">
        <v>854</v>
      </c>
      <c r="G849" s="67">
        <v>849</v>
      </c>
    </row>
    <row r="850" spans="1:7" x14ac:dyDescent="0.25">
      <c r="A850" s="62" t="s">
        <v>2618</v>
      </c>
      <c r="B850" s="62">
        <v>857</v>
      </c>
      <c r="C850" s="62">
        <v>1846</v>
      </c>
      <c r="D850" s="63" t="s">
        <v>959</v>
      </c>
      <c r="E850" s="64" t="s">
        <v>24</v>
      </c>
      <c r="F850" s="64">
        <v>855</v>
      </c>
      <c r="G850" s="67">
        <v>850</v>
      </c>
    </row>
    <row r="851" spans="1:7" x14ac:dyDescent="0.25">
      <c r="A851" s="62" t="s">
        <v>2619</v>
      </c>
      <c r="B851" s="62">
        <v>858</v>
      </c>
      <c r="C851" s="62">
        <v>1847</v>
      </c>
      <c r="D851" s="63" t="s">
        <v>960</v>
      </c>
      <c r="E851" s="64" t="s">
        <v>24</v>
      </c>
      <c r="F851" s="64">
        <v>856</v>
      </c>
      <c r="G851" s="67">
        <v>851</v>
      </c>
    </row>
    <row r="852" spans="1:7" x14ac:dyDescent="0.25">
      <c r="A852" s="62" t="s">
        <v>2620</v>
      </c>
      <c r="B852" s="62">
        <v>859</v>
      </c>
      <c r="C852" s="62">
        <v>1848</v>
      </c>
      <c r="D852" s="63" t="s">
        <v>961</v>
      </c>
      <c r="E852" s="64" t="s">
        <v>24</v>
      </c>
      <c r="F852" s="64">
        <v>857</v>
      </c>
      <c r="G852" s="67">
        <v>852</v>
      </c>
    </row>
    <row r="853" spans="1:7" x14ac:dyDescent="0.25">
      <c r="A853" s="62" t="s">
        <v>2621</v>
      </c>
      <c r="B853" s="62">
        <v>860</v>
      </c>
      <c r="C853" s="62">
        <v>1849</v>
      </c>
      <c r="D853" s="63" t="s">
        <v>962</v>
      </c>
      <c r="E853" s="64" t="s">
        <v>24</v>
      </c>
      <c r="F853" s="64">
        <v>858</v>
      </c>
      <c r="G853" s="67">
        <v>853</v>
      </c>
    </row>
    <row r="854" spans="1:7" x14ac:dyDescent="0.25">
      <c r="A854" s="62" t="s">
        <v>2622</v>
      </c>
      <c r="B854" s="62">
        <v>861</v>
      </c>
      <c r="C854" s="62">
        <v>1850</v>
      </c>
      <c r="D854" s="63" t="s">
        <v>963</v>
      </c>
      <c r="E854" s="64" t="s">
        <v>24</v>
      </c>
      <c r="F854" s="64">
        <v>859</v>
      </c>
      <c r="G854" s="67">
        <v>854</v>
      </c>
    </row>
    <row r="855" spans="1:7" x14ac:dyDescent="0.25">
      <c r="A855" s="62" t="s">
        <v>2623</v>
      </c>
      <c r="B855" s="62">
        <v>862</v>
      </c>
      <c r="C855" s="62">
        <v>1851</v>
      </c>
      <c r="D855" s="63" t="s">
        <v>964</v>
      </c>
      <c r="E855" s="64" t="s">
        <v>24</v>
      </c>
      <c r="F855" s="64">
        <v>860</v>
      </c>
      <c r="G855" s="67">
        <v>855</v>
      </c>
    </row>
    <row r="856" spans="1:7" x14ac:dyDescent="0.25">
      <c r="A856" s="62" t="s">
        <v>2624</v>
      </c>
      <c r="B856" s="62">
        <v>863</v>
      </c>
      <c r="C856" s="62">
        <v>1852</v>
      </c>
      <c r="D856" s="63" t="s">
        <v>965</v>
      </c>
      <c r="E856" s="64" t="s">
        <v>24</v>
      </c>
      <c r="F856" s="64">
        <v>861</v>
      </c>
      <c r="G856" s="67">
        <v>856</v>
      </c>
    </row>
    <row r="857" spans="1:7" x14ac:dyDescent="0.25">
      <c r="A857" s="62" t="s">
        <v>2625</v>
      </c>
      <c r="B857" s="62">
        <v>864</v>
      </c>
      <c r="C857" s="62">
        <v>1853</v>
      </c>
      <c r="D857" s="63" t="s">
        <v>966</v>
      </c>
      <c r="E857" s="64" t="s">
        <v>24</v>
      </c>
      <c r="F857" s="64">
        <v>862</v>
      </c>
      <c r="G857" s="67">
        <v>857</v>
      </c>
    </row>
    <row r="858" spans="1:7" x14ac:dyDescent="0.25">
      <c r="A858" s="62" t="s">
        <v>2626</v>
      </c>
      <c r="B858" s="62">
        <v>865</v>
      </c>
      <c r="C858" s="62">
        <v>1854</v>
      </c>
      <c r="D858" s="63" t="s">
        <v>968</v>
      </c>
      <c r="E858" s="64" t="s">
        <v>24</v>
      </c>
      <c r="F858" s="64">
        <v>863</v>
      </c>
      <c r="G858" s="67">
        <v>858</v>
      </c>
    </row>
    <row r="859" spans="1:7" x14ac:dyDescent="0.25">
      <c r="A859" s="62" t="s">
        <v>2627</v>
      </c>
      <c r="B859" s="62">
        <v>866</v>
      </c>
      <c r="C859" s="62">
        <v>1855</v>
      </c>
      <c r="D859" s="63" t="s">
        <v>970</v>
      </c>
      <c r="E859" s="64" t="s">
        <v>24</v>
      </c>
      <c r="F859" s="64">
        <v>864</v>
      </c>
      <c r="G859" s="67">
        <v>859</v>
      </c>
    </row>
    <row r="860" spans="1:7" x14ac:dyDescent="0.25">
      <c r="A860" s="62" t="s">
        <v>2628</v>
      </c>
      <c r="B860" s="62">
        <v>867</v>
      </c>
      <c r="C860" s="62">
        <v>1856</v>
      </c>
      <c r="D860" s="63" t="s">
        <v>971</v>
      </c>
      <c r="E860" s="64" t="s">
        <v>24</v>
      </c>
      <c r="F860" s="64">
        <v>865</v>
      </c>
      <c r="G860" s="67">
        <v>860</v>
      </c>
    </row>
    <row r="861" spans="1:7" x14ac:dyDescent="0.25">
      <c r="A861" s="62" t="s">
        <v>2629</v>
      </c>
      <c r="B861" s="62">
        <v>868</v>
      </c>
      <c r="C861" s="62">
        <v>1857</v>
      </c>
      <c r="D861" s="63" t="s">
        <v>973</v>
      </c>
      <c r="E861" s="64" t="s">
        <v>24</v>
      </c>
      <c r="F861" s="64">
        <v>866</v>
      </c>
      <c r="G861" s="67">
        <v>861</v>
      </c>
    </row>
    <row r="862" spans="1:7" x14ac:dyDescent="0.25">
      <c r="A862" s="62" t="s">
        <v>2630</v>
      </c>
      <c r="B862" s="62">
        <v>869</v>
      </c>
      <c r="C862" s="62">
        <v>1858</v>
      </c>
      <c r="D862" s="63" t="s">
        <v>974</v>
      </c>
      <c r="E862" s="64" t="s">
        <v>24</v>
      </c>
      <c r="F862" s="64">
        <v>867</v>
      </c>
      <c r="G862" s="67">
        <v>862</v>
      </c>
    </row>
    <row r="863" spans="1:7" x14ac:dyDescent="0.25">
      <c r="A863" s="62" t="s">
        <v>2631</v>
      </c>
      <c r="B863" s="62">
        <v>870</v>
      </c>
      <c r="C863" s="62">
        <v>1859</v>
      </c>
      <c r="D863" s="63" t="s">
        <v>976</v>
      </c>
      <c r="E863" s="64" t="s">
        <v>24</v>
      </c>
      <c r="F863" s="64">
        <v>868</v>
      </c>
      <c r="G863" s="67">
        <v>863</v>
      </c>
    </row>
    <row r="864" spans="1:7" x14ac:dyDescent="0.25">
      <c r="A864" s="62" t="s">
        <v>2632</v>
      </c>
      <c r="B864" s="62">
        <v>871</v>
      </c>
      <c r="C864" s="62">
        <v>1860</v>
      </c>
      <c r="D864" s="63" t="s">
        <v>977</v>
      </c>
      <c r="E864" s="64" t="s">
        <v>24</v>
      </c>
      <c r="F864" s="64">
        <v>869</v>
      </c>
      <c r="G864" s="67">
        <v>864</v>
      </c>
    </row>
    <row r="865" spans="1:7" x14ac:dyDescent="0.25">
      <c r="A865" s="62" t="s">
        <v>2633</v>
      </c>
      <c r="B865" s="62">
        <v>872</v>
      </c>
      <c r="C865" s="62">
        <v>1861</v>
      </c>
      <c r="D865" s="63" t="s">
        <v>978</v>
      </c>
      <c r="E865" s="64" t="s">
        <v>24</v>
      </c>
      <c r="F865" s="64">
        <v>870</v>
      </c>
      <c r="G865" s="67">
        <v>865</v>
      </c>
    </row>
    <row r="866" spans="1:7" x14ac:dyDescent="0.25">
      <c r="A866" s="62" t="s">
        <v>2634</v>
      </c>
      <c r="B866" s="62">
        <v>873</v>
      </c>
      <c r="C866" s="62">
        <v>1862</v>
      </c>
      <c r="D866" s="63" t="s">
        <v>979</v>
      </c>
      <c r="E866" s="64" t="s">
        <v>24</v>
      </c>
      <c r="F866" s="64">
        <v>871</v>
      </c>
      <c r="G866" s="67">
        <v>866</v>
      </c>
    </row>
    <row r="867" spans="1:7" x14ac:dyDescent="0.25">
      <c r="A867" s="62" t="s">
        <v>2635</v>
      </c>
      <c r="B867" s="62">
        <v>874</v>
      </c>
      <c r="C867" s="62">
        <v>1863</v>
      </c>
      <c r="D867" s="63" t="s">
        <v>980</v>
      </c>
      <c r="E867" s="64" t="s">
        <v>24</v>
      </c>
      <c r="F867" s="64">
        <v>872</v>
      </c>
      <c r="G867" s="67">
        <v>867</v>
      </c>
    </row>
    <row r="868" spans="1:7" x14ac:dyDescent="0.25">
      <c r="A868" s="62" t="s">
        <v>2636</v>
      </c>
      <c r="B868" s="62">
        <v>875</v>
      </c>
      <c r="C868" s="62">
        <v>1864</v>
      </c>
      <c r="D868" s="63" t="s">
        <v>982</v>
      </c>
      <c r="E868" s="64" t="s">
        <v>176</v>
      </c>
      <c r="F868" s="64">
        <v>873</v>
      </c>
      <c r="G868" s="67">
        <v>868</v>
      </c>
    </row>
    <row r="869" spans="1:7" x14ac:dyDescent="0.25">
      <c r="A869" s="62" t="s">
        <v>2637</v>
      </c>
      <c r="B869" s="62">
        <v>876</v>
      </c>
      <c r="C869" s="62">
        <v>1865</v>
      </c>
      <c r="D869" s="63" t="s">
        <v>983</v>
      </c>
      <c r="E869" s="64" t="s">
        <v>24</v>
      </c>
      <c r="F869" s="64">
        <v>874</v>
      </c>
      <c r="G869" s="67">
        <v>869</v>
      </c>
    </row>
    <row r="870" spans="1:7" x14ac:dyDescent="0.25">
      <c r="A870" s="62" t="s">
        <v>2638</v>
      </c>
      <c r="B870" s="62">
        <v>877</v>
      </c>
      <c r="C870" s="62">
        <v>1866</v>
      </c>
      <c r="D870" s="63" t="s">
        <v>984</v>
      </c>
      <c r="E870" s="64" t="s">
        <v>24</v>
      </c>
      <c r="F870" s="64">
        <v>875</v>
      </c>
      <c r="G870" s="67">
        <v>870</v>
      </c>
    </row>
    <row r="871" spans="1:7" x14ac:dyDescent="0.25">
      <c r="A871" s="62" t="s">
        <v>2639</v>
      </c>
      <c r="B871" s="62">
        <v>878</v>
      </c>
      <c r="C871" s="62">
        <v>1867</v>
      </c>
      <c r="D871" s="63" t="s">
        <v>985</v>
      </c>
      <c r="E871" s="64" t="s">
        <v>24</v>
      </c>
      <c r="F871" s="64">
        <v>876</v>
      </c>
      <c r="G871" s="67">
        <v>871</v>
      </c>
    </row>
    <row r="872" spans="1:7" x14ac:dyDescent="0.25">
      <c r="A872" s="62" t="s">
        <v>2640</v>
      </c>
      <c r="B872" s="62">
        <v>879</v>
      </c>
      <c r="C872" s="62">
        <v>1868</v>
      </c>
      <c r="D872" s="63" t="s">
        <v>986</v>
      </c>
      <c r="E872" s="64" t="s">
        <v>24</v>
      </c>
      <c r="F872" s="64">
        <v>877</v>
      </c>
      <c r="G872" s="67">
        <v>872</v>
      </c>
    </row>
    <row r="873" spans="1:7" x14ac:dyDescent="0.25">
      <c r="A873" s="62" t="s">
        <v>2641</v>
      </c>
      <c r="B873" s="62">
        <v>880</v>
      </c>
      <c r="C873" s="62">
        <v>1869</v>
      </c>
      <c r="D873" s="63" t="s">
        <v>987</v>
      </c>
      <c r="E873" s="64" t="s">
        <v>24</v>
      </c>
      <c r="F873" s="64">
        <v>878</v>
      </c>
      <c r="G873" s="67">
        <v>873</v>
      </c>
    </row>
    <row r="874" spans="1:7" x14ac:dyDescent="0.25">
      <c r="A874" s="62" t="s">
        <v>2642</v>
      </c>
      <c r="B874" s="62">
        <v>881</v>
      </c>
      <c r="C874" s="62">
        <v>1870</v>
      </c>
      <c r="D874" s="63" t="s">
        <v>988</v>
      </c>
      <c r="E874" s="64" t="s">
        <v>24</v>
      </c>
      <c r="F874" s="64">
        <v>879</v>
      </c>
      <c r="G874" s="67">
        <v>874</v>
      </c>
    </row>
    <row r="875" spans="1:7" x14ac:dyDescent="0.25">
      <c r="A875" s="62" t="s">
        <v>2643</v>
      </c>
      <c r="B875" s="62">
        <v>882</v>
      </c>
      <c r="C875" s="62">
        <v>1871</v>
      </c>
      <c r="D875" s="63" t="s">
        <v>990</v>
      </c>
      <c r="E875" s="64" t="s">
        <v>24</v>
      </c>
      <c r="F875" s="64">
        <v>880</v>
      </c>
      <c r="G875" s="67">
        <v>875</v>
      </c>
    </row>
    <row r="876" spans="1:7" x14ac:dyDescent="0.25">
      <c r="A876" s="62" t="s">
        <v>2644</v>
      </c>
      <c r="B876" s="62">
        <v>883</v>
      </c>
      <c r="C876" s="62">
        <v>1872</v>
      </c>
      <c r="D876" s="63" t="s">
        <v>991</v>
      </c>
      <c r="E876" s="64" t="s">
        <v>24</v>
      </c>
      <c r="F876" s="64">
        <v>881</v>
      </c>
      <c r="G876" s="67">
        <v>876</v>
      </c>
    </row>
    <row r="877" spans="1:7" x14ac:dyDescent="0.25">
      <c r="A877" s="62" t="s">
        <v>2645</v>
      </c>
      <c r="B877" s="62">
        <v>884</v>
      </c>
      <c r="C877" s="62">
        <v>1873</v>
      </c>
      <c r="D877" s="63" t="s">
        <v>992</v>
      </c>
      <c r="E877" s="64" t="s">
        <v>24</v>
      </c>
      <c r="F877" s="64">
        <v>882</v>
      </c>
      <c r="G877" s="67">
        <v>877</v>
      </c>
    </row>
    <row r="878" spans="1:7" x14ac:dyDescent="0.25">
      <c r="A878" s="62" t="s">
        <v>2646</v>
      </c>
      <c r="B878" s="62">
        <v>885</v>
      </c>
      <c r="C878" s="62">
        <v>1874</v>
      </c>
      <c r="D878" s="63" t="s">
        <v>993</v>
      </c>
      <c r="E878" s="64" t="s">
        <v>994</v>
      </c>
      <c r="F878" s="64">
        <v>883</v>
      </c>
      <c r="G878" s="67">
        <v>878</v>
      </c>
    </row>
    <row r="879" spans="1:7" x14ac:dyDescent="0.25">
      <c r="A879" s="62" t="s">
        <v>2647</v>
      </c>
      <c r="B879" s="62">
        <v>886</v>
      </c>
      <c r="C879" s="62">
        <v>1875</v>
      </c>
      <c r="D879" s="63" t="s">
        <v>995</v>
      </c>
      <c r="E879" s="64" t="s">
        <v>24</v>
      </c>
      <c r="F879" s="64">
        <v>884</v>
      </c>
      <c r="G879" s="67">
        <v>879</v>
      </c>
    </row>
    <row r="880" spans="1:7" x14ac:dyDescent="0.25">
      <c r="A880" s="62" t="s">
        <v>2648</v>
      </c>
      <c r="B880" s="62">
        <v>887</v>
      </c>
      <c r="C880" s="62">
        <v>1876</v>
      </c>
      <c r="D880" s="63" t="s">
        <v>996</v>
      </c>
      <c r="E880" s="64" t="s">
        <v>24</v>
      </c>
      <c r="F880" s="64">
        <v>885</v>
      </c>
      <c r="G880" s="67">
        <v>880</v>
      </c>
    </row>
    <row r="881" spans="1:7" x14ac:dyDescent="0.25">
      <c r="A881" s="62" t="s">
        <v>2649</v>
      </c>
      <c r="B881" s="62">
        <v>888</v>
      </c>
      <c r="C881" s="62">
        <v>1877</v>
      </c>
      <c r="D881" s="63" t="s">
        <v>997</v>
      </c>
      <c r="E881" s="64" t="s">
        <v>24</v>
      </c>
      <c r="F881" s="64">
        <v>886</v>
      </c>
      <c r="G881" s="67">
        <v>881</v>
      </c>
    </row>
    <row r="882" spans="1:7" x14ac:dyDescent="0.25">
      <c r="A882" s="62" t="s">
        <v>2650</v>
      </c>
      <c r="B882" s="62">
        <v>889</v>
      </c>
      <c r="C882" s="62">
        <v>1878</v>
      </c>
      <c r="D882" s="63" t="s">
        <v>998</v>
      </c>
      <c r="E882" s="64" t="s">
        <v>55</v>
      </c>
      <c r="F882" s="64">
        <v>887</v>
      </c>
      <c r="G882" s="67">
        <v>882</v>
      </c>
    </row>
    <row r="883" spans="1:7" x14ac:dyDescent="0.25">
      <c r="A883" s="62" t="s">
        <v>2651</v>
      </c>
      <c r="B883" s="62">
        <v>890</v>
      </c>
      <c r="C883" s="62">
        <v>1879</v>
      </c>
      <c r="D883" s="63" t="s">
        <v>1000</v>
      </c>
      <c r="E883" s="64" t="s">
        <v>24</v>
      </c>
      <c r="F883" s="64">
        <v>888</v>
      </c>
      <c r="G883" s="67">
        <v>883</v>
      </c>
    </row>
    <row r="884" spans="1:7" x14ac:dyDescent="0.25">
      <c r="A884" s="62" t="s">
        <v>2652</v>
      </c>
      <c r="B884" s="62">
        <v>891</v>
      </c>
      <c r="C884" s="62">
        <v>1880</v>
      </c>
      <c r="D884" s="63" t="s">
        <v>1001</v>
      </c>
      <c r="E884" s="64" t="s">
        <v>24</v>
      </c>
      <c r="F884" s="64">
        <v>889</v>
      </c>
      <c r="G884" s="67">
        <v>884</v>
      </c>
    </row>
    <row r="885" spans="1:7" x14ac:dyDescent="0.25">
      <c r="A885" s="62" t="s">
        <v>2653</v>
      </c>
      <c r="B885" s="62">
        <v>892</v>
      </c>
      <c r="C885" s="62">
        <v>1881</v>
      </c>
      <c r="D885" s="63" t="s">
        <v>1002</v>
      </c>
      <c r="E885" s="64" t="s">
        <v>24</v>
      </c>
      <c r="F885" s="64">
        <v>890</v>
      </c>
      <c r="G885" s="67">
        <v>885</v>
      </c>
    </row>
    <row r="886" spans="1:7" x14ac:dyDescent="0.25">
      <c r="A886" s="62" t="s">
        <v>2654</v>
      </c>
      <c r="B886" s="62">
        <v>893</v>
      </c>
      <c r="C886" s="62">
        <v>1882</v>
      </c>
      <c r="D886" s="63" t="s">
        <v>1004</v>
      </c>
      <c r="E886" s="64" t="s">
        <v>24</v>
      </c>
      <c r="F886" s="64">
        <v>891</v>
      </c>
      <c r="G886" s="67">
        <v>886</v>
      </c>
    </row>
    <row r="887" spans="1:7" x14ac:dyDescent="0.25">
      <c r="A887" s="62" t="s">
        <v>2655</v>
      </c>
      <c r="B887" s="62">
        <v>894</v>
      </c>
      <c r="C887" s="62">
        <v>1883</v>
      </c>
      <c r="D887" s="63" t="s">
        <v>1005</v>
      </c>
      <c r="E887" s="64" t="s">
        <v>24</v>
      </c>
      <c r="F887" s="64">
        <v>892</v>
      </c>
      <c r="G887" s="67">
        <v>887</v>
      </c>
    </row>
    <row r="888" spans="1:7" x14ac:dyDescent="0.25">
      <c r="A888" s="62" t="s">
        <v>2656</v>
      </c>
      <c r="B888" s="62">
        <v>895</v>
      </c>
      <c r="C888" s="62">
        <v>1884</v>
      </c>
      <c r="D888" s="63" t="s">
        <v>1006</v>
      </c>
      <c r="E888" s="64" t="s">
        <v>24</v>
      </c>
      <c r="F888" s="64">
        <v>893</v>
      </c>
      <c r="G888" s="67">
        <v>888</v>
      </c>
    </row>
    <row r="889" spans="1:7" x14ac:dyDescent="0.25">
      <c r="A889" s="62" t="s">
        <v>2657</v>
      </c>
      <c r="B889" s="62">
        <v>896</v>
      </c>
      <c r="C889" s="62">
        <v>1885</v>
      </c>
      <c r="D889" s="63" t="s">
        <v>1007</v>
      </c>
      <c r="E889" s="64" t="s">
        <v>1008</v>
      </c>
      <c r="F889" s="64">
        <v>894</v>
      </c>
      <c r="G889" s="67">
        <v>889</v>
      </c>
    </row>
    <row r="890" spans="1:7" x14ac:dyDescent="0.25">
      <c r="A890" s="62" t="s">
        <v>2658</v>
      </c>
      <c r="B890" s="62">
        <v>897</v>
      </c>
      <c r="C890" s="62">
        <v>1886</v>
      </c>
      <c r="D890" s="63" t="s">
        <v>1009</v>
      </c>
      <c r="E890" s="64" t="s">
        <v>1008</v>
      </c>
      <c r="F890" s="64">
        <v>895</v>
      </c>
      <c r="G890" s="67">
        <v>890</v>
      </c>
    </row>
    <row r="891" spans="1:7" x14ac:dyDescent="0.25">
      <c r="A891" s="62" t="s">
        <v>2659</v>
      </c>
      <c r="B891" s="62">
        <v>898</v>
      </c>
      <c r="C891" s="62">
        <v>1887</v>
      </c>
      <c r="D891" s="63" t="s">
        <v>1010</v>
      </c>
      <c r="E891" s="64" t="s">
        <v>24</v>
      </c>
      <c r="F891" s="64">
        <v>896</v>
      </c>
      <c r="G891" s="67">
        <v>891</v>
      </c>
    </row>
    <row r="892" spans="1:7" x14ac:dyDescent="0.25">
      <c r="A892" s="62" t="s">
        <v>2660</v>
      </c>
      <c r="B892" s="62">
        <v>899</v>
      </c>
      <c r="C892" s="62">
        <v>1888</v>
      </c>
      <c r="D892" s="63" t="s">
        <v>1011</v>
      </c>
      <c r="E892" s="64" t="s">
        <v>24</v>
      </c>
      <c r="F892" s="64">
        <v>897</v>
      </c>
      <c r="G892" s="67">
        <v>892</v>
      </c>
    </row>
    <row r="893" spans="1:7" x14ac:dyDescent="0.25">
      <c r="A893" s="62" t="s">
        <v>2661</v>
      </c>
      <c r="B893" s="62">
        <v>900</v>
      </c>
      <c r="C893" s="62">
        <v>1889</v>
      </c>
      <c r="D893" s="63" t="s">
        <v>1012</v>
      </c>
      <c r="E893" s="64" t="s">
        <v>24</v>
      </c>
      <c r="F893" s="64">
        <v>898</v>
      </c>
      <c r="G893" s="67">
        <v>893</v>
      </c>
    </row>
    <row r="894" spans="1:7" x14ac:dyDescent="0.25">
      <c r="A894" s="62" t="s">
        <v>2662</v>
      </c>
      <c r="B894" s="62">
        <v>901</v>
      </c>
      <c r="C894" s="62">
        <v>1890</v>
      </c>
      <c r="D894" s="63" t="s">
        <v>1013</v>
      </c>
      <c r="E894" s="64" t="s">
        <v>24</v>
      </c>
      <c r="F894" s="64">
        <v>899</v>
      </c>
      <c r="G894" s="67">
        <v>894</v>
      </c>
    </row>
    <row r="895" spans="1:7" x14ac:dyDescent="0.25">
      <c r="A895" s="62" t="s">
        <v>2663</v>
      </c>
      <c r="B895" s="62">
        <v>902</v>
      </c>
      <c r="C895" s="62">
        <v>1891</v>
      </c>
      <c r="D895" s="63" t="s">
        <v>1014</v>
      </c>
      <c r="E895" s="64" t="s">
        <v>24</v>
      </c>
      <c r="F895" s="64">
        <v>900</v>
      </c>
      <c r="G895" s="67">
        <v>895</v>
      </c>
    </row>
    <row r="896" spans="1:7" x14ac:dyDescent="0.25">
      <c r="A896" s="62" t="s">
        <v>2664</v>
      </c>
      <c r="B896" s="62">
        <v>903</v>
      </c>
      <c r="C896" s="62">
        <v>1892</v>
      </c>
      <c r="D896" s="63" t="s">
        <v>1015</v>
      </c>
      <c r="E896" s="64" t="s">
        <v>24</v>
      </c>
      <c r="F896" s="64">
        <v>901</v>
      </c>
      <c r="G896" s="67">
        <v>896</v>
      </c>
    </row>
    <row r="897" spans="1:7" x14ac:dyDescent="0.25">
      <c r="A897" s="62" t="s">
        <v>2665</v>
      </c>
      <c r="B897" s="62">
        <v>904</v>
      </c>
      <c r="C897" s="62">
        <v>1893</v>
      </c>
      <c r="D897" s="63" t="s">
        <v>1016</v>
      </c>
      <c r="E897" s="64" t="s">
        <v>24</v>
      </c>
      <c r="F897" s="64">
        <v>902</v>
      </c>
      <c r="G897" s="67">
        <v>897</v>
      </c>
    </row>
    <row r="898" spans="1:7" x14ac:dyDescent="0.25">
      <c r="A898" s="62" t="s">
        <v>2666</v>
      </c>
      <c r="B898" s="62">
        <v>905</v>
      </c>
      <c r="C898" s="62">
        <v>1894</v>
      </c>
      <c r="D898" s="63" t="s">
        <v>1017</v>
      </c>
      <c r="E898" s="64" t="s">
        <v>24</v>
      </c>
      <c r="F898" s="64">
        <v>903</v>
      </c>
      <c r="G898" s="67">
        <v>898</v>
      </c>
    </row>
    <row r="899" spans="1:7" x14ac:dyDescent="0.25">
      <c r="A899" s="62" t="s">
        <v>2667</v>
      </c>
      <c r="B899" s="62">
        <v>906</v>
      </c>
      <c r="C899" s="62">
        <v>1895</v>
      </c>
      <c r="D899" s="63" t="s">
        <v>1018</v>
      </c>
      <c r="E899" s="64" t="s">
        <v>24</v>
      </c>
      <c r="F899" s="64">
        <v>904</v>
      </c>
      <c r="G899" s="67">
        <v>899</v>
      </c>
    </row>
    <row r="900" spans="1:7" x14ac:dyDescent="0.25">
      <c r="A900" s="62" t="s">
        <v>2668</v>
      </c>
      <c r="B900" s="62">
        <v>907</v>
      </c>
      <c r="C900" s="62">
        <v>1896</v>
      </c>
      <c r="D900" s="63" t="s">
        <v>1019</v>
      </c>
      <c r="E900" s="64" t="s">
        <v>24</v>
      </c>
      <c r="F900" s="64">
        <v>905</v>
      </c>
      <c r="G900" s="67">
        <v>900</v>
      </c>
    </row>
    <row r="901" spans="1:7" x14ac:dyDescent="0.25">
      <c r="A901" s="62" t="s">
        <v>2669</v>
      </c>
      <c r="B901" s="62">
        <v>908</v>
      </c>
      <c r="C901" s="62">
        <v>1897</v>
      </c>
      <c r="D901" s="63" t="s">
        <v>1020</v>
      </c>
      <c r="E901" s="64" t="s">
        <v>55</v>
      </c>
      <c r="F901" s="64">
        <v>906</v>
      </c>
      <c r="G901" s="67">
        <v>901</v>
      </c>
    </row>
    <row r="902" spans="1:7" x14ac:dyDescent="0.25">
      <c r="A902" s="62" t="s">
        <v>2670</v>
      </c>
      <c r="B902" s="62">
        <v>909</v>
      </c>
      <c r="C902" s="62">
        <v>1898</v>
      </c>
      <c r="D902" s="63" t="s">
        <v>1021</v>
      </c>
      <c r="E902" s="64" t="s">
        <v>24</v>
      </c>
      <c r="F902" s="64">
        <v>907</v>
      </c>
      <c r="G902" s="67">
        <v>902</v>
      </c>
    </row>
    <row r="903" spans="1:7" x14ac:dyDescent="0.25">
      <c r="A903" s="62" t="s">
        <v>2671</v>
      </c>
      <c r="B903" s="62">
        <v>910</v>
      </c>
      <c r="C903" s="62">
        <v>1899</v>
      </c>
      <c r="D903" s="63" t="s">
        <v>1022</v>
      </c>
      <c r="E903" s="64" t="s">
        <v>24</v>
      </c>
      <c r="F903" s="64">
        <v>908</v>
      </c>
      <c r="G903" s="67">
        <v>903</v>
      </c>
    </row>
    <row r="904" spans="1:7" x14ac:dyDescent="0.25">
      <c r="A904" s="62" t="s">
        <v>2672</v>
      </c>
      <c r="B904" s="62">
        <v>911</v>
      </c>
      <c r="C904" s="62">
        <v>1900</v>
      </c>
      <c r="D904" s="63" t="s">
        <v>1023</v>
      </c>
      <c r="E904" s="64" t="s">
        <v>1008</v>
      </c>
      <c r="F904" s="64">
        <v>909</v>
      </c>
      <c r="G904" s="67">
        <v>904</v>
      </c>
    </row>
    <row r="905" spans="1:7" x14ac:dyDescent="0.25">
      <c r="A905" s="62" t="s">
        <v>2673</v>
      </c>
      <c r="B905" s="62">
        <v>912</v>
      </c>
      <c r="C905" s="62">
        <v>1901</v>
      </c>
      <c r="D905" s="63" t="s">
        <v>1024</v>
      </c>
      <c r="E905" s="64" t="s">
        <v>1008</v>
      </c>
      <c r="F905" s="64">
        <v>910</v>
      </c>
      <c r="G905" s="67">
        <v>905</v>
      </c>
    </row>
    <row r="906" spans="1:7" x14ac:dyDescent="0.25">
      <c r="A906" s="62" t="s">
        <v>2674</v>
      </c>
      <c r="B906" s="62">
        <v>913</v>
      </c>
      <c r="C906" s="62">
        <v>1902</v>
      </c>
      <c r="D906" s="63" t="s">
        <v>1025</v>
      </c>
      <c r="E906" s="64" t="s">
        <v>93</v>
      </c>
      <c r="F906" s="64">
        <v>911</v>
      </c>
      <c r="G906" s="67">
        <v>906</v>
      </c>
    </row>
    <row r="907" spans="1:7" x14ac:dyDescent="0.25">
      <c r="A907" s="62" t="s">
        <v>2675</v>
      </c>
      <c r="B907" s="62">
        <v>914</v>
      </c>
      <c r="C907" s="62">
        <v>1903</v>
      </c>
      <c r="D907" s="63" t="s">
        <v>1026</v>
      </c>
      <c r="E907" s="64" t="s">
        <v>93</v>
      </c>
      <c r="F907" s="64">
        <v>912</v>
      </c>
      <c r="G907" s="67">
        <v>907</v>
      </c>
    </row>
    <row r="908" spans="1:7" x14ac:dyDescent="0.25">
      <c r="A908" s="62" t="s">
        <v>2676</v>
      </c>
      <c r="B908" s="62">
        <v>915</v>
      </c>
      <c r="C908" s="62">
        <v>1904</v>
      </c>
      <c r="D908" s="63" t="s">
        <v>1027</v>
      </c>
      <c r="E908" s="64" t="s">
        <v>24</v>
      </c>
      <c r="F908" s="64">
        <v>913</v>
      </c>
      <c r="G908" s="67">
        <v>908</v>
      </c>
    </row>
    <row r="909" spans="1:7" x14ac:dyDescent="0.25">
      <c r="A909" s="62" t="s">
        <v>2677</v>
      </c>
      <c r="B909" s="62">
        <v>916</v>
      </c>
      <c r="C909" s="62">
        <v>1905</v>
      </c>
      <c r="D909" s="63" t="s">
        <v>1028</v>
      </c>
      <c r="E909" s="64" t="s">
        <v>24</v>
      </c>
      <c r="F909" s="64">
        <v>914</v>
      </c>
      <c r="G909" s="67">
        <v>909</v>
      </c>
    </row>
    <row r="910" spans="1:7" x14ac:dyDescent="0.25">
      <c r="A910" s="62" t="s">
        <v>2678</v>
      </c>
      <c r="B910" s="62">
        <v>917</v>
      </c>
      <c r="C910" s="62">
        <v>1906</v>
      </c>
      <c r="D910" s="63" t="s">
        <v>1029</v>
      </c>
      <c r="E910" s="64" t="s">
        <v>24</v>
      </c>
      <c r="F910" s="64">
        <v>915</v>
      </c>
      <c r="G910" s="67">
        <v>910</v>
      </c>
    </row>
    <row r="911" spans="1:7" x14ac:dyDescent="0.25">
      <c r="A911" s="62" t="s">
        <v>2679</v>
      </c>
      <c r="B911" s="62">
        <v>918</v>
      </c>
      <c r="C911" s="62">
        <v>1907</v>
      </c>
      <c r="D911" s="63" t="s">
        <v>1030</v>
      </c>
      <c r="E911" s="64" t="s">
        <v>24</v>
      </c>
      <c r="F911" s="64">
        <v>916</v>
      </c>
      <c r="G911" s="67">
        <v>911</v>
      </c>
    </row>
    <row r="912" spans="1:7" x14ac:dyDescent="0.25">
      <c r="A912" s="62" t="s">
        <v>2680</v>
      </c>
      <c r="B912" s="62">
        <v>919</v>
      </c>
      <c r="C912" s="62">
        <v>1908</v>
      </c>
      <c r="D912" s="63" t="s">
        <v>1031</v>
      </c>
      <c r="E912" s="64" t="s">
        <v>24</v>
      </c>
      <c r="F912" s="64">
        <v>917</v>
      </c>
      <c r="G912" s="67">
        <v>912</v>
      </c>
    </row>
    <row r="913" spans="1:7" x14ac:dyDescent="0.25">
      <c r="A913" s="62" t="s">
        <v>2681</v>
      </c>
      <c r="B913" s="62">
        <v>920</v>
      </c>
      <c r="C913" s="62">
        <v>1909</v>
      </c>
      <c r="D913" s="63" t="s">
        <v>1032</v>
      </c>
      <c r="E913" s="64" t="s">
        <v>24</v>
      </c>
      <c r="F913" s="64">
        <v>918</v>
      </c>
      <c r="G913" s="67">
        <v>913</v>
      </c>
    </row>
    <row r="914" spans="1:7" x14ac:dyDescent="0.25">
      <c r="A914" s="62" t="s">
        <v>2682</v>
      </c>
      <c r="B914" s="62">
        <v>921</v>
      </c>
      <c r="C914" s="62">
        <v>1910</v>
      </c>
      <c r="D914" s="63" t="s">
        <v>1033</v>
      </c>
      <c r="E914" s="64" t="s">
        <v>24</v>
      </c>
      <c r="F914" s="64">
        <v>919</v>
      </c>
      <c r="G914" s="67">
        <v>914</v>
      </c>
    </row>
    <row r="915" spans="1:7" x14ac:dyDescent="0.25">
      <c r="A915" s="62" t="s">
        <v>2683</v>
      </c>
      <c r="B915" s="62">
        <v>922</v>
      </c>
      <c r="C915" s="62">
        <v>1911</v>
      </c>
      <c r="D915" s="63" t="s">
        <v>1034</v>
      </c>
      <c r="E915" s="64" t="s">
        <v>24</v>
      </c>
      <c r="F915" s="64">
        <v>920</v>
      </c>
      <c r="G915" s="67">
        <v>915</v>
      </c>
    </row>
    <row r="916" spans="1:7" x14ac:dyDescent="0.25">
      <c r="A916" s="62" t="s">
        <v>2684</v>
      </c>
      <c r="B916" s="62">
        <v>923</v>
      </c>
      <c r="C916" s="62">
        <v>1912</v>
      </c>
      <c r="D916" s="63" t="s">
        <v>1035</v>
      </c>
      <c r="E916" s="64" t="s">
        <v>24</v>
      </c>
      <c r="F916" s="64">
        <v>921</v>
      </c>
      <c r="G916" s="67">
        <v>916</v>
      </c>
    </row>
    <row r="917" spans="1:7" x14ac:dyDescent="0.25">
      <c r="A917" s="62" t="s">
        <v>2685</v>
      </c>
      <c r="B917" s="62">
        <v>924</v>
      </c>
      <c r="C917" s="62">
        <v>1913</v>
      </c>
      <c r="D917" s="63" t="s">
        <v>1036</v>
      </c>
      <c r="E917" s="64" t="s">
        <v>24</v>
      </c>
      <c r="F917" s="64">
        <v>922</v>
      </c>
      <c r="G917" s="67">
        <v>917</v>
      </c>
    </row>
    <row r="918" spans="1:7" x14ac:dyDescent="0.25">
      <c r="A918" s="62" t="s">
        <v>2686</v>
      </c>
      <c r="B918" s="62">
        <v>925</v>
      </c>
      <c r="C918" s="62">
        <v>1914</v>
      </c>
      <c r="D918" s="63" t="s">
        <v>1037</v>
      </c>
      <c r="E918" s="64" t="s">
        <v>24</v>
      </c>
      <c r="F918" s="64">
        <v>923</v>
      </c>
      <c r="G918" s="67">
        <v>918</v>
      </c>
    </row>
    <row r="919" spans="1:7" x14ac:dyDescent="0.25">
      <c r="A919" s="62" t="s">
        <v>2687</v>
      </c>
      <c r="B919" s="62">
        <v>926</v>
      </c>
      <c r="C919" s="62">
        <v>1915</v>
      </c>
      <c r="D919" s="63" t="s">
        <v>1038</v>
      </c>
      <c r="E919" s="64" t="s">
        <v>24</v>
      </c>
      <c r="F919" s="64">
        <v>924</v>
      </c>
      <c r="G919" s="67">
        <v>919</v>
      </c>
    </row>
    <row r="920" spans="1:7" x14ac:dyDescent="0.25">
      <c r="A920" s="62" t="s">
        <v>2688</v>
      </c>
      <c r="B920" s="62">
        <v>927</v>
      </c>
      <c r="C920" s="62">
        <v>1916</v>
      </c>
      <c r="D920" s="63" t="s">
        <v>1039</v>
      </c>
      <c r="E920" s="64" t="s">
        <v>24</v>
      </c>
      <c r="F920" s="64">
        <v>925</v>
      </c>
      <c r="G920" s="67">
        <v>920</v>
      </c>
    </row>
    <row r="921" spans="1:7" x14ac:dyDescent="0.25">
      <c r="A921" s="62" t="s">
        <v>2689</v>
      </c>
      <c r="B921" s="62">
        <v>928</v>
      </c>
      <c r="C921" s="62">
        <v>1917</v>
      </c>
      <c r="D921" s="63" t="s">
        <v>1040</v>
      </c>
      <c r="E921" s="64" t="s">
        <v>24</v>
      </c>
      <c r="F921" s="64">
        <v>926</v>
      </c>
      <c r="G921" s="67">
        <v>921</v>
      </c>
    </row>
    <row r="922" spans="1:7" x14ac:dyDescent="0.25">
      <c r="A922" s="62" t="s">
        <v>2690</v>
      </c>
      <c r="B922" s="62">
        <v>929</v>
      </c>
      <c r="C922" s="62">
        <v>1918</v>
      </c>
      <c r="D922" s="63" t="s">
        <v>1041</v>
      </c>
      <c r="E922" s="64" t="s">
        <v>24</v>
      </c>
      <c r="F922" s="64">
        <v>927</v>
      </c>
      <c r="G922" s="67">
        <v>922</v>
      </c>
    </row>
    <row r="923" spans="1:7" x14ac:dyDescent="0.25">
      <c r="A923" s="62" t="s">
        <v>2691</v>
      </c>
      <c r="B923" s="62">
        <v>930</v>
      </c>
      <c r="C923" s="62">
        <v>1919</v>
      </c>
      <c r="D923" s="63" t="s">
        <v>1042</v>
      </c>
      <c r="E923" s="64" t="s">
        <v>24</v>
      </c>
      <c r="F923" s="64">
        <v>928</v>
      </c>
      <c r="G923" s="67">
        <v>923</v>
      </c>
    </row>
    <row r="924" spans="1:7" x14ac:dyDescent="0.25">
      <c r="A924" s="62" t="s">
        <v>2692</v>
      </c>
      <c r="B924" s="62">
        <v>931</v>
      </c>
      <c r="C924" s="62">
        <v>1920</v>
      </c>
      <c r="D924" s="63" t="s">
        <v>1043</v>
      </c>
      <c r="E924" s="64" t="s">
        <v>24</v>
      </c>
      <c r="F924" s="64">
        <v>929</v>
      </c>
      <c r="G924" s="67">
        <v>924</v>
      </c>
    </row>
    <row r="925" spans="1:7" x14ac:dyDescent="0.25">
      <c r="A925" s="62" t="s">
        <v>2693</v>
      </c>
      <c r="B925" s="62">
        <v>932</v>
      </c>
      <c r="C925" s="62">
        <v>1921</v>
      </c>
      <c r="D925" s="63" t="s">
        <v>1044</v>
      </c>
      <c r="E925" s="64" t="s">
        <v>24</v>
      </c>
      <c r="F925" s="64">
        <v>930</v>
      </c>
      <c r="G925" s="67">
        <v>925</v>
      </c>
    </row>
    <row r="926" spans="1:7" x14ac:dyDescent="0.25">
      <c r="A926" s="62" t="s">
        <v>2694</v>
      </c>
      <c r="B926" s="62">
        <v>933</v>
      </c>
      <c r="C926" s="62">
        <v>1922</v>
      </c>
      <c r="D926" s="63" t="s">
        <v>1045</v>
      </c>
      <c r="E926" s="64" t="s">
        <v>24</v>
      </c>
      <c r="F926" s="64">
        <v>931</v>
      </c>
      <c r="G926" s="67">
        <v>926</v>
      </c>
    </row>
    <row r="927" spans="1:7" x14ac:dyDescent="0.25">
      <c r="A927" s="62" t="s">
        <v>2695</v>
      </c>
      <c r="B927" s="62">
        <v>934</v>
      </c>
      <c r="C927" s="62">
        <v>1923</v>
      </c>
      <c r="D927" s="63" t="s">
        <v>1046</v>
      </c>
      <c r="E927" s="64" t="s">
        <v>24</v>
      </c>
      <c r="F927" s="64">
        <v>932</v>
      </c>
      <c r="G927" s="67">
        <v>927</v>
      </c>
    </row>
    <row r="928" spans="1:7" x14ac:dyDescent="0.25">
      <c r="A928" s="62" t="s">
        <v>2696</v>
      </c>
      <c r="B928" s="62">
        <v>935</v>
      </c>
      <c r="C928" s="62">
        <v>1924</v>
      </c>
      <c r="D928" s="63" t="s">
        <v>1047</v>
      </c>
      <c r="E928" s="64" t="s">
        <v>24</v>
      </c>
      <c r="F928" s="64">
        <v>933</v>
      </c>
      <c r="G928" s="67">
        <v>928</v>
      </c>
    </row>
    <row r="929" spans="1:7" x14ac:dyDescent="0.25">
      <c r="A929" s="62" t="s">
        <v>2697</v>
      </c>
      <c r="B929" s="62">
        <v>936</v>
      </c>
      <c r="C929" s="62">
        <v>1925</v>
      </c>
      <c r="D929" s="63" t="s">
        <v>1048</v>
      </c>
      <c r="E929" s="64" t="s">
        <v>24</v>
      </c>
      <c r="F929" s="64">
        <v>934</v>
      </c>
      <c r="G929" s="67">
        <v>929</v>
      </c>
    </row>
    <row r="930" spans="1:7" x14ac:dyDescent="0.25">
      <c r="A930" s="62" t="s">
        <v>2698</v>
      </c>
      <c r="B930" s="62">
        <v>937</v>
      </c>
      <c r="C930" s="62">
        <v>1926</v>
      </c>
      <c r="D930" s="63" t="s">
        <v>1050</v>
      </c>
      <c r="E930" s="64" t="s">
        <v>24</v>
      </c>
      <c r="F930" s="64">
        <v>935</v>
      </c>
      <c r="G930" s="67">
        <v>930</v>
      </c>
    </row>
    <row r="931" spans="1:7" x14ac:dyDescent="0.25">
      <c r="A931" s="62" t="s">
        <v>2699</v>
      </c>
      <c r="B931" s="62">
        <v>938</v>
      </c>
      <c r="C931" s="62">
        <v>1927</v>
      </c>
      <c r="D931" s="63" t="s">
        <v>1051</v>
      </c>
      <c r="E931" s="64" t="s">
        <v>24</v>
      </c>
      <c r="F931" s="64">
        <v>936</v>
      </c>
      <c r="G931" s="67">
        <v>931</v>
      </c>
    </row>
    <row r="932" spans="1:7" x14ac:dyDescent="0.25">
      <c r="A932" s="62" t="s">
        <v>2700</v>
      </c>
      <c r="B932" s="62">
        <v>939</v>
      </c>
      <c r="C932" s="62">
        <v>1928</v>
      </c>
      <c r="D932" s="63" t="s">
        <v>1052</v>
      </c>
      <c r="E932" s="64" t="s">
        <v>24</v>
      </c>
      <c r="F932" s="64">
        <v>937</v>
      </c>
      <c r="G932" s="67">
        <v>932</v>
      </c>
    </row>
    <row r="933" spans="1:7" x14ac:dyDescent="0.25">
      <c r="A933" s="62" t="s">
        <v>2701</v>
      </c>
      <c r="B933" s="62">
        <v>940</v>
      </c>
      <c r="C933" s="62">
        <v>1929</v>
      </c>
      <c r="D933" s="63" t="s">
        <v>1054</v>
      </c>
      <c r="E933" s="64" t="s">
        <v>24</v>
      </c>
      <c r="F933" s="64">
        <v>938</v>
      </c>
      <c r="G933" s="67">
        <v>933</v>
      </c>
    </row>
    <row r="934" spans="1:7" x14ac:dyDescent="0.25">
      <c r="A934" s="62" t="s">
        <v>2702</v>
      </c>
      <c r="B934" s="62">
        <v>941</v>
      </c>
      <c r="C934" s="62">
        <v>1930</v>
      </c>
      <c r="D934" s="63" t="s">
        <v>1055</v>
      </c>
      <c r="E934" s="64" t="s">
        <v>24</v>
      </c>
      <c r="F934" s="64">
        <v>939</v>
      </c>
      <c r="G934" s="67">
        <v>934</v>
      </c>
    </row>
    <row r="935" spans="1:7" x14ac:dyDescent="0.25">
      <c r="A935" s="62" t="s">
        <v>2703</v>
      </c>
      <c r="B935" s="62">
        <v>943</v>
      </c>
      <c r="C935" s="62">
        <v>1931</v>
      </c>
      <c r="D935" s="63" t="s">
        <v>1056</v>
      </c>
      <c r="E935" s="64" t="s">
        <v>24</v>
      </c>
      <c r="F935" s="64">
        <v>940</v>
      </c>
      <c r="G935" s="67">
        <v>935</v>
      </c>
    </row>
    <row r="936" spans="1:7" x14ac:dyDescent="0.25">
      <c r="A936" s="62" t="s">
        <v>2704</v>
      </c>
      <c r="B936" s="62">
        <v>944</v>
      </c>
      <c r="C936" s="62">
        <v>1932</v>
      </c>
      <c r="D936" s="63" t="s">
        <v>1057</v>
      </c>
      <c r="E936" s="64" t="s">
        <v>24</v>
      </c>
      <c r="F936" s="64">
        <v>941</v>
      </c>
      <c r="G936" s="67">
        <v>936</v>
      </c>
    </row>
    <row r="937" spans="1:7" x14ac:dyDescent="0.25">
      <c r="A937" s="62" t="s">
        <v>2705</v>
      </c>
      <c r="B937" s="62">
        <v>945</v>
      </c>
      <c r="C937" s="62">
        <v>1933</v>
      </c>
      <c r="D937" s="63" t="s">
        <v>1058</v>
      </c>
      <c r="E937" s="64" t="s">
        <v>24</v>
      </c>
      <c r="F937" s="64">
        <v>942</v>
      </c>
      <c r="G937" s="67">
        <v>937</v>
      </c>
    </row>
    <row r="938" spans="1:7" x14ac:dyDescent="0.25">
      <c r="A938" s="62" t="s">
        <v>2706</v>
      </c>
      <c r="B938" s="62">
        <v>946</v>
      </c>
      <c r="C938" s="62">
        <v>1934</v>
      </c>
      <c r="D938" s="63" t="s">
        <v>1059</v>
      </c>
      <c r="E938" s="64" t="s">
        <v>24</v>
      </c>
      <c r="F938" s="64">
        <v>943</v>
      </c>
      <c r="G938" s="67">
        <v>938</v>
      </c>
    </row>
    <row r="939" spans="1:7" x14ac:dyDescent="0.25">
      <c r="A939" s="62" t="s">
        <v>2707</v>
      </c>
      <c r="B939" s="62">
        <v>947</v>
      </c>
      <c r="C939" s="62">
        <v>1935</v>
      </c>
      <c r="D939" s="63" t="s">
        <v>1060</v>
      </c>
      <c r="E939" s="64" t="s">
        <v>24</v>
      </c>
      <c r="F939" s="64">
        <v>944</v>
      </c>
      <c r="G939" s="67">
        <v>939</v>
      </c>
    </row>
    <row r="940" spans="1:7" x14ac:dyDescent="0.25">
      <c r="A940" s="62" t="s">
        <v>2708</v>
      </c>
      <c r="B940" s="62">
        <v>948</v>
      </c>
      <c r="C940" s="62">
        <v>1936</v>
      </c>
      <c r="D940" s="63" t="s">
        <v>1061</v>
      </c>
      <c r="E940" s="64" t="s">
        <v>24</v>
      </c>
      <c r="F940" s="64">
        <v>945</v>
      </c>
      <c r="G940" s="67">
        <v>940</v>
      </c>
    </row>
    <row r="941" spans="1:7" x14ac:dyDescent="0.25">
      <c r="A941" s="62" t="s">
        <v>2709</v>
      </c>
      <c r="B941" s="62">
        <v>949</v>
      </c>
      <c r="C941" s="62">
        <v>1937</v>
      </c>
      <c r="D941" s="63" t="s">
        <v>1062</v>
      </c>
      <c r="E941" s="64" t="s">
        <v>24</v>
      </c>
      <c r="F941" s="64">
        <v>946</v>
      </c>
      <c r="G941" s="67">
        <v>941</v>
      </c>
    </row>
    <row r="942" spans="1:7" x14ac:dyDescent="0.25">
      <c r="A942" s="62" t="s">
        <v>2710</v>
      </c>
      <c r="B942" s="62">
        <v>950</v>
      </c>
      <c r="C942" s="62">
        <v>1938</v>
      </c>
      <c r="D942" s="63" t="s">
        <v>1063</v>
      </c>
      <c r="E942" s="64" t="s">
        <v>24</v>
      </c>
      <c r="F942" s="64">
        <v>947</v>
      </c>
      <c r="G942" s="67">
        <v>942</v>
      </c>
    </row>
    <row r="943" spans="1:7" x14ac:dyDescent="0.25">
      <c r="A943" s="62" t="s">
        <v>2711</v>
      </c>
      <c r="B943" s="62">
        <v>951</v>
      </c>
      <c r="C943" s="62">
        <v>1939</v>
      </c>
      <c r="D943" s="63" t="s">
        <v>1064</v>
      </c>
      <c r="E943" s="64" t="s">
        <v>24</v>
      </c>
      <c r="F943" s="64">
        <v>948</v>
      </c>
      <c r="G943" s="67">
        <v>943</v>
      </c>
    </row>
    <row r="944" spans="1:7" x14ac:dyDescent="0.25">
      <c r="A944" s="62" t="s">
        <v>2712</v>
      </c>
      <c r="B944" s="62">
        <v>952</v>
      </c>
      <c r="C944" s="62">
        <v>1940</v>
      </c>
      <c r="D944" s="63" t="s">
        <v>1065</v>
      </c>
      <c r="E944" s="64" t="s">
        <v>24</v>
      </c>
      <c r="F944" s="64">
        <v>949</v>
      </c>
      <c r="G944" s="67">
        <v>944</v>
      </c>
    </row>
    <row r="945" spans="1:7" x14ac:dyDescent="0.25">
      <c r="A945" s="62" t="s">
        <v>2713</v>
      </c>
      <c r="B945" s="62">
        <v>953</v>
      </c>
      <c r="C945" s="62">
        <v>1941</v>
      </c>
      <c r="D945" s="63" t="s">
        <v>1066</v>
      </c>
      <c r="E945" s="64" t="s">
        <v>24</v>
      </c>
      <c r="F945" s="64">
        <v>950</v>
      </c>
      <c r="G945" s="67">
        <v>945</v>
      </c>
    </row>
    <row r="946" spans="1:7" x14ac:dyDescent="0.25">
      <c r="A946" s="62" t="s">
        <v>2714</v>
      </c>
      <c r="B946" s="62">
        <v>954</v>
      </c>
      <c r="C946" s="62">
        <v>1942</v>
      </c>
      <c r="D946" s="63" t="s">
        <v>1067</v>
      </c>
      <c r="E946" s="64" t="s">
        <v>24</v>
      </c>
      <c r="F946" s="64">
        <v>951</v>
      </c>
      <c r="G946" s="67">
        <v>946</v>
      </c>
    </row>
    <row r="947" spans="1:7" x14ac:dyDescent="0.25">
      <c r="A947" s="62" t="s">
        <v>2715</v>
      </c>
      <c r="B947" s="62">
        <v>955</v>
      </c>
      <c r="C947" s="62">
        <v>1943</v>
      </c>
      <c r="D947" s="63" t="s">
        <v>1068</v>
      </c>
      <c r="E947" s="64" t="s">
        <v>24</v>
      </c>
      <c r="F947" s="64">
        <v>952</v>
      </c>
      <c r="G947" s="67">
        <v>947</v>
      </c>
    </row>
    <row r="948" spans="1:7" x14ac:dyDescent="0.25">
      <c r="A948" s="62" t="s">
        <v>2716</v>
      </c>
      <c r="B948" s="62">
        <v>956</v>
      </c>
      <c r="C948" s="62">
        <v>1944</v>
      </c>
      <c r="D948" s="63" t="s">
        <v>1070</v>
      </c>
      <c r="E948" s="64" t="s">
        <v>24</v>
      </c>
      <c r="F948" s="64">
        <v>953</v>
      </c>
      <c r="G948" s="67">
        <v>948</v>
      </c>
    </row>
    <row r="949" spans="1:7" x14ac:dyDescent="0.25">
      <c r="A949" s="62" t="s">
        <v>2717</v>
      </c>
      <c r="B949" s="62">
        <v>957</v>
      </c>
      <c r="C949" s="62">
        <v>1945</v>
      </c>
      <c r="D949" s="63" t="s">
        <v>1071</v>
      </c>
      <c r="E949" s="64" t="s">
        <v>24</v>
      </c>
      <c r="F949" s="64">
        <v>954</v>
      </c>
      <c r="G949" s="67">
        <v>949</v>
      </c>
    </row>
    <row r="950" spans="1:7" x14ac:dyDescent="0.25">
      <c r="A950" s="62" t="s">
        <v>2718</v>
      </c>
      <c r="B950" s="62">
        <v>958</v>
      </c>
      <c r="C950" s="62">
        <v>1946</v>
      </c>
      <c r="D950" s="63" t="s">
        <v>1072</v>
      </c>
      <c r="E950" s="64" t="s">
        <v>24</v>
      </c>
      <c r="F950" s="64">
        <v>955</v>
      </c>
      <c r="G950" s="67">
        <v>950</v>
      </c>
    </row>
    <row r="951" spans="1:7" x14ac:dyDescent="0.25">
      <c r="A951" s="62" t="s">
        <v>2719</v>
      </c>
      <c r="B951" s="62">
        <v>959</v>
      </c>
      <c r="C951" s="62">
        <v>1947</v>
      </c>
      <c r="D951" s="63" t="s">
        <v>1073</v>
      </c>
      <c r="E951" s="64" t="s">
        <v>24</v>
      </c>
      <c r="F951" s="64">
        <v>956</v>
      </c>
      <c r="G951" s="67">
        <v>951</v>
      </c>
    </row>
    <row r="952" spans="1:7" x14ac:dyDescent="0.25">
      <c r="A952" s="62" t="s">
        <v>2720</v>
      </c>
      <c r="B952" s="62">
        <v>960</v>
      </c>
      <c r="C952" s="62">
        <v>1948</v>
      </c>
      <c r="D952" s="63" t="s">
        <v>1074</v>
      </c>
      <c r="E952" s="64" t="s">
        <v>24</v>
      </c>
      <c r="F952" s="64">
        <v>957</v>
      </c>
      <c r="G952" s="67">
        <v>952</v>
      </c>
    </row>
    <row r="953" spans="1:7" x14ac:dyDescent="0.25">
      <c r="A953" s="62" t="s">
        <v>2721</v>
      </c>
      <c r="B953" s="62">
        <v>961</v>
      </c>
      <c r="C953" s="62">
        <v>1949</v>
      </c>
      <c r="D953" s="63" t="s">
        <v>1075</v>
      </c>
      <c r="E953" s="64" t="s">
        <v>24</v>
      </c>
      <c r="F953" s="64">
        <v>958</v>
      </c>
      <c r="G953" s="67">
        <v>953</v>
      </c>
    </row>
    <row r="954" spans="1:7" x14ac:dyDescent="0.25">
      <c r="A954" s="62" t="s">
        <v>2722</v>
      </c>
      <c r="B954" s="62">
        <v>962</v>
      </c>
      <c r="C954" s="62">
        <v>1950</v>
      </c>
      <c r="D954" s="63" t="s">
        <v>1076</v>
      </c>
      <c r="E954" s="64" t="s">
        <v>24</v>
      </c>
      <c r="F954" s="64">
        <v>959</v>
      </c>
      <c r="G954" s="67">
        <v>954</v>
      </c>
    </row>
    <row r="955" spans="1:7" x14ac:dyDescent="0.25">
      <c r="A955" s="62" t="s">
        <v>2723</v>
      </c>
      <c r="B955" s="62">
        <v>963</v>
      </c>
      <c r="C955" s="62">
        <v>1951</v>
      </c>
      <c r="D955" s="63" t="s">
        <v>1077</v>
      </c>
      <c r="E955" s="64" t="s">
        <v>24</v>
      </c>
      <c r="F955" s="64">
        <v>960</v>
      </c>
      <c r="G955" s="67">
        <v>955</v>
      </c>
    </row>
    <row r="956" spans="1:7" x14ac:dyDescent="0.25">
      <c r="A956" s="62" t="s">
        <v>2724</v>
      </c>
      <c r="B956" s="62">
        <v>964</v>
      </c>
      <c r="C956" s="62">
        <v>1952</v>
      </c>
      <c r="D956" s="63" t="s">
        <v>1078</v>
      </c>
      <c r="E956" s="64" t="s">
        <v>24</v>
      </c>
      <c r="F956" s="64">
        <v>961</v>
      </c>
      <c r="G956" s="67">
        <v>956</v>
      </c>
    </row>
    <row r="957" spans="1:7" x14ac:dyDescent="0.25">
      <c r="A957" s="62" t="s">
        <v>2725</v>
      </c>
      <c r="B957" s="62">
        <v>965</v>
      </c>
      <c r="C957" s="62">
        <v>1953</v>
      </c>
      <c r="D957" s="63" t="s">
        <v>1079</v>
      </c>
      <c r="E957" s="64" t="s">
        <v>24</v>
      </c>
      <c r="F957" s="64">
        <v>962</v>
      </c>
      <c r="G957" s="67">
        <v>957</v>
      </c>
    </row>
    <row r="958" spans="1:7" x14ac:dyDescent="0.25">
      <c r="A958" s="62" t="s">
        <v>2726</v>
      </c>
      <c r="B958" s="62">
        <v>966</v>
      </c>
      <c r="C958" s="62">
        <v>1954</v>
      </c>
      <c r="D958" s="63" t="s">
        <v>1080</v>
      </c>
      <c r="E958" s="64" t="s">
        <v>24</v>
      </c>
      <c r="F958" s="64">
        <v>963</v>
      </c>
      <c r="G958" s="67">
        <v>958</v>
      </c>
    </row>
    <row r="959" spans="1:7" x14ac:dyDescent="0.25">
      <c r="A959" s="62" t="s">
        <v>2727</v>
      </c>
      <c r="B959" s="62">
        <v>967</v>
      </c>
      <c r="C959" s="62">
        <v>1955</v>
      </c>
      <c r="D959" s="63" t="s">
        <v>1081</v>
      </c>
      <c r="E959" s="64" t="s">
        <v>24</v>
      </c>
      <c r="F959" s="64">
        <v>964</v>
      </c>
      <c r="G959" s="67">
        <v>959</v>
      </c>
    </row>
    <row r="960" spans="1:7" x14ac:dyDescent="0.25">
      <c r="A960" s="62" t="s">
        <v>2728</v>
      </c>
      <c r="B960" s="62">
        <v>968</v>
      </c>
      <c r="C960" s="62">
        <v>1956</v>
      </c>
      <c r="D960" s="63" t="s">
        <v>1082</v>
      </c>
      <c r="E960" s="64" t="s">
        <v>24</v>
      </c>
      <c r="F960" s="64">
        <v>965</v>
      </c>
      <c r="G960" s="67">
        <v>960</v>
      </c>
    </row>
    <row r="961" spans="1:7" x14ac:dyDescent="0.25">
      <c r="A961" s="62" t="s">
        <v>2729</v>
      </c>
      <c r="B961" s="62">
        <v>969</v>
      </c>
      <c r="C961" s="62">
        <v>1957</v>
      </c>
      <c r="D961" s="63" t="s">
        <v>1083</v>
      </c>
      <c r="E961" s="64" t="s">
        <v>24</v>
      </c>
      <c r="F961" s="64">
        <v>966</v>
      </c>
      <c r="G961" s="67">
        <v>961</v>
      </c>
    </row>
    <row r="962" spans="1:7" x14ac:dyDescent="0.25">
      <c r="A962" s="62" t="s">
        <v>2730</v>
      </c>
      <c r="B962" s="62">
        <v>970</v>
      </c>
      <c r="C962" s="62">
        <v>1958</v>
      </c>
      <c r="D962" s="63" t="s">
        <v>1084</v>
      </c>
      <c r="E962" s="64" t="s">
        <v>24</v>
      </c>
      <c r="F962" s="64">
        <v>967</v>
      </c>
      <c r="G962" s="67">
        <v>962</v>
      </c>
    </row>
    <row r="963" spans="1:7" x14ac:dyDescent="0.25">
      <c r="A963" s="62" t="s">
        <v>2731</v>
      </c>
      <c r="B963" s="62">
        <v>971</v>
      </c>
      <c r="C963" s="62">
        <v>1959</v>
      </c>
      <c r="D963" s="63" t="s">
        <v>1085</v>
      </c>
      <c r="E963" s="64" t="s">
        <v>24</v>
      </c>
      <c r="F963" s="64">
        <v>968</v>
      </c>
      <c r="G963" s="67">
        <v>963</v>
      </c>
    </row>
    <row r="964" spans="1:7" x14ac:dyDescent="0.25">
      <c r="A964" s="62" t="s">
        <v>2732</v>
      </c>
      <c r="B964" s="62">
        <v>972</v>
      </c>
      <c r="C964" s="62">
        <v>1960</v>
      </c>
      <c r="D964" s="63" t="s">
        <v>1086</v>
      </c>
      <c r="E964" s="64" t="s">
        <v>24</v>
      </c>
      <c r="F964" s="64">
        <v>969</v>
      </c>
      <c r="G964" s="67">
        <v>964</v>
      </c>
    </row>
    <row r="965" spans="1:7" x14ac:dyDescent="0.25">
      <c r="A965" s="62" t="s">
        <v>2733</v>
      </c>
      <c r="B965" s="62">
        <v>973</v>
      </c>
      <c r="C965" s="62">
        <v>1961</v>
      </c>
      <c r="D965" s="63" t="s">
        <v>1087</v>
      </c>
      <c r="E965" s="64" t="s">
        <v>24</v>
      </c>
      <c r="F965" s="64">
        <v>970</v>
      </c>
      <c r="G965" s="67">
        <v>965</v>
      </c>
    </row>
    <row r="966" spans="1:7" x14ac:dyDescent="0.25">
      <c r="A966" s="62" t="s">
        <v>2734</v>
      </c>
      <c r="B966" s="62">
        <v>974</v>
      </c>
      <c r="C966" s="62">
        <v>1962</v>
      </c>
      <c r="D966" s="63" t="s">
        <v>1088</v>
      </c>
      <c r="E966" s="64" t="s">
        <v>24</v>
      </c>
      <c r="F966" s="64">
        <v>971</v>
      </c>
      <c r="G966" s="67">
        <v>966</v>
      </c>
    </row>
    <row r="967" spans="1:7" x14ac:dyDescent="0.25">
      <c r="A967" s="62" t="s">
        <v>2735</v>
      </c>
      <c r="B967" s="62">
        <v>975</v>
      </c>
      <c r="C967" s="62">
        <v>1963</v>
      </c>
      <c r="D967" s="63" t="s">
        <v>1090</v>
      </c>
      <c r="E967" s="64" t="s">
        <v>24</v>
      </c>
      <c r="F967" s="64">
        <v>972</v>
      </c>
      <c r="G967" s="67">
        <v>967</v>
      </c>
    </row>
    <row r="968" spans="1:7" x14ac:dyDescent="0.25">
      <c r="A968" s="62" t="s">
        <v>2736</v>
      </c>
      <c r="B968" s="62">
        <v>976</v>
      </c>
      <c r="C968" s="62">
        <v>1964</v>
      </c>
      <c r="D968" s="63" t="s">
        <v>1091</v>
      </c>
      <c r="E968" s="64" t="s">
        <v>24</v>
      </c>
      <c r="F968" s="64">
        <v>973</v>
      </c>
      <c r="G968" s="67">
        <v>968</v>
      </c>
    </row>
    <row r="969" spans="1:7" x14ac:dyDescent="0.25">
      <c r="A969" s="62" t="s">
        <v>2737</v>
      </c>
      <c r="B969" s="62">
        <v>977</v>
      </c>
      <c r="C969" s="62">
        <v>1965</v>
      </c>
      <c r="D969" s="63" t="s">
        <v>1092</v>
      </c>
      <c r="E969" s="64" t="s">
        <v>24</v>
      </c>
      <c r="F969" s="64">
        <v>974</v>
      </c>
      <c r="G969" s="67">
        <v>969</v>
      </c>
    </row>
    <row r="970" spans="1:7" x14ac:dyDescent="0.25">
      <c r="A970" s="62" t="s">
        <v>2738</v>
      </c>
      <c r="B970" s="62">
        <v>978</v>
      </c>
      <c r="C970" s="62">
        <v>1966</v>
      </c>
      <c r="D970" s="63" t="s">
        <v>1093</v>
      </c>
      <c r="E970" s="64" t="s">
        <v>24</v>
      </c>
      <c r="F970" s="64">
        <v>975</v>
      </c>
      <c r="G970" s="67">
        <v>970</v>
      </c>
    </row>
    <row r="971" spans="1:7" x14ac:dyDescent="0.25">
      <c r="A971" s="62" t="s">
        <v>2739</v>
      </c>
      <c r="B971" s="62">
        <v>979</v>
      </c>
      <c r="C971" s="62">
        <v>1967</v>
      </c>
      <c r="D971" s="63" t="s">
        <v>1094</v>
      </c>
      <c r="E971" s="64" t="s">
        <v>24</v>
      </c>
      <c r="F971" s="64">
        <v>976</v>
      </c>
      <c r="G971" s="67">
        <v>971</v>
      </c>
    </row>
    <row r="972" spans="1:7" x14ac:dyDescent="0.25">
      <c r="A972" s="62" t="s">
        <v>2740</v>
      </c>
      <c r="B972" s="62">
        <v>980</v>
      </c>
      <c r="C972" s="62">
        <v>1968</v>
      </c>
      <c r="D972" s="63" t="s">
        <v>1095</v>
      </c>
      <c r="E972" s="64" t="s">
        <v>24</v>
      </c>
      <c r="F972" s="64">
        <v>977</v>
      </c>
      <c r="G972" s="67">
        <v>972</v>
      </c>
    </row>
    <row r="973" spans="1:7" x14ac:dyDescent="0.25">
      <c r="A973" s="62" t="s">
        <v>2741</v>
      </c>
      <c r="B973" s="62">
        <v>981</v>
      </c>
      <c r="C973" s="62">
        <v>1969</v>
      </c>
      <c r="D973" s="63" t="s">
        <v>1096</v>
      </c>
      <c r="E973" s="64" t="s">
        <v>24</v>
      </c>
      <c r="F973" s="64">
        <v>978</v>
      </c>
      <c r="G973" s="67">
        <v>973</v>
      </c>
    </row>
    <row r="974" spans="1:7" x14ac:dyDescent="0.25">
      <c r="A974" s="62" t="s">
        <v>2742</v>
      </c>
      <c r="B974" s="62">
        <v>982</v>
      </c>
      <c r="C974" s="62">
        <v>1970</v>
      </c>
      <c r="D974" s="63" t="s">
        <v>1097</v>
      </c>
      <c r="E974" s="64" t="s">
        <v>24</v>
      </c>
      <c r="F974" s="64">
        <v>979</v>
      </c>
      <c r="G974" s="67">
        <v>974</v>
      </c>
    </row>
    <row r="975" spans="1:7" x14ac:dyDescent="0.25">
      <c r="A975" s="62" t="s">
        <v>2743</v>
      </c>
      <c r="B975" s="62">
        <v>983</v>
      </c>
      <c r="C975" s="62">
        <v>1971</v>
      </c>
      <c r="D975" s="63" t="s">
        <v>1098</v>
      </c>
      <c r="E975" s="64" t="s">
        <v>24</v>
      </c>
      <c r="F975" s="64">
        <v>980</v>
      </c>
      <c r="G975" s="67">
        <v>975</v>
      </c>
    </row>
    <row r="976" spans="1:7" x14ac:dyDescent="0.25">
      <c r="A976" s="62" t="s">
        <v>2744</v>
      </c>
      <c r="B976" s="62">
        <v>984</v>
      </c>
      <c r="C976" s="62">
        <v>1972</v>
      </c>
      <c r="D976" s="63" t="s">
        <v>1099</v>
      </c>
      <c r="E976" s="64" t="s">
        <v>24</v>
      </c>
      <c r="F976" s="64">
        <v>981</v>
      </c>
      <c r="G976" s="67">
        <v>976</v>
      </c>
    </row>
    <row r="977" spans="1:7" x14ac:dyDescent="0.25">
      <c r="A977" s="62" t="s">
        <v>2745</v>
      </c>
      <c r="B977" s="62">
        <v>985</v>
      </c>
      <c r="C977" s="62">
        <v>1973</v>
      </c>
      <c r="D977" s="63" t="s">
        <v>1101</v>
      </c>
      <c r="E977" s="64" t="s">
        <v>24</v>
      </c>
      <c r="F977" s="64">
        <v>982</v>
      </c>
      <c r="G977" s="67">
        <v>977</v>
      </c>
    </row>
    <row r="978" spans="1:7" x14ac:dyDescent="0.25">
      <c r="A978" s="62" t="s">
        <v>2746</v>
      </c>
      <c r="B978" s="62">
        <v>986</v>
      </c>
      <c r="C978" s="62">
        <v>1974</v>
      </c>
      <c r="D978" s="63" t="s">
        <v>1102</v>
      </c>
      <c r="E978" s="64" t="s">
        <v>24</v>
      </c>
      <c r="F978" s="64">
        <v>983</v>
      </c>
      <c r="G978" s="67">
        <v>978</v>
      </c>
    </row>
    <row r="979" spans="1:7" x14ac:dyDescent="0.25">
      <c r="A979" s="62" t="s">
        <v>2747</v>
      </c>
      <c r="B979" s="62">
        <v>987</v>
      </c>
      <c r="C979" s="62">
        <v>1975</v>
      </c>
      <c r="D979" s="63" t="s">
        <v>1103</v>
      </c>
      <c r="E979" s="64" t="s">
        <v>24</v>
      </c>
      <c r="F979" s="64">
        <v>984</v>
      </c>
      <c r="G979" s="67">
        <v>979</v>
      </c>
    </row>
    <row r="980" spans="1:7" x14ac:dyDescent="0.25">
      <c r="A980" s="62" t="s">
        <v>2748</v>
      </c>
      <c r="B980" s="62">
        <v>988</v>
      </c>
      <c r="C980" s="62">
        <v>1976</v>
      </c>
      <c r="D980" s="63" t="s">
        <v>1104</v>
      </c>
      <c r="E980" s="64" t="s">
        <v>24</v>
      </c>
      <c r="F980" s="64">
        <v>985</v>
      </c>
      <c r="G980" s="67">
        <v>980</v>
      </c>
    </row>
    <row r="981" spans="1:7" x14ac:dyDescent="0.25">
      <c r="A981" s="62" t="s">
        <v>2749</v>
      </c>
      <c r="B981" s="62">
        <v>989</v>
      </c>
      <c r="C981" s="62">
        <v>1977</v>
      </c>
      <c r="D981" s="63" t="s">
        <v>1105</v>
      </c>
      <c r="E981" s="64" t="s">
        <v>24</v>
      </c>
      <c r="F981" s="64">
        <v>986</v>
      </c>
      <c r="G981" s="67">
        <v>981</v>
      </c>
    </row>
    <row r="982" spans="1:7" x14ac:dyDescent="0.25">
      <c r="A982" s="62" t="s">
        <v>2750</v>
      </c>
      <c r="B982" s="62">
        <v>990</v>
      </c>
      <c r="C982" s="62">
        <v>1978</v>
      </c>
      <c r="D982" s="63" t="s">
        <v>1106</v>
      </c>
      <c r="E982" s="64" t="s">
        <v>55</v>
      </c>
      <c r="F982" s="64">
        <v>987</v>
      </c>
      <c r="G982" s="67">
        <v>982</v>
      </c>
    </row>
    <row r="983" spans="1:7" x14ac:dyDescent="0.25">
      <c r="A983" s="62" t="s">
        <v>2751</v>
      </c>
      <c r="B983" s="62">
        <v>991</v>
      </c>
      <c r="C983" s="62">
        <v>1979</v>
      </c>
      <c r="D983" s="63" t="s">
        <v>1107</v>
      </c>
      <c r="E983" s="64" t="s">
        <v>24</v>
      </c>
      <c r="F983" s="64">
        <v>988</v>
      </c>
      <c r="G983" s="67">
        <v>983</v>
      </c>
    </row>
    <row r="984" spans="1:7" x14ac:dyDescent="0.25">
      <c r="A984" s="62" t="s">
        <v>2752</v>
      </c>
      <c r="B984" s="62">
        <v>992</v>
      </c>
      <c r="C984" s="62">
        <v>1980</v>
      </c>
      <c r="D984" s="63" t="s">
        <v>1108</v>
      </c>
      <c r="E984" s="64" t="s">
        <v>24</v>
      </c>
      <c r="F984" s="64">
        <v>989</v>
      </c>
      <c r="G984" s="67">
        <v>984</v>
      </c>
    </row>
    <row r="985" spans="1:7" x14ac:dyDescent="0.25">
      <c r="A985" s="62" t="s">
        <v>2753</v>
      </c>
      <c r="B985" s="62">
        <v>993</v>
      </c>
      <c r="C985" s="62">
        <v>1981</v>
      </c>
      <c r="D985" s="63" t="s">
        <v>1109</v>
      </c>
      <c r="E985" s="64" t="s">
        <v>24</v>
      </c>
      <c r="F985" s="64">
        <v>990</v>
      </c>
      <c r="G985" s="67">
        <v>985</v>
      </c>
    </row>
    <row r="986" spans="1:7" x14ac:dyDescent="0.25">
      <c r="A986" s="62" t="s">
        <v>2754</v>
      </c>
      <c r="B986" s="62">
        <v>994</v>
      </c>
      <c r="C986" s="62">
        <v>1982</v>
      </c>
      <c r="D986" s="63" t="s">
        <v>1110</v>
      </c>
      <c r="E986" s="64" t="s">
        <v>24</v>
      </c>
      <c r="F986" s="64">
        <v>991</v>
      </c>
      <c r="G986" s="67">
        <v>986</v>
      </c>
    </row>
    <row r="987" spans="1:7" x14ac:dyDescent="0.25">
      <c r="A987" s="62" t="s">
        <v>2755</v>
      </c>
      <c r="B987" s="62">
        <v>995</v>
      </c>
      <c r="C987" s="62">
        <v>1983</v>
      </c>
      <c r="D987" s="63" t="s">
        <v>1111</v>
      </c>
      <c r="E987" s="64" t="s">
        <v>24</v>
      </c>
      <c r="F987" s="64">
        <v>992</v>
      </c>
      <c r="G987" s="67">
        <v>987</v>
      </c>
    </row>
    <row r="988" spans="1:7" x14ac:dyDescent="0.25">
      <c r="A988" s="62" t="s">
        <v>2756</v>
      </c>
      <c r="B988" s="62">
        <v>996</v>
      </c>
      <c r="C988" s="62">
        <v>1984</v>
      </c>
      <c r="D988" s="63" t="s">
        <v>1112</v>
      </c>
      <c r="E988" s="64" t="s">
        <v>24</v>
      </c>
      <c r="F988" s="64">
        <v>993</v>
      </c>
      <c r="G988" s="67">
        <v>988</v>
      </c>
    </row>
    <row r="989" spans="1:7" x14ac:dyDescent="0.25">
      <c r="A989" s="62" t="s">
        <v>2757</v>
      </c>
      <c r="B989" s="62">
        <v>997</v>
      </c>
      <c r="C989" s="62">
        <v>1985</v>
      </c>
      <c r="D989" s="63" t="s">
        <v>1113</v>
      </c>
      <c r="E989" s="64" t="s">
        <v>24</v>
      </c>
      <c r="F989" s="64">
        <v>994</v>
      </c>
      <c r="G989" s="67">
        <v>989</v>
      </c>
    </row>
    <row r="990" spans="1:7" x14ac:dyDescent="0.25">
      <c r="A990" s="62" t="s">
        <v>2758</v>
      </c>
      <c r="B990" s="62">
        <v>998</v>
      </c>
      <c r="C990" s="62">
        <v>1986</v>
      </c>
      <c r="D990" s="63" t="s">
        <v>1114</v>
      </c>
      <c r="E990" s="64" t="s">
        <v>24</v>
      </c>
      <c r="F990" s="64">
        <v>995</v>
      </c>
      <c r="G990" s="67">
        <v>990</v>
      </c>
    </row>
    <row r="991" spans="1:7" x14ac:dyDescent="0.25">
      <c r="A991" s="62" t="s">
        <v>2759</v>
      </c>
      <c r="B991" s="62">
        <v>999</v>
      </c>
      <c r="C991" s="62">
        <v>1987</v>
      </c>
      <c r="D991" s="63" t="s">
        <v>1115</v>
      </c>
      <c r="E991" s="64" t="s">
        <v>24</v>
      </c>
      <c r="F991" s="64">
        <v>996</v>
      </c>
      <c r="G991" s="67">
        <v>991</v>
      </c>
    </row>
    <row r="992" spans="1:7" x14ac:dyDescent="0.25">
      <c r="A992" s="62" t="s">
        <v>2760</v>
      </c>
      <c r="B992" s="62">
        <v>1000</v>
      </c>
      <c r="C992" s="62">
        <v>1988</v>
      </c>
      <c r="D992" s="63" t="s">
        <v>1116</v>
      </c>
      <c r="E992" s="64" t="s">
        <v>24</v>
      </c>
      <c r="F992" s="64">
        <v>997</v>
      </c>
      <c r="G992" s="67">
        <v>992</v>
      </c>
    </row>
    <row r="993" spans="1:7" x14ac:dyDescent="0.25">
      <c r="A993" s="62" t="s">
        <v>2761</v>
      </c>
      <c r="B993" s="62">
        <v>1001</v>
      </c>
      <c r="C993" s="62">
        <v>1989</v>
      </c>
      <c r="D993" s="63" t="s">
        <v>1117</v>
      </c>
      <c r="E993" s="64" t="s">
        <v>24</v>
      </c>
      <c r="F993" s="64">
        <v>998</v>
      </c>
      <c r="G993" s="67">
        <v>993</v>
      </c>
    </row>
    <row r="994" spans="1:7" x14ac:dyDescent="0.25">
      <c r="A994" s="62" t="s">
        <v>2762</v>
      </c>
      <c r="B994" s="62">
        <v>1002</v>
      </c>
      <c r="C994" s="62">
        <v>1990</v>
      </c>
      <c r="D994" s="63" t="s">
        <v>1118</v>
      </c>
      <c r="E994" s="64" t="s">
        <v>24</v>
      </c>
      <c r="F994" s="64">
        <v>999</v>
      </c>
      <c r="G994" s="67">
        <v>994</v>
      </c>
    </row>
    <row r="995" spans="1:7" x14ac:dyDescent="0.25">
      <c r="A995" s="62" t="s">
        <v>2763</v>
      </c>
      <c r="B995" s="62">
        <v>1003</v>
      </c>
      <c r="C995" s="62">
        <v>1991</v>
      </c>
      <c r="D995" s="63" t="s">
        <v>1119</v>
      </c>
      <c r="E995" s="64" t="s">
        <v>24</v>
      </c>
      <c r="F995" s="64">
        <v>1000</v>
      </c>
      <c r="G995" s="67">
        <v>995</v>
      </c>
    </row>
    <row r="996" spans="1:7" x14ac:dyDescent="0.25">
      <c r="A996" s="62" t="s">
        <v>2764</v>
      </c>
      <c r="B996" s="62">
        <v>1004</v>
      </c>
      <c r="C996" s="62">
        <v>1992</v>
      </c>
      <c r="D996" s="63" t="s">
        <v>1120</v>
      </c>
      <c r="E996" s="64" t="s">
        <v>24</v>
      </c>
      <c r="F996" s="64">
        <v>1001</v>
      </c>
      <c r="G996" s="67">
        <v>996</v>
      </c>
    </row>
    <row r="997" spans="1:7" x14ac:dyDescent="0.25">
      <c r="A997" s="62" t="s">
        <v>2765</v>
      </c>
      <c r="B997" s="62">
        <v>1005</v>
      </c>
      <c r="C997" s="62">
        <v>1993</v>
      </c>
      <c r="D997" s="63" t="s">
        <v>1121</v>
      </c>
      <c r="E997" s="64" t="s">
        <v>24</v>
      </c>
      <c r="F997" s="64">
        <v>1002</v>
      </c>
      <c r="G997" s="67">
        <v>997</v>
      </c>
    </row>
    <row r="998" spans="1:7" x14ac:dyDescent="0.25">
      <c r="A998" s="62" t="s">
        <v>2766</v>
      </c>
      <c r="B998" s="62">
        <v>1006</v>
      </c>
      <c r="C998" s="62">
        <v>1994</v>
      </c>
      <c r="D998" s="63" t="s">
        <v>1123</v>
      </c>
      <c r="E998" s="64" t="s">
        <v>24</v>
      </c>
      <c r="F998" s="64">
        <v>1003</v>
      </c>
      <c r="G998" s="67">
        <v>998</v>
      </c>
    </row>
    <row r="999" spans="1:7" x14ac:dyDescent="0.25">
      <c r="A999" s="62" t="s">
        <v>2767</v>
      </c>
      <c r="B999" s="62">
        <v>1007</v>
      </c>
      <c r="C999" s="62">
        <v>1995</v>
      </c>
      <c r="D999" s="63" t="s">
        <v>1124</v>
      </c>
      <c r="E999" s="64" t="s">
        <v>24</v>
      </c>
      <c r="F999" s="64">
        <v>1004</v>
      </c>
      <c r="G999" s="67">
        <v>999</v>
      </c>
    </row>
    <row r="1000" spans="1:7" x14ac:dyDescent="0.25">
      <c r="A1000" s="62" t="s">
        <v>2768</v>
      </c>
      <c r="B1000" s="62">
        <v>1008</v>
      </c>
      <c r="C1000" s="62">
        <v>1996</v>
      </c>
      <c r="D1000" s="63" t="s">
        <v>1125</v>
      </c>
      <c r="E1000" s="64" t="s">
        <v>24</v>
      </c>
      <c r="F1000" s="64">
        <v>1005</v>
      </c>
      <c r="G1000" s="67">
        <v>1000</v>
      </c>
    </row>
    <row r="1001" spans="1:7" x14ac:dyDescent="0.25">
      <c r="A1001" s="62" t="s">
        <v>2769</v>
      </c>
      <c r="B1001" s="62">
        <v>1009</v>
      </c>
      <c r="C1001" s="62">
        <v>1997</v>
      </c>
      <c r="D1001" s="63" t="s">
        <v>1126</v>
      </c>
      <c r="E1001" s="64" t="s">
        <v>24</v>
      </c>
      <c r="F1001" s="64">
        <v>1006</v>
      </c>
      <c r="G1001" s="67">
        <v>1001</v>
      </c>
    </row>
    <row r="1002" spans="1:7" x14ac:dyDescent="0.25">
      <c r="A1002" s="62" t="s">
        <v>2770</v>
      </c>
      <c r="B1002" s="62">
        <v>1010</v>
      </c>
      <c r="C1002" s="62">
        <v>1998</v>
      </c>
      <c r="D1002" s="63" t="s">
        <v>1127</v>
      </c>
      <c r="E1002" s="64" t="s">
        <v>24</v>
      </c>
      <c r="F1002" s="64">
        <v>1007</v>
      </c>
      <c r="G1002" s="67">
        <v>1002</v>
      </c>
    </row>
    <row r="1003" spans="1:7" x14ac:dyDescent="0.25">
      <c r="A1003" s="62" t="s">
        <v>2771</v>
      </c>
      <c r="B1003" s="62">
        <v>1011</v>
      </c>
      <c r="C1003" s="62">
        <v>1999</v>
      </c>
      <c r="D1003" s="63" t="s">
        <v>1128</v>
      </c>
      <c r="E1003" s="64" t="s">
        <v>24</v>
      </c>
      <c r="F1003" s="64">
        <v>1008</v>
      </c>
      <c r="G1003" s="67">
        <v>1003</v>
      </c>
    </row>
    <row r="1004" spans="1:7" x14ac:dyDescent="0.25">
      <c r="A1004" s="62" t="s">
        <v>2772</v>
      </c>
      <c r="B1004" s="62">
        <v>1012</v>
      </c>
      <c r="C1004" s="62">
        <v>2000</v>
      </c>
      <c r="D1004" s="63" t="s">
        <v>1129</v>
      </c>
      <c r="E1004" s="64" t="s">
        <v>24</v>
      </c>
      <c r="F1004" s="64">
        <v>1009</v>
      </c>
      <c r="G1004" s="67">
        <v>1004</v>
      </c>
    </row>
    <row r="1005" spans="1:7" x14ac:dyDescent="0.25">
      <c r="A1005" s="62" t="s">
        <v>2773</v>
      </c>
      <c r="B1005" s="62">
        <v>1013</v>
      </c>
      <c r="C1005" s="62">
        <v>2001</v>
      </c>
      <c r="D1005" s="63" t="s">
        <v>1130</v>
      </c>
      <c r="E1005" s="64" t="s">
        <v>24</v>
      </c>
      <c r="F1005" s="64">
        <v>1010</v>
      </c>
      <c r="G1005" s="67">
        <v>1005</v>
      </c>
    </row>
    <row r="1006" spans="1:7" x14ac:dyDescent="0.25">
      <c r="A1006" s="62" t="s">
        <v>2774</v>
      </c>
      <c r="B1006" s="62">
        <v>1014</v>
      </c>
      <c r="C1006" s="62">
        <v>2002</v>
      </c>
      <c r="D1006" s="63" t="s">
        <v>1131</v>
      </c>
      <c r="E1006" s="64" t="s">
        <v>24</v>
      </c>
      <c r="F1006" s="64">
        <v>1011</v>
      </c>
      <c r="G1006" s="67">
        <v>1006</v>
      </c>
    </row>
    <row r="1007" spans="1:7" x14ac:dyDescent="0.25">
      <c r="A1007" s="62" t="s">
        <v>2775</v>
      </c>
      <c r="B1007" s="62">
        <v>1015</v>
      </c>
      <c r="C1007" s="62">
        <v>2003</v>
      </c>
      <c r="D1007" s="63" t="s">
        <v>1132</v>
      </c>
      <c r="E1007" s="64" t="s">
        <v>24</v>
      </c>
      <c r="F1007" s="64">
        <v>1012</v>
      </c>
      <c r="G1007" s="67">
        <v>1007</v>
      </c>
    </row>
    <row r="1008" spans="1:7" x14ac:dyDescent="0.25">
      <c r="A1008" s="62" t="s">
        <v>2776</v>
      </c>
      <c r="B1008" s="62">
        <v>1016</v>
      </c>
      <c r="C1008" s="62">
        <v>2004</v>
      </c>
      <c r="D1008" s="63" t="s">
        <v>1133</v>
      </c>
      <c r="E1008" s="64" t="s">
        <v>24</v>
      </c>
      <c r="F1008" s="64">
        <v>1013</v>
      </c>
      <c r="G1008" s="67">
        <v>1008</v>
      </c>
    </row>
    <row r="1009" spans="1:7" x14ac:dyDescent="0.25">
      <c r="A1009" s="62" t="s">
        <v>2777</v>
      </c>
      <c r="B1009" s="62">
        <v>1017</v>
      </c>
      <c r="C1009" s="62">
        <v>2005</v>
      </c>
      <c r="D1009" s="63" t="s">
        <v>1135</v>
      </c>
      <c r="E1009" s="64" t="s">
        <v>55</v>
      </c>
      <c r="F1009" s="64">
        <v>1014</v>
      </c>
      <c r="G1009" s="67">
        <v>1009</v>
      </c>
    </row>
    <row r="1010" spans="1:7" x14ac:dyDescent="0.25">
      <c r="A1010" s="62" t="s">
        <v>2778</v>
      </c>
      <c r="B1010" s="62">
        <v>1018</v>
      </c>
      <c r="C1010" s="62">
        <v>2006</v>
      </c>
      <c r="D1010" s="63" t="s">
        <v>1136</v>
      </c>
      <c r="E1010" s="64" t="s">
        <v>176</v>
      </c>
      <c r="F1010" s="64">
        <v>1015</v>
      </c>
      <c r="G1010" s="67">
        <v>1010</v>
      </c>
    </row>
    <row r="1011" spans="1:7" x14ac:dyDescent="0.25">
      <c r="A1011" s="62" t="s">
        <v>2779</v>
      </c>
      <c r="B1011" s="62">
        <v>1019</v>
      </c>
      <c r="C1011" s="62">
        <v>2007</v>
      </c>
      <c r="D1011" s="63" t="s">
        <v>1137</v>
      </c>
      <c r="E1011" s="64" t="s">
        <v>93</v>
      </c>
      <c r="F1011" s="64">
        <v>1016</v>
      </c>
      <c r="G1011" s="67">
        <v>1011</v>
      </c>
    </row>
    <row r="1012" spans="1:7" x14ac:dyDescent="0.25">
      <c r="A1012" s="62" t="s">
        <v>2780</v>
      </c>
      <c r="B1012" s="62">
        <v>1020</v>
      </c>
      <c r="C1012" s="62">
        <v>2008</v>
      </c>
      <c r="D1012" s="63" t="s">
        <v>1138</v>
      </c>
      <c r="E1012" s="64" t="s">
        <v>93</v>
      </c>
      <c r="F1012" s="64">
        <v>1017</v>
      </c>
      <c r="G1012" s="67">
        <v>1012</v>
      </c>
    </row>
    <row r="1013" spans="1:7" x14ac:dyDescent="0.25">
      <c r="A1013" s="62" t="s">
        <v>2781</v>
      </c>
      <c r="B1013" s="62">
        <v>1021</v>
      </c>
      <c r="C1013" s="62">
        <v>2009</v>
      </c>
      <c r="D1013" s="63" t="s">
        <v>1139</v>
      </c>
      <c r="E1013" s="64" t="s">
        <v>93</v>
      </c>
      <c r="F1013" s="64">
        <v>1018</v>
      </c>
      <c r="G1013" s="67">
        <v>1013</v>
      </c>
    </row>
    <row r="1014" spans="1:7" x14ac:dyDescent="0.25">
      <c r="A1014" s="62" t="s">
        <v>2782</v>
      </c>
      <c r="B1014" s="62">
        <v>1022</v>
      </c>
      <c r="C1014" s="62">
        <v>2010</v>
      </c>
      <c r="D1014" s="63" t="s">
        <v>1140</v>
      </c>
      <c r="E1014" s="64" t="s">
        <v>24</v>
      </c>
      <c r="F1014" s="64">
        <v>1019</v>
      </c>
      <c r="G1014" s="67">
        <v>1014</v>
      </c>
    </row>
    <row r="1015" spans="1:7" x14ac:dyDescent="0.25">
      <c r="A1015" s="62" t="s">
        <v>2783</v>
      </c>
      <c r="B1015" s="62">
        <v>1023</v>
      </c>
      <c r="C1015" s="62">
        <v>2011</v>
      </c>
      <c r="D1015" s="63" t="s">
        <v>1142</v>
      </c>
      <c r="E1015" s="64" t="s">
        <v>24</v>
      </c>
      <c r="F1015" s="64">
        <v>1020</v>
      </c>
      <c r="G1015" s="67">
        <v>1015</v>
      </c>
    </row>
    <row r="1016" spans="1:7" x14ac:dyDescent="0.25">
      <c r="A1016" s="62" t="s">
        <v>2784</v>
      </c>
      <c r="B1016" s="62">
        <v>1024</v>
      </c>
      <c r="C1016" s="62">
        <v>2012</v>
      </c>
      <c r="D1016" s="63" t="s">
        <v>1143</v>
      </c>
      <c r="E1016" s="64" t="s">
        <v>24</v>
      </c>
      <c r="F1016" s="64">
        <v>1021</v>
      </c>
      <c r="G1016" s="67">
        <v>1016</v>
      </c>
    </row>
    <row r="1017" spans="1:7" x14ac:dyDescent="0.25">
      <c r="A1017" s="62" t="s">
        <v>2785</v>
      </c>
      <c r="B1017" s="62">
        <v>1025</v>
      </c>
      <c r="C1017" s="62">
        <v>2013</v>
      </c>
      <c r="D1017" s="63" t="s">
        <v>1144</v>
      </c>
      <c r="E1017" s="64" t="s">
        <v>24</v>
      </c>
      <c r="F1017" s="64">
        <v>1022</v>
      </c>
      <c r="G1017" s="67">
        <v>1017</v>
      </c>
    </row>
    <row r="1018" spans="1:7" x14ac:dyDescent="0.25">
      <c r="A1018" s="62" t="s">
        <v>2786</v>
      </c>
      <c r="B1018" s="62">
        <v>1026</v>
      </c>
      <c r="C1018" s="62">
        <v>2014</v>
      </c>
      <c r="D1018" s="63" t="s">
        <v>1145</v>
      </c>
      <c r="E1018" s="64" t="s">
        <v>24</v>
      </c>
      <c r="F1018" s="64">
        <v>1023</v>
      </c>
      <c r="G1018" s="67">
        <v>1018</v>
      </c>
    </row>
    <row r="1019" spans="1:7" x14ac:dyDescent="0.25">
      <c r="A1019" s="62" t="s">
        <v>2787</v>
      </c>
      <c r="B1019" s="62">
        <v>1027</v>
      </c>
      <c r="C1019" s="62">
        <v>2015</v>
      </c>
      <c r="D1019" s="63" t="s">
        <v>1146</v>
      </c>
      <c r="E1019" s="64" t="s">
        <v>55</v>
      </c>
      <c r="F1019" s="64">
        <v>1024</v>
      </c>
      <c r="G1019" s="67">
        <v>1019</v>
      </c>
    </row>
    <row r="1020" spans="1:7" x14ac:dyDescent="0.25">
      <c r="A1020" s="62" t="s">
        <v>2788</v>
      </c>
      <c r="B1020" s="62">
        <v>1028</v>
      </c>
      <c r="C1020" s="62">
        <v>2016</v>
      </c>
      <c r="D1020" s="63" t="s">
        <v>1147</v>
      </c>
      <c r="E1020" s="64" t="s">
        <v>55</v>
      </c>
      <c r="F1020" s="64">
        <v>1025</v>
      </c>
      <c r="G1020" s="67">
        <v>1020</v>
      </c>
    </row>
    <row r="1021" spans="1:7" x14ac:dyDescent="0.25">
      <c r="A1021" s="62" t="s">
        <v>2789</v>
      </c>
      <c r="B1021" s="62">
        <v>1029</v>
      </c>
      <c r="C1021" s="62">
        <v>2017</v>
      </c>
      <c r="D1021" s="63" t="s">
        <v>1148</v>
      </c>
      <c r="E1021" s="64" t="s">
        <v>55</v>
      </c>
      <c r="F1021" s="64">
        <v>1026</v>
      </c>
      <c r="G1021" s="67">
        <v>1021</v>
      </c>
    </row>
    <row r="1022" spans="1:7" x14ac:dyDescent="0.25">
      <c r="A1022" s="62" t="s">
        <v>2790</v>
      </c>
      <c r="B1022" s="62">
        <v>1030</v>
      </c>
      <c r="C1022" s="62">
        <v>2018</v>
      </c>
      <c r="D1022" s="63" t="s">
        <v>1149</v>
      </c>
      <c r="E1022" s="64" t="s">
        <v>24</v>
      </c>
      <c r="F1022" s="64">
        <v>1027</v>
      </c>
      <c r="G1022" s="67">
        <v>1022</v>
      </c>
    </row>
    <row r="1023" spans="1:7" x14ac:dyDescent="0.25">
      <c r="A1023" s="62" t="s">
        <v>2791</v>
      </c>
      <c r="B1023" s="62">
        <v>1031</v>
      </c>
      <c r="C1023" s="62">
        <v>2019</v>
      </c>
      <c r="D1023" s="63" t="s">
        <v>1151</v>
      </c>
      <c r="E1023" s="64" t="s">
        <v>24</v>
      </c>
      <c r="F1023" s="64">
        <v>1028</v>
      </c>
      <c r="G1023" s="67">
        <v>1023</v>
      </c>
    </row>
    <row r="1024" spans="1:7" x14ac:dyDescent="0.25">
      <c r="A1024" s="62" t="s">
        <v>2792</v>
      </c>
      <c r="B1024" s="62">
        <v>1032</v>
      </c>
      <c r="C1024" s="62">
        <v>2020</v>
      </c>
      <c r="D1024" s="63" t="s">
        <v>1153</v>
      </c>
      <c r="E1024" s="64" t="s">
        <v>93</v>
      </c>
      <c r="F1024" s="64">
        <v>1029</v>
      </c>
      <c r="G1024" s="67">
        <v>1024</v>
      </c>
    </row>
    <row r="1025" spans="1:7" x14ac:dyDescent="0.25">
      <c r="A1025" s="62" t="s">
        <v>2793</v>
      </c>
      <c r="B1025" s="62">
        <v>1033</v>
      </c>
      <c r="C1025" s="62">
        <v>2021</v>
      </c>
      <c r="D1025" s="63" t="s">
        <v>1154</v>
      </c>
      <c r="E1025" s="64" t="s">
        <v>176</v>
      </c>
      <c r="F1025" s="64">
        <v>1030</v>
      </c>
      <c r="G1025" s="67">
        <v>1025</v>
      </c>
    </row>
    <row r="1026" spans="1:7" x14ac:dyDescent="0.25">
      <c r="A1026" s="62" t="s">
        <v>2794</v>
      </c>
      <c r="B1026" s="62">
        <v>1034</v>
      </c>
      <c r="C1026" s="62">
        <v>2022</v>
      </c>
      <c r="D1026" s="63" t="s">
        <v>1155</v>
      </c>
      <c r="E1026" s="64" t="s">
        <v>24</v>
      </c>
      <c r="F1026" s="64">
        <v>1031</v>
      </c>
      <c r="G1026" s="67">
        <v>1026</v>
      </c>
    </row>
    <row r="1027" spans="1:7" x14ac:dyDescent="0.25">
      <c r="A1027" s="62" t="s">
        <v>2795</v>
      </c>
      <c r="B1027" s="62">
        <v>1035</v>
      </c>
      <c r="C1027" s="62">
        <v>2023</v>
      </c>
      <c r="D1027" s="63" t="s">
        <v>1156</v>
      </c>
      <c r="E1027" s="64" t="s">
        <v>24</v>
      </c>
      <c r="F1027" s="64">
        <v>1032</v>
      </c>
      <c r="G1027" s="67">
        <v>1027</v>
      </c>
    </row>
    <row r="1028" spans="1:7" x14ac:dyDescent="0.25">
      <c r="A1028" s="62" t="s">
        <v>2796</v>
      </c>
      <c r="B1028" s="62">
        <v>1036</v>
      </c>
      <c r="C1028" s="62">
        <v>2024</v>
      </c>
      <c r="D1028" s="63" t="s">
        <v>1157</v>
      </c>
      <c r="E1028" s="64" t="s">
        <v>24</v>
      </c>
      <c r="F1028" s="64">
        <v>1033</v>
      </c>
      <c r="G1028" s="67">
        <v>1028</v>
      </c>
    </row>
    <row r="1029" spans="1:7" x14ac:dyDescent="0.25">
      <c r="A1029" s="62" t="s">
        <v>2797</v>
      </c>
      <c r="B1029" s="62">
        <v>1037</v>
      </c>
      <c r="C1029" s="62">
        <v>2025</v>
      </c>
      <c r="D1029" s="63" t="s">
        <v>1158</v>
      </c>
      <c r="E1029" s="64" t="s">
        <v>24</v>
      </c>
      <c r="F1029" s="64">
        <v>1034</v>
      </c>
      <c r="G1029" s="67">
        <v>1029</v>
      </c>
    </row>
    <row r="1030" spans="1:7" x14ac:dyDescent="0.25">
      <c r="A1030" s="62" t="s">
        <v>2798</v>
      </c>
      <c r="B1030" s="62">
        <v>1038</v>
      </c>
      <c r="C1030" s="62">
        <v>2026</v>
      </c>
      <c r="D1030" s="63" t="s">
        <v>1159</v>
      </c>
      <c r="E1030" s="64" t="s">
        <v>24</v>
      </c>
      <c r="F1030" s="64">
        <v>1035</v>
      </c>
      <c r="G1030" s="67">
        <v>1030</v>
      </c>
    </row>
    <row r="1031" spans="1:7" x14ac:dyDescent="0.25">
      <c r="A1031" s="62" t="s">
        <v>2799</v>
      </c>
      <c r="B1031" s="62">
        <v>1039</v>
      </c>
      <c r="C1031" s="62">
        <v>2027</v>
      </c>
      <c r="D1031" s="63" t="s">
        <v>1160</v>
      </c>
      <c r="E1031" s="64" t="s">
        <v>24</v>
      </c>
      <c r="F1031" s="64">
        <v>1036</v>
      </c>
      <c r="G1031" s="67">
        <v>1031</v>
      </c>
    </row>
    <row r="1032" spans="1:7" x14ac:dyDescent="0.25">
      <c r="A1032" s="62" t="s">
        <v>2800</v>
      </c>
      <c r="B1032" s="62">
        <v>1040</v>
      </c>
      <c r="C1032" s="62">
        <v>2028</v>
      </c>
      <c r="D1032" s="63" t="s">
        <v>1161</v>
      </c>
      <c r="E1032" s="64" t="s">
        <v>24</v>
      </c>
      <c r="F1032" s="64">
        <v>1037</v>
      </c>
      <c r="G1032" s="67">
        <v>1032</v>
      </c>
    </row>
    <row r="1033" spans="1:7" x14ac:dyDescent="0.25">
      <c r="A1033" s="62" t="s">
        <v>2801</v>
      </c>
      <c r="B1033" s="62">
        <v>1041</v>
      </c>
      <c r="C1033" s="62">
        <v>2029</v>
      </c>
      <c r="D1033" s="63" t="s">
        <v>1162</v>
      </c>
      <c r="E1033" s="64" t="s">
        <v>24</v>
      </c>
      <c r="F1033" s="64">
        <v>1038</v>
      </c>
      <c r="G1033" s="67">
        <v>1033</v>
      </c>
    </row>
    <row r="1034" spans="1:7" x14ac:dyDescent="0.25">
      <c r="A1034" s="62" t="s">
        <v>2802</v>
      </c>
      <c r="B1034" s="62">
        <v>1042</v>
      </c>
      <c r="C1034" s="62">
        <v>2030</v>
      </c>
      <c r="D1034" s="63" t="s">
        <v>1163</v>
      </c>
      <c r="E1034" s="64" t="s">
        <v>24</v>
      </c>
      <c r="F1034" s="64">
        <v>1039</v>
      </c>
      <c r="G1034" s="67">
        <v>1034</v>
      </c>
    </row>
    <row r="1035" spans="1:7" x14ac:dyDescent="0.25">
      <c r="A1035" s="62" t="s">
        <v>2803</v>
      </c>
      <c r="B1035" s="62">
        <v>1043</v>
      </c>
      <c r="C1035" s="62">
        <v>2031</v>
      </c>
      <c r="D1035" s="63" t="s">
        <v>1164</v>
      </c>
      <c r="E1035" s="64" t="s">
        <v>24</v>
      </c>
      <c r="F1035" s="64">
        <v>1040</v>
      </c>
      <c r="G1035" s="67">
        <v>1035</v>
      </c>
    </row>
    <row r="1036" spans="1:7" x14ac:dyDescent="0.25">
      <c r="A1036" s="62" t="s">
        <v>2804</v>
      </c>
      <c r="B1036" s="62">
        <v>1044</v>
      </c>
      <c r="C1036" s="62">
        <v>2032</v>
      </c>
      <c r="D1036" s="63" t="s">
        <v>1165</v>
      </c>
      <c r="E1036" s="64" t="s">
        <v>24</v>
      </c>
      <c r="F1036" s="64">
        <v>1041</v>
      </c>
      <c r="G1036" s="67">
        <v>1036</v>
      </c>
    </row>
    <row r="1037" spans="1:7" x14ac:dyDescent="0.25">
      <c r="A1037" s="62" t="s">
        <v>2805</v>
      </c>
      <c r="B1037" s="62">
        <v>1045</v>
      </c>
      <c r="C1037" s="62">
        <v>2033</v>
      </c>
      <c r="D1037" s="63" t="s">
        <v>1166</v>
      </c>
      <c r="E1037" s="64" t="s">
        <v>24</v>
      </c>
      <c r="F1037" s="64">
        <v>1042</v>
      </c>
      <c r="G1037" s="67">
        <v>1037</v>
      </c>
    </row>
    <row r="1038" spans="1:7" x14ac:dyDescent="0.25">
      <c r="A1038" s="62" t="s">
        <v>2806</v>
      </c>
      <c r="B1038" s="62">
        <v>1046</v>
      </c>
      <c r="C1038" s="62">
        <v>2034</v>
      </c>
      <c r="D1038" s="63" t="s">
        <v>1167</v>
      </c>
      <c r="E1038" s="64" t="s">
        <v>24</v>
      </c>
      <c r="F1038" s="64">
        <v>1043</v>
      </c>
      <c r="G1038" s="67">
        <v>1038</v>
      </c>
    </row>
    <row r="1039" spans="1:7" x14ac:dyDescent="0.25">
      <c r="A1039" s="62" t="s">
        <v>2807</v>
      </c>
      <c r="B1039" s="62">
        <v>1047</v>
      </c>
      <c r="C1039" s="62">
        <v>2035</v>
      </c>
      <c r="D1039" s="63" t="s">
        <v>1168</v>
      </c>
      <c r="E1039" s="64" t="s">
        <v>24</v>
      </c>
      <c r="F1039" s="64">
        <v>1044</v>
      </c>
      <c r="G1039" s="67">
        <v>1039</v>
      </c>
    </row>
    <row r="1040" spans="1:7" x14ac:dyDescent="0.25">
      <c r="A1040" s="62" t="s">
        <v>2808</v>
      </c>
      <c r="B1040" s="62">
        <v>1048</v>
      </c>
      <c r="C1040" s="62">
        <v>2036</v>
      </c>
      <c r="D1040" s="63" t="s">
        <v>1169</v>
      </c>
      <c r="E1040" s="64" t="s">
        <v>176</v>
      </c>
      <c r="F1040" s="64">
        <v>1045</v>
      </c>
      <c r="G1040" s="67">
        <v>1040</v>
      </c>
    </row>
    <row r="1041" spans="1:7" x14ac:dyDescent="0.25">
      <c r="A1041" s="62" t="s">
        <v>2809</v>
      </c>
      <c r="B1041" s="62">
        <v>1049</v>
      </c>
      <c r="C1041" s="62">
        <v>2037</v>
      </c>
      <c r="D1041" s="63" t="s">
        <v>1170</v>
      </c>
      <c r="E1041" s="64" t="s">
        <v>176</v>
      </c>
      <c r="F1041" s="64">
        <v>1046</v>
      </c>
      <c r="G1041" s="67">
        <v>1041</v>
      </c>
    </row>
    <row r="1042" spans="1:7" x14ac:dyDescent="0.25">
      <c r="A1042" s="62" t="s">
        <v>2810</v>
      </c>
      <c r="B1042" s="62">
        <v>1050</v>
      </c>
      <c r="C1042" s="62">
        <v>2038</v>
      </c>
      <c r="D1042" s="63" t="s">
        <v>1171</v>
      </c>
      <c r="E1042" s="64" t="s">
        <v>24</v>
      </c>
      <c r="F1042" s="64">
        <v>1047</v>
      </c>
      <c r="G1042" s="67">
        <v>1042</v>
      </c>
    </row>
    <row r="1043" spans="1:7" x14ac:dyDescent="0.25">
      <c r="A1043" s="62" t="s">
        <v>2811</v>
      </c>
      <c r="B1043" s="62">
        <v>1051</v>
      </c>
      <c r="C1043" s="62">
        <v>2039</v>
      </c>
      <c r="D1043" s="63" t="s">
        <v>1172</v>
      </c>
      <c r="E1043" s="64" t="s">
        <v>55</v>
      </c>
      <c r="F1043" s="64">
        <v>1048</v>
      </c>
      <c r="G1043" s="67">
        <v>1043</v>
      </c>
    </row>
    <row r="1044" spans="1:7" x14ac:dyDescent="0.25">
      <c r="A1044" s="62" t="s">
        <v>2812</v>
      </c>
      <c r="B1044" s="62">
        <v>1052</v>
      </c>
      <c r="C1044" s="62">
        <v>2040</v>
      </c>
      <c r="D1044" s="63" t="s">
        <v>1173</v>
      </c>
      <c r="E1044" s="64" t="s">
        <v>24</v>
      </c>
      <c r="F1044" s="64">
        <v>1049</v>
      </c>
      <c r="G1044" s="67">
        <v>1044</v>
      </c>
    </row>
    <row r="1045" spans="1:7" x14ac:dyDescent="0.25">
      <c r="A1045" s="62" t="s">
        <v>2813</v>
      </c>
      <c r="B1045" s="62">
        <v>1053</v>
      </c>
      <c r="C1045" s="62">
        <v>2041</v>
      </c>
      <c r="D1045" s="63" t="s">
        <v>1174</v>
      </c>
      <c r="E1045" s="64" t="s">
        <v>24</v>
      </c>
      <c r="F1045" s="64">
        <v>1050</v>
      </c>
      <c r="G1045" s="67">
        <v>1045</v>
      </c>
    </row>
    <row r="1046" spans="1:7" x14ac:dyDescent="0.25">
      <c r="A1046" s="62" t="s">
        <v>2814</v>
      </c>
      <c r="B1046" s="62">
        <v>1054</v>
      </c>
      <c r="C1046" s="62">
        <v>2042</v>
      </c>
      <c r="D1046" s="63" t="s">
        <v>1175</v>
      </c>
      <c r="E1046" s="64" t="s">
        <v>24</v>
      </c>
      <c r="F1046" s="64">
        <v>1051</v>
      </c>
      <c r="G1046" s="67">
        <v>1046</v>
      </c>
    </row>
    <row r="1047" spans="1:7" x14ac:dyDescent="0.25">
      <c r="A1047" s="62" t="s">
        <v>2815</v>
      </c>
      <c r="B1047" s="62">
        <v>1055</v>
      </c>
      <c r="C1047" s="62">
        <v>2043</v>
      </c>
      <c r="D1047" s="63" t="s">
        <v>1176</v>
      </c>
      <c r="E1047" s="64" t="s">
        <v>24</v>
      </c>
      <c r="F1047" s="64">
        <v>1052</v>
      </c>
      <c r="G1047" s="67">
        <v>1047</v>
      </c>
    </row>
    <row r="1048" spans="1:7" x14ac:dyDescent="0.25">
      <c r="A1048" s="62" t="s">
        <v>2816</v>
      </c>
      <c r="B1048" s="62">
        <v>1056</v>
      </c>
      <c r="C1048" s="62">
        <v>2044</v>
      </c>
      <c r="D1048" s="63" t="s">
        <v>1177</v>
      </c>
      <c r="E1048" s="64" t="s">
        <v>24</v>
      </c>
      <c r="F1048" s="64">
        <v>1053</v>
      </c>
      <c r="G1048" s="67">
        <v>1048</v>
      </c>
    </row>
    <row r="1049" spans="1:7" x14ac:dyDescent="0.25">
      <c r="A1049" s="62" t="s">
        <v>2817</v>
      </c>
      <c r="B1049" s="62">
        <v>1057</v>
      </c>
      <c r="C1049" s="62">
        <v>2045</v>
      </c>
      <c r="D1049" s="63" t="s">
        <v>1178</v>
      </c>
      <c r="E1049" s="64" t="s">
        <v>24</v>
      </c>
      <c r="F1049" s="64">
        <v>1054</v>
      </c>
      <c r="G1049" s="67">
        <v>1049</v>
      </c>
    </row>
    <row r="1050" spans="1:7" x14ac:dyDescent="0.25">
      <c r="A1050" s="62" t="s">
        <v>2818</v>
      </c>
      <c r="B1050" s="62">
        <v>1058</v>
      </c>
      <c r="C1050" s="62">
        <v>2046</v>
      </c>
      <c r="D1050" s="63" t="s">
        <v>1179</v>
      </c>
      <c r="E1050" s="64" t="s">
        <v>24</v>
      </c>
      <c r="F1050" s="64">
        <v>1055</v>
      </c>
      <c r="G1050" s="67">
        <v>1050</v>
      </c>
    </row>
    <row r="1051" spans="1:7" x14ac:dyDescent="0.25">
      <c r="A1051" s="62" t="s">
        <v>2819</v>
      </c>
      <c r="B1051" s="62">
        <v>1059</v>
      </c>
      <c r="C1051" s="62">
        <v>2047</v>
      </c>
      <c r="D1051" s="63" t="s">
        <v>1180</v>
      </c>
      <c r="E1051" s="64" t="s">
        <v>24</v>
      </c>
      <c r="F1051" s="64">
        <v>1056</v>
      </c>
      <c r="G1051" s="67">
        <v>1051</v>
      </c>
    </row>
    <row r="1052" spans="1:7" x14ac:dyDescent="0.25">
      <c r="A1052" s="62" t="s">
        <v>2820</v>
      </c>
      <c r="B1052" s="62">
        <v>1060</v>
      </c>
      <c r="C1052" s="62">
        <v>2048</v>
      </c>
      <c r="D1052" s="63" t="s">
        <v>1181</v>
      </c>
      <c r="E1052" s="64" t="s">
        <v>24</v>
      </c>
      <c r="F1052" s="64">
        <v>1057</v>
      </c>
      <c r="G1052" s="67">
        <v>1052</v>
      </c>
    </row>
    <row r="1053" spans="1:7" x14ac:dyDescent="0.25">
      <c r="A1053" s="62" t="s">
        <v>2821</v>
      </c>
      <c r="B1053" s="62">
        <v>1061</v>
      </c>
      <c r="C1053" s="62">
        <v>2049</v>
      </c>
      <c r="D1053" s="63" t="s">
        <v>1182</v>
      </c>
      <c r="E1053" s="64" t="s">
        <v>24</v>
      </c>
      <c r="F1053" s="64">
        <v>1058</v>
      </c>
      <c r="G1053" s="67">
        <v>1053</v>
      </c>
    </row>
    <row r="1054" spans="1:7" x14ac:dyDescent="0.25">
      <c r="A1054" s="62" t="s">
        <v>2822</v>
      </c>
      <c r="B1054" s="62">
        <v>1062</v>
      </c>
      <c r="C1054" s="62">
        <v>2050</v>
      </c>
      <c r="D1054" s="63" t="s">
        <v>1183</v>
      </c>
      <c r="E1054" s="64" t="s">
        <v>24</v>
      </c>
      <c r="F1054" s="64">
        <v>1059</v>
      </c>
      <c r="G1054" s="67">
        <v>1054</v>
      </c>
    </row>
    <row r="1055" spans="1:7" x14ac:dyDescent="0.25">
      <c r="A1055" s="62" t="s">
        <v>2823</v>
      </c>
      <c r="B1055" s="62">
        <v>1063</v>
      </c>
      <c r="C1055" s="62">
        <v>2051</v>
      </c>
      <c r="D1055" s="63" t="s">
        <v>1184</v>
      </c>
      <c r="E1055" s="64" t="s">
        <v>24</v>
      </c>
      <c r="F1055" s="64">
        <v>1060</v>
      </c>
      <c r="G1055" s="67">
        <v>1055</v>
      </c>
    </row>
    <row r="1056" spans="1:7" x14ac:dyDescent="0.25">
      <c r="A1056" s="62" t="s">
        <v>2824</v>
      </c>
      <c r="B1056" s="62">
        <v>1064</v>
      </c>
      <c r="C1056" s="62">
        <v>2052</v>
      </c>
      <c r="D1056" s="63" t="s">
        <v>1185</v>
      </c>
      <c r="E1056" s="64" t="s">
        <v>24</v>
      </c>
      <c r="F1056" s="64">
        <v>1061</v>
      </c>
      <c r="G1056" s="67">
        <v>1056</v>
      </c>
    </row>
    <row r="1057" spans="1:7" x14ac:dyDescent="0.25">
      <c r="A1057" s="62" t="s">
        <v>2825</v>
      </c>
      <c r="B1057" s="62">
        <v>1065</v>
      </c>
      <c r="C1057" s="62">
        <v>2053</v>
      </c>
      <c r="D1057" s="63" t="s">
        <v>1187</v>
      </c>
      <c r="E1057" s="64" t="s">
        <v>24</v>
      </c>
      <c r="F1057" s="64">
        <v>1062</v>
      </c>
      <c r="G1057" s="67">
        <v>1057</v>
      </c>
    </row>
    <row r="1058" spans="1:7" x14ac:dyDescent="0.25">
      <c r="A1058" s="62" t="s">
        <v>2826</v>
      </c>
      <c r="B1058" s="62">
        <v>1066</v>
      </c>
      <c r="C1058" s="62">
        <v>2054</v>
      </c>
      <c r="D1058" s="63" t="s">
        <v>1189</v>
      </c>
      <c r="E1058" s="64" t="s">
        <v>24</v>
      </c>
      <c r="F1058" s="64">
        <v>1063</v>
      </c>
      <c r="G1058" s="67">
        <v>1058</v>
      </c>
    </row>
    <row r="1059" spans="1:7" x14ac:dyDescent="0.25">
      <c r="A1059" s="62" t="s">
        <v>2827</v>
      </c>
      <c r="B1059" s="62">
        <v>1067</v>
      </c>
      <c r="C1059" s="62">
        <v>2055</v>
      </c>
      <c r="D1059" s="63" t="s">
        <v>1191</v>
      </c>
      <c r="E1059" s="64" t="s">
        <v>24</v>
      </c>
      <c r="F1059" s="64">
        <v>1064</v>
      </c>
      <c r="G1059" s="67">
        <v>1059</v>
      </c>
    </row>
    <row r="1060" spans="1:7" x14ac:dyDescent="0.25">
      <c r="A1060" s="62" t="s">
        <v>2828</v>
      </c>
      <c r="B1060" s="62">
        <v>1068</v>
      </c>
      <c r="C1060" s="62">
        <v>2056</v>
      </c>
      <c r="D1060" s="63" t="s">
        <v>1192</v>
      </c>
      <c r="E1060" s="64" t="s">
        <v>55</v>
      </c>
      <c r="F1060" s="64">
        <v>1065</v>
      </c>
      <c r="G1060" s="67">
        <v>1060</v>
      </c>
    </row>
    <row r="1061" spans="1:7" x14ac:dyDescent="0.25">
      <c r="A1061" s="62" t="s">
        <v>2829</v>
      </c>
      <c r="B1061" s="62">
        <v>1069</v>
      </c>
      <c r="C1061" s="62">
        <v>2057</v>
      </c>
      <c r="D1061" s="63" t="s">
        <v>1193</v>
      </c>
      <c r="E1061" s="64" t="s">
        <v>24</v>
      </c>
      <c r="F1061" s="64">
        <v>1066</v>
      </c>
      <c r="G1061" s="67">
        <v>1061</v>
      </c>
    </row>
    <row r="1062" spans="1:7" x14ac:dyDescent="0.25">
      <c r="A1062" s="62" t="s">
        <v>2830</v>
      </c>
      <c r="B1062" s="62">
        <v>1070</v>
      </c>
      <c r="C1062" s="62">
        <v>2058</v>
      </c>
      <c r="D1062" s="63" t="s">
        <v>1194</v>
      </c>
      <c r="E1062" s="64" t="s">
        <v>24</v>
      </c>
      <c r="F1062" s="64">
        <v>1067</v>
      </c>
      <c r="G1062" s="67">
        <v>1062</v>
      </c>
    </row>
    <row r="1063" spans="1:7" x14ac:dyDescent="0.25">
      <c r="A1063" s="62" t="s">
        <v>2831</v>
      </c>
      <c r="B1063" s="62">
        <v>1071</v>
      </c>
      <c r="C1063" s="62">
        <v>2059</v>
      </c>
      <c r="D1063" s="63" t="s">
        <v>1196</v>
      </c>
      <c r="E1063" s="64" t="s">
        <v>24</v>
      </c>
      <c r="F1063" s="64">
        <v>1068</v>
      </c>
      <c r="G1063" s="67">
        <v>1063</v>
      </c>
    </row>
    <row r="1064" spans="1:7" x14ac:dyDescent="0.25">
      <c r="A1064" s="62" t="s">
        <v>2832</v>
      </c>
      <c r="B1064" s="62">
        <v>1072</v>
      </c>
      <c r="C1064" s="62">
        <v>2060</v>
      </c>
      <c r="D1064" s="63" t="s">
        <v>1198</v>
      </c>
      <c r="E1064" s="64" t="s">
        <v>24</v>
      </c>
      <c r="F1064" s="64">
        <v>1069</v>
      </c>
      <c r="G1064" s="67">
        <v>1064</v>
      </c>
    </row>
    <row r="1065" spans="1:7" x14ac:dyDescent="0.25">
      <c r="A1065" s="62" t="s">
        <v>2833</v>
      </c>
      <c r="B1065" s="62">
        <v>1073</v>
      </c>
      <c r="C1065" s="62">
        <v>2061</v>
      </c>
      <c r="D1065" s="63" t="s">
        <v>1199</v>
      </c>
      <c r="E1065" s="64" t="s">
        <v>24</v>
      </c>
      <c r="F1065" s="64">
        <v>1070</v>
      </c>
      <c r="G1065" s="67">
        <v>1065</v>
      </c>
    </row>
    <row r="1066" spans="1:7" x14ac:dyDescent="0.25">
      <c r="A1066" s="62" t="s">
        <v>2834</v>
      </c>
      <c r="B1066" s="62">
        <v>1074</v>
      </c>
      <c r="C1066" s="62">
        <v>2062</v>
      </c>
      <c r="D1066" s="63" t="s">
        <v>1200</v>
      </c>
      <c r="E1066" s="64" t="s">
        <v>24</v>
      </c>
      <c r="F1066" s="64">
        <v>1071</v>
      </c>
      <c r="G1066" s="67">
        <v>1066</v>
      </c>
    </row>
    <row r="1067" spans="1:7" x14ac:dyDescent="0.25">
      <c r="A1067" s="62" t="s">
        <v>2835</v>
      </c>
      <c r="B1067" s="62">
        <v>1075</v>
      </c>
      <c r="C1067" s="62">
        <v>2063</v>
      </c>
      <c r="D1067" s="63" t="s">
        <v>1201</v>
      </c>
      <c r="E1067" s="64" t="s">
        <v>24</v>
      </c>
      <c r="F1067" s="64">
        <v>1072</v>
      </c>
      <c r="G1067" s="67">
        <v>1067</v>
      </c>
    </row>
    <row r="1068" spans="1:7" x14ac:dyDescent="0.25">
      <c r="A1068" s="62" t="s">
        <v>2836</v>
      </c>
      <c r="B1068" s="62">
        <v>1076</v>
      </c>
      <c r="C1068" s="62">
        <v>2064</v>
      </c>
      <c r="D1068" s="63" t="s">
        <v>1203</v>
      </c>
      <c r="E1068" s="64" t="s">
        <v>24</v>
      </c>
      <c r="F1068" s="64">
        <v>1073</v>
      </c>
      <c r="G1068" s="67">
        <v>1068</v>
      </c>
    </row>
    <row r="1069" spans="1:7" x14ac:dyDescent="0.25">
      <c r="A1069" s="62" t="s">
        <v>2837</v>
      </c>
      <c r="B1069" s="62">
        <v>1077</v>
      </c>
      <c r="C1069" s="62">
        <v>2065</v>
      </c>
      <c r="D1069" s="63" t="s">
        <v>1204</v>
      </c>
      <c r="E1069" s="64" t="s">
        <v>24</v>
      </c>
      <c r="F1069" s="64">
        <v>1074</v>
      </c>
      <c r="G1069" s="67">
        <v>1069</v>
      </c>
    </row>
    <row r="1070" spans="1:7" x14ac:dyDescent="0.25">
      <c r="A1070" s="62" t="s">
        <v>2838</v>
      </c>
      <c r="B1070" s="62">
        <v>1078</v>
      </c>
      <c r="C1070" s="62">
        <v>2066</v>
      </c>
      <c r="D1070" s="63" t="s">
        <v>1205</v>
      </c>
      <c r="E1070" s="64" t="s">
        <v>24</v>
      </c>
      <c r="F1070" s="64">
        <v>1075</v>
      </c>
      <c r="G1070" s="67">
        <v>1070</v>
      </c>
    </row>
    <row r="1071" spans="1:7" x14ac:dyDescent="0.25">
      <c r="A1071" s="62" t="s">
        <v>2839</v>
      </c>
      <c r="B1071" s="62">
        <v>1079</v>
      </c>
      <c r="C1071" s="62">
        <v>2067</v>
      </c>
      <c r="D1071" s="63" t="s">
        <v>1206</v>
      </c>
      <c r="E1071" s="64" t="s">
        <v>24</v>
      </c>
      <c r="F1071" s="64">
        <v>1076</v>
      </c>
      <c r="G1071" s="67">
        <v>1071</v>
      </c>
    </row>
    <row r="1072" spans="1:7" x14ac:dyDescent="0.25">
      <c r="A1072" s="62" t="s">
        <v>2840</v>
      </c>
      <c r="B1072" s="62">
        <v>1080</v>
      </c>
      <c r="C1072" s="62">
        <v>2068</v>
      </c>
      <c r="D1072" s="63" t="s">
        <v>1207</v>
      </c>
      <c r="E1072" s="64" t="s">
        <v>24</v>
      </c>
      <c r="F1072" s="64">
        <v>1077</v>
      </c>
      <c r="G1072" s="67">
        <v>1072</v>
      </c>
    </row>
    <row r="1073" spans="1:7" x14ac:dyDescent="0.25">
      <c r="A1073" s="62" t="s">
        <v>2841</v>
      </c>
      <c r="B1073" s="62">
        <v>1081</v>
      </c>
      <c r="C1073" s="62">
        <v>2069</v>
      </c>
      <c r="D1073" s="63" t="s">
        <v>1208</v>
      </c>
      <c r="E1073" s="64" t="s">
        <v>24</v>
      </c>
      <c r="F1073" s="64">
        <v>1078</v>
      </c>
      <c r="G1073" s="67">
        <v>1073</v>
      </c>
    </row>
    <row r="1074" spans="1:7" x14ac:dyDescent="0.25">
      <c r="A1074" s="62" t="s">
        <v>2842</v>
      </c>
      <c r="B1074" s="62">
        <v>1082</v>
      </c>
      <c r="C1074" s="62">
        <v>2070</v>
      </c>
      <c r="D1074" s="63" t="s">
        <v>1209</v>
      </c>
      <c r="E1074" s="64" t="s">
        <v>24</v>
      </c>
      <c r="F1074" s="64">
        <v>1079</v>
      </c>
      <c r="G1074" s="67">
        <v>1074</v>
      </c>
    </row>
    <row r="1075" spans="1:7" x14ac:dyDescent="0.25">
      <c r="A1075" s="62" t="s">
        <v>2843</v>
      </c>
      <c r="B1075" s="62">
        <v>1083</v>
      </c>
      <c r="C1075" s="62">
        <v>2071</v>
      </c>
      <c r="D1075" s="63" t="s">
        <v>1210</v>
      </c>
      <c r="E1075" s="64" t="s">
        <v>24</v>
      </c>
      <c r="F1075" s="64">
        <v>1080</v>
      </c>
      <c r="G1075" s="67">
        <v>1075</v>
      </c>
    </row>
    <row r="1076" spans="1:7" x14ac:dyDescent="0.25">
      <c r="A1076" s="62" t="s">
        <v>2844</v>
      </c>
      <c r="B1076" s="62">
        <v>1084</v>
      </c>
      <c r="C1076" s="62">
        <v>2072</v>
      </c>
      <c r="D1076" s="63" t="s">
        <v>1211</v>
      </c>
      <c r="E1076" s="64" t="s">
        <v>24</v>
      </c>
      <c r="F1076" s="64">
        <v>1081</v>
      </c>
      <c r="G1076" s="67">
        <v>1076</v>
      </c>
    </row>
    <row r="1077" spans="1:7" x14ac:dyDescent="0.25">
      <c r="A1077" s="62" t="s">
        <v>2845</v>
      </c>
      <c r="B1077" s="62">
        <v>1085</v>
      </c>
      <c r="C1077" s="62">
        <v>2073</v>
      </c>
      <c r="D1077" s="63" t="s">
        <v>1212</v>
      </c>
      <c r="E1077" s="64" t="s">
        <v>24</v>
      </c>
      <c r="F1077" s="64">
        <v>1082</v>
      </c>
      <c r="G1077" s="67">
        <v>1077</v>
      </c>
    </row>
    <row r="1078" spans="1:7" x14ac:dyDescent="0.25">
      <c r="A1078" s="62" t="s">
        <v>2846</v>
      </c>
      <c r="B1078" s="62">
        <v>1086</v>
      </c>
      <c r="C1078" s="62">
        <v>2074</v>
      </c>
      <c r="D1078" s="63" t="s">
        <v>1213</v>
      </c>
      <c r="E1078" s="64" t="s">
        <v>24</v>
      </c>
      <c r="F1078" s="64">
        <v>1083</v>
      </c>
      <c r="G1078" s="67">
        <v>1078</v>
      </c>
    </row>
    <row r="1079" spans="1:7" x14ac:dyDescent="0.25">
      <c r="A1079" s="62" t="s">
        <v>2847</v>
      </c>
      <c r="B1079" s="62">
        <v>1087</v>
      </c>
      <c r="C1079" s="62">
        <v>2075</v>
      </c>
      <c r="D1079" s="63" t="s">
        <v>1214</v>
      </c>
      <c r="E1079" s="64" t="s">
        <v>24</v>
      </c>
      <c r="F1079" s="64">
        <v>1084</v>
      </c>
      <c r="G1079" s="67">
        <v>1079</v>
      </c>
    </row>
    <row r="1080" spans="1:7" x14ac:dyDescent="0.25">
      <c r="A1080" s="62" t="s">
        <v>2848</v>
      </c>
      <c r="B1080" s="62">
        <v>1088</v>
      </c>
      <c r="C1080" s="62">
        <v>2076</v>
      </c>
      <c r="D1080" s="63" t="s">
        <v>1215</v>
      </c>
      <c r="E1080" s="64" t="s">
        <v>24</v>
      </c>
      <c r="F1080" s="64">
        <v>1085</v>
      </c>
      <c r="G1080" s="67">
        <v>1080</v>
      </c>
    </row>
    <row r="1081" spans="1:7" x14ac:dyDescent="0.25">
      <c r="A1081" s="62" t="s">
        <v>2849</v>
      </c>
      <c r="B1081" s="62">
        <v>1089</v>
      </c>
      <c r="C1081" s="62">
        <v>2077</v>
      </c>
      <c r="D1081" s="63" t="s">
        <v>1216</v>
      </c>
      <c r="E1081" s="64" t="s">
        <v>24</v>
      </c>
      <c r="F1081" s="64">
        <v>1086</v>
      </c>
      <c r="G1081" s="67">
        <v>1081</v>
      </c>
    </row>
    <row r="1082" spans="1:7" x14ac:dyDescent="0.25">
      <c r="A1082" s="62" t="s">
        <v>2850</v>
      </c>
      <c r="B1082" s="62">
        <v>1090</v>
      </c>
      <c r="C1082" s="62">
        <v>2078</v>
      </c>
      <c r="D1082" s="63" t="s">
        <v>1218</v>
      </c>
      <c r="E1082" s="64" t="s">
        <v>24</v>
      </c>
      <c r="F1082" s="64">
        <v>1087</v>
      </c>
      <c r="G1082" s="67">
        <v>1082</v>
      </c>
    </row>
    <row r="1083" spans="1:7" x14ac:dyDescent="0.25">
      <c r="A1083" s="62" t="s">
        <v>2851</v>
      </c>
      <c r="B1083" s="62">
        <v>1091</v>
      </c>
      <c r="C1083" s="62">
        <v>2079</v>
      </c>
      <c r="D1083" s="63" t="s">
        <v>1219</v>
      </c>
      <c r="E1083" s="64" t="s">
        <v>24</v>
      </c>
      <c r="F1083" s="64">
        <v>1088</v>
      </c>
      <c r="G1083" s="67">
        <v>1083</v>
      </c>
    </row>
    <row r="1084" spans="1:7" x14ac:dyDescent="0.25">
      <c r="A1084" s="62" t="s">
        <v>2852</v>
      </c>
      <c r="B1084" s="62">
        <v>1092</v>
      </c>
      <c r="C1084" s="62">
        <v>2080</v>
      </c>
      <c r="D1084" s="63" t="s">
        <v>1221</v>
      </c>
      <c r="E1084" s="64" t="s">
        <v>24</v>
      </c>
      <c r="F1084" s="64">
        <v>1089</v>
      </c>
      <c r="G1084" s="67">
        <v>1084</v>
      </c>
    </row>
    <row r="1085" spans="1:7" x14ac:dyDescent="0.25">
      <c r="A1085" s="62" t="s">
        <v>2853</v>
      </c>
      <c r="B1085" s="62">
        <v>1093</v>
      </c>
      <c r="C1085" s="62">
        <v>2081</v>
      </c>
      <c r="D1085" s="63" t="s">
        <v>1222</v>
      </c>
      <c r="E1085" s="64" t="s">
        <v>24</v>
      </c>
      <c r="F1085" s="64">
        <v>1090</v>
      </c>
      <c r="G1085" s="67">
        <v>1085</v>
      </c>
    </row>
    <row r="1086" spans="1:7" x14ac:dyDescent="0.25">
      <c r="A1086" s="62" t="s">
        <v>2854</v>
      </c>
      <c r="B1086" s="62">
        <v>1094</v>
      </c>
      <c r="C1086" s="62">
        <v>2082</v>
      </c>
      <c r="D1086" s="63" t="s">
        <v>1223</v>
      </c>
      <c r="E1086" s="64" t="s">
        <v>24</v>
      </c>
      <c r="F1086" s="64">
        <v>1091</v>
      </c>
      <c r="G1086" s="67">
        <v>1086</v>
      </c>
    </row>
    <row r="1087" spans="1:7" x14ac:dyDescent="0.25">
      <c r="A1087" s="62" t="s">
        <v>2855</v>
      </c>
      <c r="B1087" s="62">
        <v>1095</v>
      </c>
      <c r="C1087" s="62">
        <v>2083</v>
      </c>
      <c r="D1087" s="63" t="s">
        <v>1224</v>
      </c>
      <c r="E1087" s="64" t="s">
        <v>24</v>
      </c>
      <c r="F1087" s="64">
        <v>1092</v>
      </c>
      <c r="G1087" s="67">
        <v>1087</v>
      </c>
    </row>
    <row r="1088" spans="1:7" x14ac:dyDescent="0.25">
      <c r="A1088" s="62" t="s">
        <v>2856</v>
      </c>
      <c r="B1088" s="62">
        <v>1096</v>
      </c>
      <c r="C1088" s="62">
        <v>2084</v>
      </c>
      <c r="D1088" s="63" t="s">
        <v>1225</v>
      </c>
      <c r="E1088" s="64" t="s">
        <v>24</v>
      </c>
      <c r="F1088" s="64">
        <v>1093</v>
      </c>
      <c r="G1088" s="67">
        <v>1088</v>
      </c>
    </row>
    <row r="1089" spans="1:7" x14ac:dyDescent="0.25">
      <c r="A1089" s="62" t="s">
        <v>2857</v>
      </c>
      <c r="B1089" s="62">
        <v>1097</v>
      </c>
      <c r="C1089" s="62">
        <v>2085</v>
      </c>
      <c r="D1089" s="63" t="s">
        <v>1226</v>
      </c>
      <c r="E1089" s="64" t="s">
        <v>24</v>
      </c>
      <c r="F1089" s="64">
        <v>1094</v>
      </c>
      <c r="G1089" s="67">
        <v>1089</v>
      </c>
    </row>
    <row r="1090" spans="1:7" x14ac:dyDescent="0.25">
      <c r="A1090" s="62" t="s">
        <v>2858</v>
      </c>
      <c r="B1090" s="62">
        <v>1098</v>
      </c>
      <c r="C1090" s="62">
        <v>2086</v>
      </c>
      <c r="D1090" s="63" t="s">
        <v>1227</v>
      </c>
      <c r="E1090" s="64" t="s">
        <v>24</v>
      </c>
      <c r="F1090" s="64">
        <v>1095</v>
      </c>
      <c r="G1090" s="67">
        <v>1090</v>
      </c>
    </row>
    <row r="1091" spans="1:7" x14ac:dyDescent="0.25">
      <c r="A1091" s="62" t="s">
        <v>2859</v>
      </c>
      <c r="B1091" s="62">
        <v>1099</v>
      </c>
      <c r="C1091" s="62">
        <v>2087</v>
      </c>
      <c r="D1091" s="63" t="s">
        <v>1228</v>
      </c>
      <c r="E1091" s="64" t="s">
        <v>24</v>
      </c>
      <c r="F1091" s="64">
        <v>1096</v>
      </c>
      <c r="G1091" s="67">
        <v>1091</v>
      </c>
    </row>
    <row r="1092" spans="1:7" x14ac:dyDescent="0.25">
      <c r="A1092" s="62" t="s">
        <v>2860</v>
      </c>
      <c r="B1092" s="62">
        <v>1100</v>
      </c>
      <c r="C1092" s="62">
        <v>2088</v>
      </c>
      <c r="D1092" s="63" t="s">
        <v>1229</v>
      </c>
      <c r="E1092" s="64" t="s">
        <v>24</v>
      </c>
      <c r="F1092" s="64">
        <v>1097</v>
      </c>
      <c r="G1092" s="67">
        <v>1092</v>
      </c>
    </row>
    <row r="1093" spans="1:7" x14ac:dyDescent="0.25">
      <c r="A1093" s="62" t="s">
        <v>2861</v>
      </c>
      <c r="B1093" s="62">
        <v>1101</v>
      </c>
      <c r="C1093" s="62">
        <v>2089</v>
      </c>
      <c r="D1093" s="63" t="s">
        <v>1230</v>
      </c>
      <c r="E1093" s="64" t="s">
        <v>24</v>
      </c>
      <c r="F1093" s="64">
        <v>1098</v>
      </c>
      <c r="G1093" s="67">
        <v>1093</v>
      </c>
    </row>
    <row r="1094" spans="1:7" x14ac:dyDescent="0.25">
      <c r="A1094" s="62" t="s">
        <v>2862</v>
      </c>
      <c r="B1094" s="62">
        <v>1102</v>
      </c>
      <c r="C1094" s="62">
        <v>2090</v>
      </c>
      <c r="D1094" s="63" t="s">
        <v>1231</v>
      </c>
      <c r="E1094" s="64" t="s">
        <v>24</v>
      </c>
      <c r="F1094" s="64">
        <v>1099</v>
      </c>
      <c r="G1094" s="67">
        <v>1094</v>
      </c>
    </row>
    <row r="1095" spans="1:7" x14ac:dyDescent="0.25">
      <c r="A1095" s="62" t="s">
        <v>2863</v>
      </c>
      <c r="B1095" s="62">
        <v>1103</v>
      </c>
      <c r="C1095" s="62">
        <v>2091</v>
      </c>
      <c r="D1095" s="63" t="s">
        <v>1232</v>
      </c>
      <c r="E1095" s="64" t="s">
        <v>24</v>
      </c>
      <c r="F1095" s="64">
        <v>1100</v>
      </c>
      <c r="G1095" s="67">
        <v>1095</v>
      </c>
    </row>
    <row r="1096" spans="1:7" x14ac:dyDescent="0.25">
      <c r="A1096" s="62" t="s">
        <v>2864</v>
      </c>
      <c r="B1096" s="62">
        <v>1104</v>
      </c>
      <c r="C1096" s="62">
        <v>2092</v>
      </c>
      <c r="D1096" s="63" t="s">
        <v>1233</v>
      </c>
      <c r="E1096" s="64" t="s">
        <v>24</v>
      </c>
      <c r="F1096" s="64">
        <v>1101</v>
      </c>
      <c r="G1096" s="67">
        <v>1096</v>
      </c>
    </row>
    <row r="1097" spans="1:7" x14ac:dyDescent="0.25">
      <c r="A1097" s="62" t="s">
        <v>2865</v>
      </c>
      <c r="B1097" s="62">
        <v>1105</v>
      </c>
      <c r="C1097" s="62">
        <v>2093</v>
      </c>
      <c r="D1097" s="63" t="s">
        <v>1234</v>
      </c>
      <c r="E1097" s="64" t="s">
        <v>24</v>
      </c>
      <c r="F1097" s="64">
        <v>1102</v>
      </c>
      <c r="G1097" s="67">
        <v>1097</v>
      </c>
    </row>
    <row r="1098" spans="1:7" x14ac:dyDescent="0.25">
      <c r="A1098" s="62" t="s">
        <v>2866</v>
      </c>
      <c r="B1098" s="62">
        <v>1106</v>
      </c>
      <c r="C1098" s="62">
        <v>2094</v>
      </c>
      <c r="D1098" s="63" t="s">
        <v>1235</v>
      </c>
      <c r="E1098" s="64" t="s">
        <v>24</v>
      </c>
      <c r="F1098" s="64">
        <v>1103</v>
      </c>
      <c r="G1098" s="67">
        <v>1098</v>
      </c>
    </row>
    <row r="1099" spans="1:7" x14ac:dyDescent="0.25">
      <c r="A1099" s="62" t="s">
        <v>2867</v>
      </c>
      <c r="B1099" s="62">
        <v>1107</v>
      </c>
      <c r="C1099" s="62">
        <v>2095</v>
      </c>
      <c r="D1099" s="63" t="s">
        <v>1236</v>
      </c>
      <c r="E1099" s="64" t="s">
        <v>24</v>
      </c>
      <c r="F1099" s="64">
        <v>1104</v>
      </c>
      <c r="G1099" s="67">
        <v>1099</v>
      </c>
    </row>
    <row r="1100" spans="1:7" x14ac:dyDescent="0.25">
      <c r="A1100" s="62" t="s">
        <v>2868</v>
      </c>
      <c r="B1100" s="62">
        <v>1108</v>
      </c>
      <c r="C1100" s="62">
        <v>2096</v>
      </c>
      <c r="D1100" s="63" t="s">
        <v>1237</v>
      </c>
      <c r="E1100" s="64" t="s">
        <v>24</v>
      </c>
      <c r="F1100" s="64">
        <v>1105</v>
      </c>
      <c r="G1100" s="67">
        <v>1100</v>
      </c>
    </row>
    <row r="1101" spans="1:7" x14ac:dyDescent="0.25">
      <c r="A1101" s="62" t="s">
        <v>2869</v>
      </c>
      <c r="B1101" s="62">
        <v>1109</v>
      </c>
      <c r="C1101" s="62">
        <v>2097</v>
      </c>
      <c r="D1101" s="63" t="s">
        <v>1238</v>
      </c>
      <c r="E1101" s="64" t="s">
        <v>24</v>
      </c>
      <c r="F1101" s="64">
        <v>1106</v>
      </c>
      <c r="G1101" s="67">
        <v>1101</v>
      </c>
    </row>
    <row r="1102" spans="1:7" x14ac:dyDescent="0.25">
      <c r="A1102" s="62" t="s">
        <v>2870</v>
      </c>
      <c r="B1102" s="62">
        <v>1110</v>
      </c>
      <c r="C1102" s="62">
        <v>2098</v>
      </c>
      <c r="D1102" s="63" t="s">
        <v>1239</v>
      </c>
      <c r="E1102" s="64" t="s">
        <v>24</v>
      </c>
      <c r="F1102" s="64">
        <v>1107</v>
      </c>
      <c r="G1102" s="67">
        <v>1102</v>
      </c>
    </row>
    <row r="1103" spans="1:7" x14ac:dyDescent="0.25">
      <c r="A1103" s="62" t="s">
        <v>2871</v>
      </c>
      <c r="B1103" s="62">
        <v>1111</v>
      </c>
      <c r="C1103" s="62">
        <v>2099</v>
      </c>
      <c r="D1103" s="63" t="s">
        <v>1241</v>
      </c>
      <c r="E1103" s="64" t="s">
        <v>24</v>
      </c>
      <c r="F1103" s="64">
        <v>1108</v>
      </c>
      <c r="G1103" s="67">
        <v>1103</v>
      </c>
    </row>
    <row r="1104" spans="1:7" x14ac:dyDescent="0.25">
      <c r="A1104" s="62" t="s">
        <v>2872</v>
      </c>
      <c r="B1104" s="62">
        <v>1112</v>
      </c>
      <c r="C1104" s="62">
        <v>2100</v>
      </c>
      <c r="D1104" s="63" t="s">
        <v>1242</v>
      </c>
      <c r="E1104" s="64" t="s">
        <v>24</v>
      </c>
      <c r="F1104" s="64">
        <v>1109</v>
      </c>
      <c r="G1104" s="67">
        <v>1104</v>
      </c>
    </row>
    <row r="1105" spans="1:7" x14ac:dyDescent="0.25">
      <c r="A1105" s="62" t="s">
        <v>2873</v>
      </c>
      <c r="B1105" s="62">
        <v>1113</v>
      </c>
      <c r="C1105" s="62">
        <v>2101</v>
      </c>
      <c r="D1105" s="63" t="s">
        <v>1243</v>
      </c>
      <c r="E1105" s="64" t="s">
        <v>24</v>
      </c>
      <c r="F1105" s="64">
        <v>1110</v>
      </c>
      <c r="G1105" s="67">
        <v>1105</v>
      </c>
    </row>
    <row r="1106" spans="1:7" x14ac:dyDescent="0.25">
      <c r="A1106" s="62" t="s">
        <v>2874</v>
      </c>
      <c r="B1106" s="62">
        <v>1114</v>
      </c>
      <c r="C1106" s="62">
        <v>2102</v>
      </c>
      <c r="D1106" s="63" t="s">
        <v>1244</v>
      </c>
      <c r="E1106" s="64" t="s">
        <v>24</v>
      </c>
      <c r="F1106" s="64">
        <v>1111</v>
      </c>
      <c r="G1106" s="67">
        <v>1106</v>
      </c>
    </row>
    <row r="1107" spans="1:7" x14ac:dyDescent="0.25">
      <c r="A1107" s="62" t="s">
        <v>2875</v>
      </c>
      <c r="B1107" s="62">
        <v>1115</v>
      </c>
      <c r="C1107" s="62">
        <v>2103</v>
      </c>
      <c r="D1107" s="63" t="s">
        <v>1245</v>
      </c>
      <c r="E1107" s="64" t="s">
        <v>24</v>
      </c>
      <c r="F1107" s="64">
        <v>1112</v>
      </c>
      <c r="G1107" s="67">
        <v>1107</v>
      </c>
    </row>
    <row r="1108" spans="1:7" x14ac:dyDescent="0.25">
      <c r="A1108" s="62" t="s">
        <v>2876</v>
      </c>
      <c r="B1108" s="62">
        <v>1116</v>
      </c>
      <c r="C1108" s="62">
        <v>2104</v>
      </c>
      <c r="D1108" s="63" t="s">
        <v>1246</v>
      </c>
      <c r="E1108" s="64" t="s">
        <v>24</v>
      </c>
      <c r="F1108" s="64">
        <v>1113</v>
      </c>
      <c r="G1108" s="67">
        <v>1108</v>
      </c>
    </row>
    <row r="1109" spans="1:7" x14ac:dyDescent="0.25">
      <c r="A1109" s="62" t="s">
        <v>2877</v>
      </c>
      <c r="B1109" s="62">
        <v>1117</v>
      </c>
      <c r="C1109" s="62">
        <v>2105</v>
      </c>
      <c r="D1109" s="63" t="s">
        <v>1247</v>
      </c>
      <c r="E1109" s="64" t="s">
        <v>24</v>
      </c>
      <c r="F1109" s="64">
        <v>1114</v>
      </c>
      <c r="G1109" s="67">
        <v>1109</v>
      </c>
    </row>
    <row r="1110" spans="1:7" x14ac:dyDescent="0.25">
      <c r="A1110" s="62" t="s">
        <v>2878</v>
      </c>
      <c r="B1110" s="62">
        <v>1118</v>
      </c>
      <c r="C1110" s="62">
        <v>2106</v>
      </c>
      <c r="D1110" s="63" t="s">
        <v>1248</v>
      </c>
      <c r="E1110" s="64" t="s">
        <v>24</v>
      </c>
      <c r="F1110" s="64">
        <v>1115</v>
      </c>
      <c r="G1110" s="67">
        <v>1110</v>
      </c>
    </row>
    <row r="1111" spans="1:7" x14ac:dyDescent="0.25">
      <c r="A1111" s="62" t="s">
        <v>2879</v>
      </c>
      <c r="B1111" s="62">
        <v>1119</v>
      </c>
      <c r="C1111" s="62">
        <v>2107</v>
      </c>
      <c r="D1111" s="63" t="s">
        <v>1249</v>
      </c>
      <c r="E1111" s="64" t="s">
        <v>24</v>
      </c>
      <c r="F1111" s="64">
        <v>1116</v>
      </c>
      <c r="G1111" s="67">
        <v>1111</v>
      </c>
    </row>
    <row r="1112" spans="1:7" x14ac:dyDescent="0.25">
      <c r="A1112" s="62" t="s">
        <v>2880</v>
      </c>
      <c r="B1112" s="62">
        <v>1120</v>
      </c>
      <c r="C1112" s="62">
        <v>2108</v>
      </c>
      <c r="D1112" s="63" t="s">
        <v>1250</v>
      </c>
      <c r="E1112" s="64" t="s">
        <v>24</v>
      </c>
      <c r="F1112" s="64">
        <v>1117</v>
      </c>
      <c r="G1112" s="67">
        <v>1112</v>
      </c>
    </row>
    <row r="1113" spans="1:7" x14ac:dyDescent="0.25">
      <c r="A1113" s="62" t="s">
        <v>2881</v>
      </c>
      <c r="B1113" s="62">
        <v>1121</v>
      </c>
      <c r="C1113" s="62">
        <v>2109</v>
      </c>
      <c r="D1113" s="63" t="s">
        <v>1251</v>
      </c>
      <c r="E1113" s="64" t="s">
        <v>24</v>
      </c>
      <c r="F1113" s="64">
        <v>1118</v>
      </c>
      <c r="G1113" s="67">
        <v>1113</v>
      </c>
    </row>
    <row r="1114" spans="1:7" x14ac:dyDescent="0.25">
      <c r="A1114" s="62" t="s">
        <v>2882</v>
      </c>
      <c r="B1114" s="62">
        <v>1122</v>
      </c>
      <c r="C1114" s="62">
        <v>2110</v>
      </c>
      <c r="D1114" s="63" t="s">
        <v>1252</v>
      </c>
      <c r="E1114" s="64" t="s">
        <v>24</v>
      </c>
      <c r="F1114" s="64">
        <v>1119</v>
      </c>
      <c r="G1114" s="67">
        <v>1114</v>
      </c>
    </row>
    <row r="1115" spans="1:7" x14ac:dyDescent="0.25">
      <c r="A1115" s="62" t="s">
        <v>2883</v>
      </c>
      <c r="B1115" s="62">
        <v>1123</v>
      </c>
      <c r="C1115" s="62">
        <v>2111</v>
      </c>
      <c r="D1115" s="63" t="s">
        <v>1253</v>
      </c>
      <c r="E1115" s="64" t="s">
        <v>24</v>
      </c>
      <c r="F1115" s="64">
        <v>1120</v>
      </c>
      <c r="G1115" s="67">
        <v>1115</v>
      </c>
    </row>
    <row r="1116" spans="1:7" x14ac:dyDescent="0.25">
      <c r="A1116" s="62" t="s">
        <v>2884</v>
      </c>
      <c r="B1116" s="62">
        <v>1124</v>
      </c>
      <c r="C1116" s="62">
        <v>2112</v>
      </c>
      <c r="D1116" s="63" t="s">
        <v>1255</v>
      </c>
      <c r="E1116" s="64" t="s">
        <v>24</v>
      </c>
      <c r="F1116" s="64">
        <v>1121</v>
      </c>
      <c r="G1116" s="67">
        <v>1116</v>
      </c>
    </row>
    <row r="1117" spans="1:7" x14ac:dyDescent="0.25">
      <c r="A1117" s="62" t="s">
        <v>2885</v>
      </c>
      <c r="B1117" s="62">
        <v>1125</v>
      </c>
      <c r="C1117" s="62">
        <v>2113</v>
      </c>
      <c r="D1117" s="63" t="s">
        <v>1257</v>
      </c>
      <c r="E1117" s="64" t="s">
        <v>24</v>
      </c>
      <c r="F1117" s="64">
        <v>1122</v>
      </c>
      <c r="G1117" s="67">
        <v>1117</v>
      </c>
    </row>
    <row r="1118" spans="1:7" x14ac:dyDescent="0.25">
      <c r="A1118" s="62" t="s">
        <v>2886</v>
      </c>
      <c r="B1118" s="62">
        <v>1126</v>
      </c>
      <c r="C1118" s="62">
        <v>2114</v>
      </c>
      <c r="D1118" s="63" t="s">
        <v>1259</v>
      </c>
      <c r="E1118" s="64" t="s">
        <v>24</v>
      </c>
      <c r="F1118" s="64">
        <v>1123</v>
      </c>
      <c r="G1118" s="67">
        <v>1118</v>
      </c>
    </row>
    <row r="1119" spans="1:7" x14ac:dyDescent="0.25">
      <c r="A1119" s="62" t="s">
        <v>2887</v>
      </c>
      <c r="B1119" s="62">
        <v>1127</v>
      </c>
      <c r="C1119" s="62">
        <v>2115</v>
      </c>
      <c r="D1119" s="63" t="s">
        <v>1260</v>
      </c>
      <c r="E1119" s="64" t="s">
        <v>24</v>
      </c>
      <c r="F1119" s="64">
        <v>1124</v>
      </c>
      <c r="G1119" s="67">
        <v>1119</v>
      </c>
    </row>
    <row r="1120" spans="1:7" x14ac:dyDescent="0.25">
      <c r="A1120" s="62" t="s">
        <v>2888</v>
      </c>
      <c r="B1120" s="62">
        <v>1128</v>
      </c>
      <c r="C1120" s="62">
        <v>2116</v>
      </c>
      <c r="D1120" s="63" t="s">
        <v>1261</v>
      </c>
      <c r="E1120" s="64" t="s">
        <v>24</v>
      </c>
      <c r="F1120" s="64">
        <v>1125</v>
      </c>
      <c r="G1120" s="67">
        <v>1120</v>
      </c>
    </row>
    <row r="1121" spans="1:7" x14ac:dyDescent="0.25">
      <c r="A1121" s="62" t="s">
        <v>2889</v>
      </c>
      <c r="B1121" s="62">
        <v>1129</v>
      </c>
      <c r="C1121" s="62">
        <v>2117</v>
      </c>
      <c r="D1121" s="63" t="s">
        <v>1262</v>
      </c>
      <c r="E1121" s="64" t="s">
        <v>24</v>
      </c>
      <c r="F1121" s="64">
        <v>1126</v>
      </c>
      <c r="G1121" s="67">
        <v>1121</v>
      </c>
    </row>
    <row r="1122" spans="1:7" x14ac:dyDescent="0.25">
      <c r="A1122" s="62" t="s">
        <v>2890</v>
      </c>
      <c r="B1122" s="62">
        <v>1130</v>
      </c>
      <c r="C1122" s="62">
        <v>2118</v>
      </c>
      <c r="D1122" s="63" t="s">
        <v>1264</v>
      </c>
      <c r="E1122" s="64" t="s">
        <v>24</v>
      </c>
      <c r="F1122" s="64">
        <v>1127</v>
      </c>
      <c r="G1122" s="67">
        <v>1122</v>
      </c>
    </row>
    <row r="1123" spans="1:7" x14ac:dyDescent="0.25">
      <c r="A1123" s="62" t="s">
        <v>2891</v>
      </c>
      <c r="B1123" s="62">
        <v>1131</v>
      </c>
      <c r="C1123" s="62">
        <v>2119</v>
      </c>
      <c r="D1123" s="63" t="s">
        <v>1265</v>
      </c>
      <c r="E1123" s="64" t="s">
        <v>24</v>
      </c>
      <c r="F1123" s="64">
        <v>1128</v>
      </c>
      <c r="G1123" s="67">
        <v>1123</v>
      </c>
    </row>
    <row r="1124" spans="1:7" x14ac:dyDescent="0.25">
      <c r="A1124" s="62" t="s">
        <v>2892</v>
      </c>
      <c r="B1124" s="62">
        <v>1132</v>
      </c>
      <c r="C1124" s="62">
        <v>2120</v>
      </c>
      <c r="D1124" s="63" t="s">
        <v>1266</v>
      </c>
      <c r="E1124" s="64" t="s">
        <v>24</v>
      </c>
      <c r="F1124" s="64">
        <v>1129</v>
      </c>
      <c r="G1124" s="67">
        <v>1124</v>
      </c>
    </row>
    <row r="1125" spans="1:7" x14ac:dyDescent="0.25">
      <c r="A1125" s="62" t="s">
        <v>2893</v>
      </c>
      <c r="B1125" s="62">
        <v>1133</v>
      </c>
      <c r="C1125" s="62">
        <v>2121</v>
      </c>
      <c r="D1125" s="63" t="s">
        <v>1267</v>
      </c>
      <c r="E1125" s="64" t="s">
        <v>24</v>
      </c>
      <c r="F1125" s="64">
        <v>1130</v>
      </c>
      <c r="G1125" s="67">
        <v>1125</v>
      </c>
    </row>
    <row r="1126" spans="1:7" x14ac:dyDescent="0.25">
      <c r="A1126" s="62" t="s">
        <v>2894</v>
      </c>
      <c r="B1126" s="62">
        <v>1134</v>
      </c>
      <c r="C1126" s="62">
        <v>2122</v>
      </c>
      <c r="D1126" s="63" t="s">
        <v>1268</v>
      </c>
      <c r="E1126" s="64" t="s">
        <v>546</v>
      </c>
      <c r="F1126" s="64">
        <v>1131</v>
      </c>
      <c r="G1126" s="67">
        <v>1126</v>
      </c>
    </row>
    <row r="1127" spans="1:7" x14ac:dyDescent="0.25">
      <c r="A1127" s="62" t="s">
        <v>2895</v>
      </c>
      <c r="B1127" s="62">
        <v>1135</v>
      </c>
      <c r="C1127" s="62">
        <v>2123</v>
      </c>
      <c r="D1127" s="63" t="s">
        <v>1269</v>
      </c>
      <c r="E1127" s="64" t="s">
        <v>546</v>
      </c>
      <c r="F1127" s="64">
        <v>1132</v>
      </c>
      <c r="G1127" s="67">
        <v>1127</v>
      </c>
    </row>
    <row r="1128" spans="1:7" x14ac:dyDescent="0.25">
      <c r="A1128" s="62" t="s">
        <v>2896</v>
      </c>
      <c r="B1128" s="62">
        <v>1136</v>
      </c>
      <c r="C1128" s="62">
        <v>2124</v>
      </c>
      <c r="D1128" s="63" t="s">
        <v>1270</v>
      </c>
      <c r="E1128" s="64" t="s">
        <v>546</v>
      </c>
      <c r="F1128" s="64">
        <v>1133</v>
      </c>
      <c r="G1128" s="67">
        <v>1128</v>
      </c>
    </row>
    <row r="1129" spans="1:7" x14ac:dyDescent="0.25">
      <c r="A1129" s="62" t="s">
        <v>2897</v>
      </c>
      <c r="B1129" s="62">
        <v>1137</v>
      </c>
      <c r="C1129" s="62">
        <v>2125</v>
      </c>
      <c r="D1129" s="63" t="s">
        <v>1271</v>
      </c>
      <c r="E1129" s="64" t="s">
        <v>546</v>
      </c>
      <c r="F1129" s="64">
        <v>1134</v>
      </c>
      <c r="G1129" s="67">
        <v>1129</v>
      </c>
    </row>
    <row r="1130" spans="1:7" x14ac:dyDescent="0.25">
      <c r="A1130" s="62" t="s">
        <v>2898</v>
      </c>
      <c r="B1130" s="62">
        <v>1138</v>
      </c>
      <c r="C1130" s="62">
        <v>2126</v>
      </c>
      <c r="D1130" s="63" t="s">
        <v>1272</v>
      </c>
      <c r="E1130" s="64" t="s">
        <v>546</v>
      </c>
      <c r="F1130" s="64">
        <v>1135</v>
      </c>
      <c r="G1130" s="67">
        <v>1130</v>
      </c>
    </row>
    <row r="1131" spans="1:7" x14ac:dyDescent="0.25">
      <c r="A1131" s="62" t="s">
        <v>2899</v>
      </c>
      <c r="B1131" s="62">
        <v>1139</v>
      </c>
      <c r="C1131" s="62">
        <v>2127</v>
      </c>
      <c r="D1131" s="63" t="s">
        <v>1273</v>
      </c>
      <c r="E1131" s="64" t="s">
        <v>24</v>
      </c>
      <c r="F1131" s="64">
        <v>1136</v>
      </c>
      <c r="G1131" s="67">
        <v>1131</v>
      </c>
    </row>
    <row r="1132" spans="1:7" x14ac:dyDescent="0.25">
      <c r="A1132" s="62" t="s">
        <v>2900</v>
      </c>
      <c r="B1132" s="62">
        <v>1140</v>
      </c>
      <c r="C1132" s="62">
        <v>2128</v>
      </c>
      <c r="D1132" s="63" t="s">
        <v>1274</v>
      </c>
      <c r="E1132" s="64" t="s">
        <v>24</v>
      </c>
      <c r="F1132" s="64">
        <v>1137</v>
      </c>
      <c r="G1132" s="67">
        <v>1132</v>
      </c>
    </row>
    <row r="1133" spans="1:7" x14ac:dyDescent="0.25">
      <c r="A1133" s="62" t="s">
        <v>2901</v>
      </c>
      <c r="B1133" s="62">
        <v>1141</v>
      </c>
      <c r="C1133" s="62">
        <v>2129</v>
      </c>
      <c r="D1133" s="63" t="s">
        <v>1275</v>
      </c>
      <c r="E1133" s="64" t="s">
        <v>24</v>
      </c>
      <c r="F1133" s="64">
        <v>1138</v>
      </c>
      <c r="G1133" s="67">
        <v>1133</v>
      </c>
    </row>
    <row r="1134" spans="1:7" x14ac:dyDescent="0.25">
      <c r="A1134" s="62" t="s">
        <v>2902</v>
      </c>
      <c r="B1134" s="62">
        <v>1142</v>
      </c>
      <c r="C1134" s="62">
        <v>2130</v>
      </c>
      <c r="D1134" s="63" t="s">
        <v>1276</v>
      </c>
      <c r="E1134" s="64" t="s">
        <v>24</v>
      </c>
      <c r="F1134" s="64">
        <v>1139</v>
      </c>
      <c r="G1134" s="67">
        <v>1134</v>
      </c>
    </row>
    <row r="1135" spans="1:7" x14ac:dyDescent="0.25">
      <c r="A1135" s="62" t="s">
        <v>2903</v>
      </c>
      <c r="B1135" s="62">
        <v>1143</v>
      </c>
      <c r="C1135" s="62">
        <v>2131</v>
      </c>
      <c r="D1135" s="63" t="s">
        <v>1277</v>
      </c>
      <c r="E1135" s="64" t="s">
        <v>24</v>
      </c>
      <c r="F1135" s="64">
        <v>1140</v>
      </c>
      <c r="G1135" s="67">
        <v>1135</v>
      </c>
    </row>
    <row r="1136" spans="1:7" x14ac:dyDescent="0.25">
      <c r="A1136" s="62" t="s">
        <v>2904</v>
      </c>
      <c r="B1136" s="62">
        <v>1144</v>
      </c>
      <c r="C1136" s="62">
        <v>2132</v>
      </c>
      <c r="D1136" s="63" t="s">
        <v>1278</v>
      </c>
      <c r="E1136" s="64" t="s">
        <v>24</v>
      </c>
      <c r="F1136" s="64">
        <v>1141</v>
      </c>
      <c r="G1136" s="67">
        <v>1136</v>
      </c>
    </row>
    <row r="1137" spans="1:7" x14ac:dyDescent="0.25">
      <c r="A1137" s="62" t="s">
        <v>2905</v>
      </c>
      <c r="B1137" s="62">
        <v>1145</v>
      </c>
      <c r="C1137" s="62">
        <v>2133</v>
      </c>
      <c r="D1137" s="63" t="s">
        <v>1279</v>
      </c>
      <c r="E1137" s="64" t="s">
        <v>24</v>
      </c>
      <c r="F1137" s="64">
        <v>1142</v>
      </c>
      <c r="G1137" s="67">
        <v>1137</v>
      </c>
    </row>
    <row r="1138" spans="1:7" x14ac:dyDescent="0.25">
      <c r="A1138" s="62" t="s">
        <v>2906</v>
      </c>
      <c r="B1138" s="62">
        <v>1146</v>
      </c>
      <c r="C1138" s="62">
        <v>2134</v>
      </c>
      <c r="D1138" s="63" t="s">
        <v>1280</v>
      </c>
      <c r="E1138" s="64" t="s">
        <v>24</v>
      </c>
      <c r="F1138" s="64">
        <v>1143</v>
      </c>
      <c r="G1138" s="67">
        <v>1138</v>
      </c>
    </row>
    <row r="1139" spans="1:7" x14ac:dyDescent="0.25">
      <c r="A1139" s="62" t="s">
        <v>2907</v>
      </c>
      <c r="B1139" s="62">
        <v>1147</v>
      </c>
      <c r="C1139" s="62">
        <v>2135</v>
      </c>
      <c r="D1139" s="63" t="s">
        <v>1281</v>
      </c>
      <c r="E1139" s="64" t="s">
        <v>1008</v>
      </c>
      <c r="F1139" s="64">
        <v>1144</v>
      </c>
      <c r="G1139" s="67">
        <v>1139</v>
      </c>
    </row>
    <row r="1140" spans="1:7" x14ac:dyDescent="0.25">
      <c r="A1140" s="62" t="s">
        <v>2908</v>
      </c>
      <c r="B1140" s="62">
        <v>1148</v>
      </c>
      <c r="C1140" s="62">
        <v>2136</v>
      </c>
      <c r="D1140" s="63" t="s">
        <v>1282</v>
      </c>
      <c r="E1140" s="64" t="s">
        <v>24</v>
      </c>
      <c r="F1140" s="64">
        <v>1145</v>
      </c>
      <c r="G1140" s="67">
        <v>1140</v>
      </c>
    </row>
    <row r="1141" spans="1:7" x14ac:dyDescent="0.25">
      <c r="A1141" s="62" t="s">
        <v>2909</v>
      </c>
      <c r="B1141" s="62">
        <v>1149</v>
      </c>
      <c r="C1141" s="62">
        <v>2137</v>
      </c>
      <c r="D1141" s="63" t="s">
        <v>1284</v>
      </c>
      <c r="E1141" s="64" t="s">
        <v>24</v>
      </c>
      <c r="F1141" s="64">
        <v>1146</v>
      </c>
      <c r="G1141" s="67">
        <v>1141</v>
      </c>
    </row>
    <row r="1142" spans="1:7" x14ac:dyDescent="0.25">
      <c r="A1142" s="62" t="s">
        <v>2910</v>
      </c>
      <c r="B1142" s="62">
        <v>1150</v>
      </c>
      <c r="C1142" s="62">
        <v>2138</v>
      </c>
      <c r="D1142" s="63" t="s">
        <v>1286</v>
      </c>
      <c r="E1142" s="64" t="s">
        <v>24</v>
      </c>
      <c r="F1142" s="64">
        <v>1147</v>
      </c>
      <c r="G1142" s="67">
        <v>1142</v>
      </c>
    </row>
    <row r="1143" spans="1:7" x14ac:dyDescent="0.25">
      <c r="A1143" s="62" t="s">
        <v>2911</v>
      </c>
      <c r="B1143" s="62">
        <v>1151</v>
      </c>
      <c r="C1143" s="62">
        <v>2139</v>
      </c>
      <c r="D1143" s="63" t="s">
        <v>1287</v>
      </c>
      <c r="E1143" s="64" t="s">
        <v>24</v>
      </c>
      <c r="F1143" s="64">
        <v>1148</v>
      </c>
      <c r="G1143" s="67">
        <v>1143</v>
      </c>
    </row>
    <row r="1144" spans="1:7" x14ac:dyDescent="0.25">
      <c r="A1144" s="62" t="s">
        <v>2912</v>
      </c>
      <c r="B1144" s="62">
        <v>1152</v>
      </c>
      <c r="C1144" s="62">
        <v>2140</v>
      </c>
      <c r="D1144" s="63" t="s">
        <v>1288</v>
      </c>
      <c r="E1144" s="64" t="s">
        <v>24</v>
      </c>
      <c r="F1144" s="64">
        <v>1149</v>
      </c>
      <c r="G1144" s="67">
        <v>1144</v>
      </c>
    </row>
    <row r="1145" spans="1:7" x14ac:dyDescent="0.25">
      <c r="A1145" s="62" t="s">
        <v>2913</v>
      </c>
      <c r="B1145" s="62">
        <v>1153</v>
      </c>
      <c r="C1145" s="62">
        <v>2141</v>
      </c>
      <c r="D1145" s="63" t="s">
        <v>1289</v>
      </c>
      <c r="E1145" s="64" t="s">
        <v>24</v>
      </c>
      <c r="F1145" s="64">
        <v>1150</v>
      </c>
      <c r="G1145" s="67">
        <v>1145</v>
      </c>
    </row>
    <row r="1146" spans="1:7" x14ac:dyDescent="0.25">
      <c r="A1146" s="62" t="s">
        <v>2914</v>
      </c>
      <c r="B1146" s="62">
        <v>1154</v>
      </c>
      <c r="C1146" s="62">
        <v>2142</v>
      </c>
      <c r="D1146" s="63" t="s">
        <v>1290</v>
      </c>
      <c r="E1146" s="64" t="s">
        <v>24</v>
      </c>
      <c r="F1146" s="64">
        <v>1151</v>
      </c>
      <c r="G1146" s="67">
        <v>1146</v>
      </c>
    </row>
    <row r="1147" spans="1:7" x14ac:dyDescent="0.25">
      <c r="A1147" s="62" t="s">
        <v>2915</v>
      </c>
      <c r="B1147" s="62">
        <v>1155</v>
      </c>
      <c r="C1147" s="62">
        <v>2143</v>
      </c>
      <c r="D1147" s="63" t="s">
        <v>1291</v>
      </c>
      <c r="E1147" s="64" t="s">
        <v>24</v>
      </c>
      <c r="F1147" s="64">
        <v>1152</v>
      </c>
      <c r="G1147" s="67">
        <v>1147</v>
      </c>
    </row>
    <row r="1148" spans="1:7" x14ac:dyDescent="0.25">
      <c r="A1148" s="62" t="s">
        <v>2916</v>
      </c>
      <c r="B1148" s="62">
        <v>1156</v>
      </c>
      <c r="C1148" s="62">
        <v>2144</v>
      </c>
      <c r="D1148" s="63" t="s">
        <v>1292</v>
      </c>
      <c r="E1148" s="64" t="s">
        <v>24</v>
      </c>
      <c r="F1148" s="64">
        <v>1153</v>
      </c>
      <c r="G1148" s="67">
        <v>1148</v>
      </c>
    </row>
    <row r="1149" spans="1:7" x14ac:dyDescent="0.25">
      <c r="A1149" s="62" t="s">
        <v>2917</v>
      </c>
      <c r="B1149" s="62">
        <v>1157</v>
      </c>
      <c r="C1149" s="62">
        <v>2145</v>
      </c>
      <c r="D1149" s="63" t="s">
        <v>1293</v>
      </c>
      <c r="E1149" s="64" t="s">
        <v>24</v>
      </c>
      <c r="F1149" s="64">
        <v>1154</v>
      </c>
      <c r="G1149" s="67">
        <v>1149</v>
      </c>
    </row>
    <row r="1150" spans="1:7" x14ac:dyDescent="0.25">
      <c r="A1150" s="62" t="s">
        <v>2918</v>
      </c>
      <c r="B1150" s="62">
        <v>1158</v>
      </c>
      <c r="C1150" s="62">
        <v>2146</v>
      </c>
      <c r="D1150" s="63" t="s">
        <v>1294</v>
      </c>
      <c r="E1150" s="64" t="s">
        <v>24</v>
      </c>
      <c r="F1150" s="64">
        <v>1155</v>
      </c>
      <c r="G1150" s="67">
        <v>1150</v>
      </c>
    </row>
    <row r="1151" spans="1:7" x14ac:dyDescent="0.25">
      <c r="A1151" s="62" t="s">
        <v>2919</v>
      </c>
      <c r="B1151" s="62">
        <v>1159</v>
      </c>
      <c r="C1151" s="62">
        <v>2147</v>
      </c>
      <c r="D1151" s="63" t="s">
        <v>1295</v>
      </c>
      <c r="E1151" s="64" t="s">
        <v>24</v>
      </c>
      <c r="F1151" s="64">
        <v>1156</v>
      </c>
      <c r="G1151" s="67">
        <v>1151</v>
      </c>
    </row>
    <row r="1152" spans="1:7" x14ac:dyDescent="0.25">
      <c r="A1152" s="62" t="s">
        <v>2920</v>
      </c>
      <c r="B1152" s="62">
        <v>1160</v>
      </c>
      <c r="C1152" s="62">
        <v>2148</v>
      </c>
      <c r="D1152" s="63" t="s">
        <v>1296</v>
      </c>
      <c r="E1152" s="64" t="s">
        <v>24</v>
      </c>
      <c r="F1152" s="64">
        <v>1157</v>
      </c>
      <c r="G1152" s="67">
        <v>1152</v>
      </c>
    </row>
    <row r="1153" spans="1:7" x14ac:dyDescent="0.25">
      <c r="A1153" s="62" t="s">
        <v>2921</v>
      </c>
      <c r="B1153" s="62">
        <v>1161</v>
      </c>
      <c r="C1153" s="62">
        <v>2149</v>
      </c>
      <c r="D1153" s="63" t="s">
        <v>1297</v>
      </c>
      <c r="E1153" s="64" t="s">
        <v>24</v>
      </c>
      <c r="F1153" s="64">
        <v>1158</v>
      </c>
      <c r="G1153" s="67">
        <v>1153</v>
      </c>
    </row>
    <row r="1154" spans="1:7" x14ac:dyDescent="0.25">
      <c r="A1154" s="62" t="s">
        <v>2922</v>
      </c>
      <c r="B1154" s="62">
        <v>1162</v>
      </c>
      <c r="C1154" s="62">
        <v>2150</v>
      </c>
      <c r="D1154" s="63" t="s">
        <v>1298</v>
      </c>
      <c r="E1154" s="64" t="s">
        <v>24</v>
      </c>
      <c r="F1154" s="64">
        <v>1159</v>
      </c>
      <c r="G1154" s="67">
        <v>1154</v>
      </c>
    </row>
    <row r="1155" spans="1:7" x14ac:dyDescent="0.25">
      <c r="A1155" s="62" t="s">
        <v>2923</v>
      </c>
      <c r="B1155" s="62">
        <v>1163</v>
      </c>
      <c r="C1155" s="62">
        <v>2151</v>
      </c>
      <c r="D1155" s="63" t="s">
        <v>1299</v>
      </c>
      <c r="E1155" s="64" t="s">
        <v>24</v>
      </c>
      <c r="F1155" s="64">
        <v>1160</v>
      </c>
      <c r="G1155" s="67">
        <v>1155</v>
      </c>
    </row>
    <row r="1156" spans="1:7" x14ac:dyDescent="0.25">
      <c r="A1156" s="62" t="s">
        <v>2924</v>
      </c>
      <c r="B1156" s="62">
        <v>1164</v>
      </c>
      <c r="C1156" s="62">
        <v>2152</v>
      </c>
      <c r="D1156" s="63" t="s">
        <v>1300</v>
      </c>
      <c r="E1156" s="64" t="s">
        <v>24</v>
      </c>
      <c r="F1156" s="64">
        <v>1161</v>
      </c>
      <c r="G1156" s="67">
        <v>1156</v>
      </c>
    </row>
    <row r="1157" spans="1:7" x14ac:dyDescent="0.25">
      <c r="A1157" s="62" t="s">
        <v>2925</v>
      </c>
      <c r="B1157" s="62">
        <v>1165</v>
      </c>
      <c r="C1157" s="62">
        <v>2153</v>
      </c>
      <c r="D1157" s="63" t="s">
        <v>1302</v>
      </c>
      <c r="E1157" s="64" t="s">
        <v>24</v>
      </c>
      <c r="F1157" s="64">
        <v>1162</v>
      </c>
      <c r="G1157" s="67">
        <v>1157</v>
      </c>
    </row>
    <row r="1158" spans="1:7" x14ac:dyDescent="0.25">
      <c r="A1158" s="62" t="s">
        <v>2926</v>
      </c>
      <c r="B1158" s="62">
        <v>1166</v>
      </c>
      <c r="C1158" s="62">
        <v>2154</v>
      </c>
      <c r="D1158" s="63" t="s">
        <v>1303</v>
      </c>
      <c r="E1158" s="64" t="s">
        <v>24</v>
      </c>
      <c r="F1158" s="64">
        <v>1163</v>
      </c>
      <c r="G1158" s="67">
        <v>1158</v>
      </c>
    </row>
    <row r="1159" spans="1:7" x14ac:dyDescent="0.25">
      <c r="A1159" s="62" t="s">
        <v>2927</v>
      </c>
      <c r="B1159" s="62">
        <v>1167</v>
      </c>
      <c r="C1159" s="62">
        <v>2155</v>
      </c>
      <c r="D1159" s="63" t="s">
        <v>1304</v>
      </c>
      <c r="E1159" s="64" t="s">
        <v>55</v>
      </c>
      <c r="F1159" s="64">
        <v>1164</v>
      </c>
      <c r="G1159" s="67">
        <v>1159</v>
      </c>
    </row>
    <row r="1160" spans="1:7" x14ac:dyDescent="0.25">
      <c r="A1160" s="62" t="s">
        <v>2928</v>
      </c>
      <c r="B1160" s="62">
        <v>1168</v>
      </c>
      <c r="C1160" s="62">
        <v>2156</v>
      </c>
      <c r="D1160" s="63" t="s">
        <v>1305</v>
      </c>
      <c r="E1160" s="64" t="s">
        <v>24</v>
      </c>
      <c r="F1160" s="64">
        <v>1165</v>
      </c>
      <c r="G1160" s="67">
        <v>1160</v>
      </c>
    </row>
    <row r="1161" spans="1:7" x14ac:dyDescent="0.25">
      <c r="A1161" s="62" t="s">
        <v>2929</v>
      </c>
      <c r="B1161" s="62">
        <v>1169</v>
      </c>
      <c r="C1161" s="62">
        <v>2157</v>
      </c>
      <c r="D1161" s="63" t="s">
        <v>1306</v>
      </c>
      <c r="E1161" s="64" t="s">
        <v>24</v>
      </c>
      <c r="F1161" s="64">
        <v>1166</v>
      </c>
      <c r="G1161" s="67">
        <v>1161</v>
      </c>
    </row>
    <row r="1162" spans="1:7" x14ac:dyDescent="0.25">
      <c r="A1162" s="62" t="s">
        <v>2930</v>
      </c>
      <c r="B1162" s="62">
        <v>1170</v>
      </c>
      <c r="C1162" s="62">
        <v>2158</v>
      </c>
      <c r="D1162" s="63" t="s">
        <v>1307</v>
      </c>
      <c r="E1162" s="64" t="s">
        <v>176</v>
      </c>
      <c r="F1162" s="64">
        <v>1167</v>
      </c>
      <c r="G1162" s="67">
        <v>1162</v>
      </c>
    </row>
    <row r="1163" spans="1:7" x14ac:dyDescent="0.25">
      <c r="A1163" s="62" t="s">
        <v>2931</v>
      </c>
      <c r="B1163" s="62">
        <v>1171</v>
      </c>
      <c r="C1163" s="62">
        <v>2159</v>
      </c>
      <c r="D1163" s="63" t="s">
        <v>1308</v>
      </c>
      <c r="E1163" s="64" t="s">
        <v>24</v>
      </c>
      <c r="F1163" s="64">
        <v>1168</v>
      </c>
      <c r="G1163" s="67">
        <v>1163</v>
      </c>
    </row>
    <row r="1164" spans="1:7" x14ac:dyDescent="0.25">
      <c r="A1164" s="62" t="s">
        <v>2932</v>
      </c>
      <c r="B1164" s="62">
        <v>1172</v>
      </c>
      <c r="C1164" s="62">
        <v>2160</v>
      </c>
      <c r="D1164" s="63" t="s">
        <v>1309</v>
      </c>
      <c r="E1164" s="64" t="s">
        <v>24</v>
      </c>
      <c r="F1164" s="64">
        <v>1169</v>
      </c>
      <c r="G1164" s="67">
        <v>1164</v>
      </c>
    </row>
    <row r="1165" spans="1:7" x14ac:dyDescent="0.25">
      <c r="A1165" s="62" t="s">
        <v>2933</v>
      </c>
      <c r="B1165" s="62">
        <v>1173</v>
      </c>
      <c r="C1165" s="62">
        <v>2161</v>
      </c>
      <c r="D1165" s="63" t="s">
        <v>1310</v>
      </c>
      <c r="E1165" s="64" t="s">
        <v>24</v>
      </c>
      <c r="F1165" s="64">
        <v>1170</v>
      </c>
      <c r="G1165" s="67">
        <v>1165</v>
      </c>
    </row>
    <row r="1166" spans="1:7" x14ac:dyDescent="0.25">
      <c r="A1166" s="62" t="s">
        <v>2934</v>
      </c>
      <c r="B1166" s="62">
        <v>1174</v>
      </c>
      <c r="C1166" s="62">
        <v>2162</v>
      </c>
      <c r="D1166" s="63" t="s">
        <v>1311</v>
      </c>
      <c r="E1166" s="64" t="s">
        <v>176</v>
      </c>
      <c r="F1166" s="64">
        <v>1171</v>
      </c>
      <c r="G1166" s="67">
        <v>1166</v>
      </c>
    </row>
    <row r="1167" spans="1:7" x14ac:dyDescent="0.25">
      <c r="A1167" s="62" t="s">
        <v>2935</v>
      </c>
      <c r="B1167" s="62">
        <v>1175</v>
      </c>
      <c r="C1167" s="62">
        <v>2163</v>
      </c>
      <c r="D1167" s="63" t="s">
        <v>1312</v>
      </c>
      <c r="E1167" s="64" t="s">
        <v>24</v>
      </c>
      <c r="F1167" s="64">
        <v>1172</v>
      </c>
      <c r="G1167" s="67">
        <v>1167</v>
      </c>
    </row>
    <row r="1168" spans="1:7" x14ac:dyDescent="0.25">
      <c r="A1168" s="62" t="s">
        <v>2936</v>
      </c>
      <c r="B1168" s="62">
        <v>1176</v>
      </c>
      <c r="C1168" s="62">
        <v>2164</v>
      </c>
      <c r="D1168" s="63" t="s">
        <v>1313</v>
      </c>
      <c r="E1168" s="64" t="s">
        <v>24</v>
      </c>
      <c r="F1168" s="64">
        <v>1173</v>
      </c>
      <c r="G1168" s="67">
        <v>1168</v>
      </c>
    </row>
    <row r="1169" spans="1:7" x14ac:dyDescent="0.25">
      <c r="A1169" s="62" t="s">
        <v>2937</v>
      </c>
      <c r="B1169" s="62">
        <v>1177</v>
      </c>
      <c r="C1169" s="62">
        <v>2165</v>
      </c>
      <c r="D1169" s="63" t="s">
        <v>1314</v>
      </c>
      <c r="E1169" s="64" t="s">
        <v>24</v>
      </c>
      <c r="F1169" s="64">
        <v>1174</v>
      </c>
      <c r="G1169" s="67">
        <v>1169</v>
      </c>
    </row>
    <row r="1170" spans="1:7" x14ac:dyDescent="0.25">
      <c r="A1170" s="62" t="s">
        <v>2938</v>
      </c>
      <c r="B1170" s="62">
        <v>1178</v>
      </c>
      <c r="C1170" s="62">
        <v>2166</v>
      </c>
      <c r="D1170" s="63" t="s">
        <v>1315</v>
      </c>
      <c r="E1170" s="64" t="s">
        <v>24</v>
      </c>
      <c r="F1170" s="64">
        <v>1175</v>
      </c>
      <c r="G1170" s="67">
        <v>1170</v>
      </c>
    </row>
    <row r="1171" spans="1:7" x14ac:dyDescent="0.25">
      <c r="A1171" s="62" t="s">
        <v>2939</v>
      </c>
      <c r="B1171" s="62">
        <v>1179</v>
      </c>
      <c r="C1171" s="62">
        <v>2167</v>
      </c>
      <c r="D1171" s="63" t="s">
        <v>1317</v>
      </c>
      <c r="E1171" s="64" t="s">
        <v>93</v>
      </c>
      <c r="F1171" s="64">
        <v>1176</v>
      </c>
      <c r="G1171" s="67">
        <v>1171</v>
      </c>
    </row>
    <row r="1172" spans="1:7" x14ac:dyDescent="0.25">
      <c r="A1172" s="62" t="s">
        <v>2940</v>
      </c>
      <c r="B1172" s="62">
        <v>1180</v>
      </c>
      <c r="C1172" s="62">
        <v>2168</v>
      </c>
      <c r="D1172" s="63" t="s">
        <v>1318</v>
      </c>
      <c r="E1172" s="64" t="s">
        <v>24</v>
      </c>
      <c r="F1172" s="64">
        <v>1177</v>
      </c>
      <c r="G1172" s="67">
        <v>1172</v>
      </c>
    </row>
    <row r="1173" spans="1:7" x14ac:dyDescent="0.25">
      <c r="A1173" s="62" t="s">
        <v>2941</v>
      </c>
      <c r="B1173" s="62">
        <v>1181</v>
      </c>
      <c r="C1173" s="62">
        <v>2169</v>
      </c>
      <c r="D1173" s="63" t="s">
        <v>1319</v>
      </c>
      <c r="E1173" s="64" t="s">
        <v>24</v>
      </c>
      <c r="F1173" s="64">
        <v>1178</v>
      </c>
      <c r="G1173" s="67">
        <v>1173</v>
      </c>
    </row>
    <row r="1174" spans="1:7" x14ac:dyDescent="0.25">
      <c r="A1174" s="62" t="s">
        <v>2942</v>
      </c>
      <c r="B1174" s="62">
        <v>1182</v>
      </c>
      <c r="C1174" s="62">
        <v>2170</v>
      </c>
      <c r="D1174" s="63" t="s">
        <v>1320</v>
      </c>
      <c r="E1174" s="64" t="s">
        <v>24</v>
      </c>
      <c r="F1174" s="64">
        <v>1179</v>
      </c>
      <c r="G1174" s="67">
        <v>1174</v>
      </c>
    </row>
    <row r="1175" spans="1:7" x14ac:dyDescent="0.25">
      <c r="A1175" s="62" t="s">
        <v>2943</v>
      </c>
      <c r="B1175" s="62">
        <v>1183</v>
      </c>
      <c r="C1175" s="62">
        <v>2171</v>
      </c>
      <c r="D1175" s="63" t="s">
        <v>1321</v>
      </c>
      <c r="E1175" s="64" t="s">
        <v>24</v>
      </c>
      <c r="F1175" s="64">
        <v>1180</v>
      </c>
      <c r="G1175" s="67">
        <v>1175</v>
      </c>
    </row>
    <row r="1176" spans="1:7" x14ac:dyDescent="0.25">
      <c r="A1176" s="62" t="s">
        <v>2944</v>
      </c>
      <c r="B1176" s="62">
        <v>1184</v>
      </c>
      <c r="C1176" s="62">
        <v>2172</v>
      </c>
      <c r="D1176" s="63" t="s">
        <v>1322</v>
      </c>
      <c r="E1176" s="64" t="s">
        <v>24</v>
      </c>
      <c r="F1176" s="64">
        <v>1181</v>
      </c>
      <c r="G1176" s="67">
        <v>1176</v>
      </c>
    </row>
    <row r="1177" spans="1:7" x14ac:dyDescent="0.25">
      <c r="A1177" s="62" t="s">
        <v>2945</v>
      </c>
      <c r="B1177" s="62">
        <v>1185</v>
      </c>
      <c r="C1177" s="62">
        <v>2173</v>
      </c>
      <c r="D1177" s="63" t="s">
        <v>1323</v>
      </c>
      <c r="E1177" s="64" t="s">
        <v>24</v>
      </c>
      <c r="F1177" s="64">
        <v>1182</v>
      </c>
      <c r="G1177" s="67">
        <v>1177</v>
      </c>
    </row>
    <row r="1178" spans="1:7" x14ac:dyDescent="0.25">
      <c r="A1178" s="62" t="s">
        <v>2946</v>
      </c>
      <c r="B1178" s="62">
        <v>1186</v>
      </c>
      <c r="C1178" s="62">
        <v>2174</v>
      </c>
      <c r="D1178" s="63" t="s">
        <v>1324</v>
      </c>
      <c r="E1178" s="64" t="s">
        <v>24</v>
      </c>
      <c r="F1178" s="64">
        <v>1183</v>
      </c>
      <c r="G1178" s="67">
        <v>1178</v>
      </c>
    </row>
    <row r="1179" spans="1:7" x14ac:dyDescent="0.25">
      <c r="A1179" s="62" t="s">
        <v>2947</v>
      </c>
      <c r="B1179" s="62">
        <v>1187</v>
      </c>
      <c r="C1179" s="62">
        <v>2175</v>
      </c>
      <c r="D1179" s="63" t="s">
        <v>1325</v>
      </c>
      <c r="E1179" s="64" t="s">
        <v>24</v>
      </c>
      <c r="F1179" s="64">
        <v>1184</v>
      </c>
      <c r="G1179" s="67">
        <v>1179</v>
      </c>
    </row>
    <row r="1180" spans="1:7" x14ac:dyDescent="0.25">
      <c r="A1180" s="62" t="s">
        <v>2948</v>
      </c>
      <c r="B1180" s="62">
        <v>1188</v>
      </c>
      <c r="C1180" s="62">
        <v>2176</v>
      </c>
      <c r="D1180" s="63" t="s">
        <v>1327</v>
      </c>
      <c r="E1180" s="64" t="s">
        <v>93</v>
      </c>
      <c r="F1180" s="64">
        <v>1185</v>
      </c>
      <c r="G1180" s="67">
        <v>1180</v>
      </c>
    </row>
    <row r="1181" spans="1:7" x14ac:dyDescent="0.25">
      <c r="A1181" s="62" t="s">
        <v>2949</v>
      </c>
      <c r="B1181" s="62">
        <v>1189</v>
      </c>
      <c r="C1181" s="62">
        <v>2177</v>
      </c>
      <c r="D1181" s="63" t="s">
        <v>1328</v>
      </c>
      <c r="E1181" s="64" t="s">
        <v>24</v>
      </c>
      <c r="F1181" s="64">
        <v>1186</v>
      </c>
      <c r="G1181" s="67">
        <v>1181</v>
      </c>
    </row>
    <row r="1182" spans="1:7" x14ac:dyDescent="0.25">
      <c r="A1182" s="62" t="s">
        <v>2950</v>
      </c>
      <c r="B1182" s="62">
        <v>1190</v>
      </c>
      <c r="C1182" s="62">
        <v>2178</v>
      </c>
      <c r="D1182" s="63" t="s">
        <v>1329</v>
      </c>
      <c r="E1182" s="64" t="s">
        <v>24</v>
      </c>
      <c r="F1182" s="64">
        <v>1187</v>
      </c>
      <c r="G1182" s="67">
        <v>1182</v>
      </c>
    </row>
    <row r="1183" spans="1:7" x14ac:dyDescent="0.25">
      <c r="A1183" s="62" t="s">
        <v>2951</v>
      </c>
      <c r="B1183" s="62">
        <v>1191</v>
      </c>
      <c r="C1183" s="62">
        <v>2179</v>
      </c>
      <c r="D1183" s="63" t="s">
        <v>1330</v>
      </c>
      <c r="E1183" s="64" t="s">
        <v>24</v>
      </c>
      <c r="F1183" s="64">
        <v>1188</v>
      </c>
      <c r="G1183" s="67">
        <v>1183</v>
      </c>
    </row>
    <row r="1184" spans="1:7" x14ac:dyDescent="0.25">
      <c r="A1184" s="62" t="s">
        <v>2952</v>
      </c>
      <c r="B1184" s="62">
        <v>1192</v>
      </c>
      <c r="C1184" s="62">
        <v>2180</v>
      </c>
      <c r="D1184" s="63" t="s">
        <v>1331</v>
      </c>
      <c r="E1184" s="64" t="s">
        <v>24</v>
      </c>
      <c r="F1184" s="64">
        <v>1189</v>
      </c>
      <c r="G1184" s="67">
        <v>1184</v>
      </c>
    </row>
    <row r="1185" spans="1:7" x14ac:dyDescent="0.25">
      <c r="A1185" s="62" t="s">
        <v>2953</v>
      </c>
      <c r="B1185" s="62">
        <v>1193</v>
      </c>
      <c r="C1185" s="62">
        <v>2181</v>
      </c>
      <c r="D1185" s="63" t="s">
        <v>1332</v>
      </c>
      <c r="E1185" s="64" t="s">
        <v>24</v>
      </c>
      <c r="F1185" s="64">
        <v>1190</v>
      </c>
      <c r="G1185" s="67">
        <v>1185</v>
      </c>
    </row>
    <row r="1186" spans="1:7" x14ac:dyDescent="0.25">
      <c r="A1186" s="62" t="s">
        <v>2954</v>
      </c>
      <c r="B1186" s="62">
        <v>1194</v>
      </c>
      <c r="C1186" s="62">
        <v>2182</v>
      </c>
      <c r="D1186" s="63" t="s">
        <v>1334</v>
      </c>
      <c r="E1186" s="64" t="s">
        <v>24</v>
      </c>
      <c r="F1186" s="64">
        <v>1191</v>
      </c>
      <c r="G1186" s="67">
        <v>1186</v>
      </c>
    </row>
    <row r="1187" spans="1:7" x14ac:dyDescent="0.25">
      <c r="A1187" s="62" t="s">
        <v>2955</v>
      </c>
      <c r="B1187" s="62">
        <v>1195</v>
      </c>
      <c r="C1187" s="62">
        <v>2183</v>
      </c>
      <c r="D1187" s="63" t="s">
        <v>1336</v>
      </c>
      <c r="E1187" s="64" t="s">
        <v>24</v>
      </c>
      <c r="F1187" s="64">
        <v>1192</v>
      </c>
      <c r="G1187" s="67">
        <v>1187</v>
      </c>
    </row>
    <row r="1188" spans="1:7" x14ac:dyDescent="0.25">
      <c r="A1188" s="62" t="s">
        <v>2956</v>
      </c>
      <c r="B1188" s="62">
        <v>1196</v>
      </c>
      <c r="C1188" s="62">
        <v>2184</v>
      </c>
      <c r="D1188" s="63" t="s">
        <v>1338</v>
      </c>
      <c r="E1188" s="64" t="s">
        <v>24</v>
      </c>
      <c r="F1188" s="64">
        <v>1193</v>
      </c>
      <c r="G1188" s="67">
        <v>1188</v>
      </c>
    </row>
    <row r="1189" spans="1:7" x14ac:dyDescent="0.25">
      <c r="A1189" s="62" t="s">
        <v>2957</v>
      </c>
      <c r="B1189" s="62">
        <v>1197</v>
      </c>
      <c r="C1189" s="62">
        <v>2185</v>
      </c>
      <c r="D1189" s="63" t="s">
        <v>1340</v>
      </c>
      <c r="E1189" s="64" t="s">
        <v>24</v>
      </c>
      <c r="F1189" s="64">
        <v>1194</v>
      </c>
      <c r="G1189" s="67">
        <v>1189</v>
      </c>
    </row>
    <row r="1190" spans="1:7" x14ac:dyDescent="0.25">
      <c r="A1190" s="62" t="s">
        <v>2958</v>
      </c>
      <c r="B1190" s="62">
        <v>1198</v>
      </c>
      <c r="C1190" s="62">
        <v>2186</v>
      </c>
      <c r="D1190" s="63" t="s">
        <v>1342</v>
      </c>
      <c r="E1190" s="64" t="s">
        <v>24</v>
      </c>
      <c r="F1190" s="64">
        <v>1195</v>
      </c>
      <c r="G1190" s="67">
        <v>1190</v>
      </c>
    </row>
    <row r="1191" spans="1:7" x14ac:dyDescent="0.25">
      <c r="A1191" s="62" t="s">
        <v>2959</v>
      </c>
      <c r="B1191" s="62">
        <v>1199</v>
      </c>
      <c r="C1191" s="62">
        <v>2187</v>
      </c>
      <c r="D1191" s="63" t="s">
        <v>1343</v>
      </c>
      <c r="E1191" s="64" t="s">
        <v>24</v>
      </c>
      <c r="F1191" s="64">
        <v>1196</v>
      </c>
      <c r="G1191" s="67">
        <v>1191</v>
      </c>
    </row>
    <row r="1192" spans="1:7" x14ac:dyDescent="0.25">
      <c r="A1192" s="62" t="s">
        <v>2960</v>
      </c>
      <c r="B1192" s="62">
        <v>1200</v>
      </c>
      <c r="C1192" s="62">
        <v>2188</v>
      </c>
      <c r="D1192" s="63" t="s">
        <v>1344</v>
      </c>
      <c r="E1192" s="64" t="s">
        <v>24</v>
      </c>
      <c r="F1192" s="64">
        <v>1197</v>
      </c>
      <c r="G1192" s="67">
        <v>1192</v>
      </c>
    </row>
    <row r="1193" spans="1:7" x14ac:dyDescent="0.25">
      <c r="A1193" s="62" t="s">
        <v>2961</v>
      </c>
      <c r="B1193" s="62">
        <v>1201</v>
      </c>
      <c r="C1193" s="62">
        <v>2189</v>
      </c>
      <c r="D1193" s="63" t="s">
        <v>1346</v>
      </c>
      <c r="E1193" s="64" t="s">
        <v>24</v>
      </c>
      <c r="F1193" s="64">
        <v>1198</v>
      </c>
      <c r="G1193" s="67">
        <v>1193</v>
      </c>
    </row>
    <row r="1194" spans="1:7" x14ac:dyDescent="0.25">
      <c r="A1194" s="62" t="s">
        <v>2962</v>
      </c>
      <c r="B1194" s="62">
        <v>1202</v>
      </c>
      <c r="C1194" s="62">
        <v>2190</v>
      </c>
      <c r="D1194" s="63" t="s">
        <v>1348</v>
      </c>
      <c r="E1194" s="64" t="s">
        <v>24</v>
      </c>
      <c r="F1194" s="64">
        <v>1199</v>
      </c>
      <c r="G1194" s="67">
        <v>1194</v>
      </c>
    </row>
    <row r="1195" spans="1:7" x14ac:dyDescent="0.25">
      <c r="A1195" s="62" t="s">
        <v>2963</v>
      </c>
      <c r="B1195" s="62">
        <v>1203</v>
      </c>
      <c r="C1195" s="62">
        <v>2191</v>
      </c>
      <c r="D1195" s="63" t="s">
        <v>1349</v>
      </c>
      <c r="E1195" s="64" t="s">
        <v>24</v>
      </c>
      <c r="F1195" s="64">
        <v>1200</v>
      </c>
      <c r="G1195" s="67">
        <v>1195</v>
      </c>
    </row>
    <row r="1196" spans="1:7" x14ac:dyDescent="0.25">
      <c r="A1196" s="62" t="s">
        <v>2964</v>
      </c>
      <c r="B1196" s="62">
        <v>1204</v>
      </c>
      <c r="C1196" s="62">
        <v>2192</v>
      </c>
      <c r="D1196" s="63" t="s">
        <v>1350</v>
      </c>
      <c r="E1196" s="64" t="s">
        <v>24</v>
      </c>
      <c r="F1196" s="64">
        <v>1201</v>
      </c>
      <c r="G1196" s="67">
        <v>1196</v>
      </c>
    </row>
    <row r="1197" spans="1:7" x14ac:dyDescent="0.25">
      <c r="A1197" s="62" t="s">
        <v>2965</v>
      </c>
      <c r="B1197" s="62">
        <v>1205</v>
      </c>
      <c r="C1197" s="62">
        <v>2193</v>
      </c>
      <c r="D1197" s="63" t="s">
        <v>1351</v>
      </c>
      <c r="E1197" s="64" t="s">
        <v>176</v>
      </c>
      <c r="F1197" s="64">
        <v>1202</v>
      </c>
      <c r="G1197" s="67">
        <v>1197</v>
      </c>
    </row>
    <row r="1198" spans="1:7" x14ac:dyDescent="0.25">
      <c r="A1198" s="62" t="s">
        <v>2966</v>
      </c>
      <c r="B1198" s="62">
        <v>1206</v>
      </c>
      <c r="C1198" s="62">
        <v>2194</v>
      </c>
      <c r="D1198" s="63" t="s">
        <v>1352</v>
      </c>
      <c r="E1198" s="64" t="s">
        <v>24</v>
      </c>
      <c r="F1198" s="64">
        <v>1203</v>
      </c>
      <c r="G1198" s="67">
        <v>1198</v>
      </c>
    </row>
    <row r="1199" spans="1:7" x14ac:dyDescent="0.25">
      <c r="A1199" s="62" t="s">
        <v>2967</v>
      </c>
      <c r="B1199" s="62">
        <v>1207</v>
      </c>
      <c r="C1199" s="62">
        <v>2195</v>
      </c>
      <c r="D1199" s="63" t="s">
        <v>1354</v>
      </c>
      <c r="E1199" s="64" t="s">
        <v>24</v>
      </c>
      <c r="F1199" s="64">
        <v>1204</v>
      </c>
      <c r="G1199" s="67">
        <v>1199</v>
      </c>
    </row>
    <row r="1200" spans="1:7" x14ac:dyDescent="0.25">
      <c r="A1200" s="62" t="s">
        <v>2968</v>
      </c>
      <c r="B1200" s="62">
        <v>1208</v>
      </c>
      <c r="C1200" s="62">
        <v>2196</v>
      </c>
      <c r="D1200" s="63" t="s">
        <v>1356</v>
      </c>
      <c r="E1200" s="64" t="s">
        <v>24</v>
      </c>
      <c r="F1200" s="64">
        <v>1205</v>
      </c>
      <c r="G1200" s="67">
        <v>1200</v>
      </c>
    </row>
    <row r="1201" spans="1:7" x14ac:dyDescent="0.25">
      <c r="A1201" s="62" t="s">
        <v>2969</v>
      </c>
      <c r="B1201" s="62">
        <v>1209</v>
      </c>
      <c r="C1201" s="62">
        <v>2197</v>
      </c>
      <c r="D1201" s="63" t="s">
        <v>1357</v>
      </c>
      <c r="E1201" s="64" t="s">
        <v>994</v>
      </c>
      <c r="F1201" s="64">
        <v>1206</v>
      </c>
      <c r="G1201" s="67">
        <v>1201</v>
      </c>
    </row>
    <row r="1202" spans="1:7" x14ac:dyDescent="0.25">
      <c r="A1202" s="62" t="s">
        <v>2970</v>
      </c>
      <c r="B1202" s="62">
        <v>1210</v>
      </c>
      <c r="C1202" s="62">
        <v>2198</v>
      </c>
      <c r="D1202" s="63" t="s">
        <v>1359</v>
      </c>
      <c r="E1202" s="64" t="s">
        <v>24</v>
      </c>
      <c r="F1202" s="64">
        <v>1207</v>
      </c>
      <c r="G1202" s="67">
        <v>1202</v>
      </c>
    </row>
    <row r="1203" spans="1:7" x14ac:dyDescent="0.25">
      <c r="A1203" s="62" t="s">
        <v>2971</v>
      </c>
      <c r="B1203" s="62">
        <v>1211</v>
      </c>
      <c r="C1203" s="62">
        <v>2199</v>
      </c>
      <c r="D1203" s="63" t="s">
        <v>1360</v>
      </c>
      <c r="E1203" s="64" t="s">
        <v>24</v>
      </c>
      <c r="F1203" s="64">
        <v>1208</v>
      </c>
      <c r="G1203" s="67">
        <v>1203</v>
      </c>
    </row>
    <row r="1204" spans="1:7" x14ac:dyDescent="0.25">
      <c r="A1204" s="62" t="s">
        <v>2972</v>
      </c>
      <c r="B1204" s="62">
        <v>1212</v>
      </c>
      <c r="C1204" s="62">
        <v>2200</v>
      </c>
      <c r="D1204" s="63" t="s">
        <v>1361</v>
      </c>
      <c r="E1204" s="64" t="s">
        <v>24</v>
      </c>
      <c r="F1204" s="64">
        <v>1209</v>
      </c>
      <c r="G1204" s="67">
        <v>1204</v>
      </c>
    </row>
    <row r="1205" spans="1:7" x14ac:dyDescent="0.25">
      <c r="A1205" s="62" t="s">
        <v>2973</v>
      </c>
      <c r="B1205" s="62">
        <v>1213</v>
      </c>
      <c r="C1205" s="62">
        <v>2201</v>
      </c>
      <c r="D1205" s="63" t="s">
        <v>1363</v>
      </c>
      <c r="E1205" s="64" t="s">
        <v>24</v>
      </c>
      <c r="F1205" s="64">
        <v>1210</v>
      </c>
      <c r="G1205" s="67">
        <v>1205</v>
      </c>
    </row>
    <row r="1206" spans="1:7" x14ac:dyDescent="0.25">
      <c r="A1206" s="62" t="s">
        <v>2974</v>
      </c>
      <c r="B1206" s="62">
        <v>1214</v>
      </c>
      <c r="C1206" s="62">
        <v>2202</v>
      </c>
      <c r="D1206" s="63" t="s">
        <v>1364</v>
      </c>
      <c r="E1206" s="64" t="s">
        <v>24</v>
      </c>
      <c r="F1206" s="64">
        <v>1211</v>
      </c>
      <c r="G1206" s="67">
        <v>1206</v>
      </c>
    </row>
    <row r="1207" spans="1:7" x14ac:dyDescent="0.25">
      <c r="A1207" s="62" t="s">
        <v>2975</v>
      </c>
      <c r="B1207" s="62">
        <v>1215</v>
      </c>
      <c r="C1207" s="62">
        <v>2203</v>
      </c>
      <c r="D1207" s="63" t="s">
        <v>1366</v>
      </c>
      <c r="E1207" s="64" t="s">
        <v>24</v>
      </c>
      <c r="F1207" s="64">
        <v>1212</v>
      </c>
      <c r="G1207" s="67">
        <v>1207</v>
      </c>
    </row>
    <row r="1208" spans="1:7" x14ac:dyDescent="0.25">
      <c r="A1208" s="62" t="s">
        <v>2976</v>
      </c>
      <c r="B1208" s="62">
        <v>1216</v>
      </c>
      <c r="C1208" s="62">
        <v>2204</v>
      </c>
      <c r="D1208" s="63" t="s">
        <v>1367</v>
      </c>
      <c r="E1208" s="64" t="s">
        <v>994</v>
      </c>
      <c r="F1208" s="64">
        <v>1213</v>
      </c>
      <c r="G1208" s="67">
        <v>1208</v>
      </c>
    </row>
    <row r="1209" spans="1:7" x14ac:dyDescent="0.25">
      <c r="A1209" s="62" t="s">
        <v>2977</v>
      </c>
      <c r="B1209" s="62">
        <v>1217</v>
      </c>
      <c r="C1209" s="62">
        <v>2205</v>
      </c>
      <c r="D1209" s="63" t="s">
        <v>1368</v>
      </c>
      <c r="E1209" s="64" t="s">
        <v>994</v>
      </c>
      <c r="F1209" s="64">
        <v>1214</v>
      </c>
      <c r="G1209" s="67">
        <v>1209</v>
      </c>
    </row>
    <row r="1210" spans="1:7" x14ac:dyDescent="0.25">
      <c r="A1210" s="62" t="s">
        <v>2978</v>
      </c>
      <c r="B1210" s="62">
        <v>1218</v>
      </c>
      <c r="C1210" s="62">
        <v>2206</v>
      </c>
      <c r="D1210" s="63" t="s">
        <v>1370</v>
      </c>
      <c r="E1210" s="64" t="s">
        <v>24</v>
      </c>
      <c r="F1210" s="64">
        <v>1215</v>
      </c>
      <c r="G1210" s="67">
        <v>1210</v>
      </c>
    </row>
    <row r="1211" spans="1:7" x14ac:dyDescent="0.25">
      <c r="A1211" s="62" t="s">
        <v>2979</v>
      </c>
      <c r="B1211" s="62">
        <v>1219</v>
      </c>
      <c r="C1211" s="62">
        <v>2207</v>
      </c>
      <c r="D1211" s="63" t="s">
        <v>1372</v>
      </c>
      <c r="E1211" s="64" t="s">
        <v>24</v>
      </c>
      <c r="F1211" s="64">
        <v>1216</v>
      </c>
      <c r="G1211" s="67">
        <v>1211</v>
      </c>
    </row>
    <row r="1212" spans="1:7" x14ac:dyDescent="0.25">
      <c r="A1212" s="62" t="s">
        <v>2980</v>
      </c>
      <c r="B1212" s="62">
        <v>1220</v>
      </c>
      <c r="C1212" s="62">
        <v>2208</v>
      </c>
      <c r="D1212" s="63" t="s">
        <v>1373</v>
      </c>
      <c r="E1212" s="64" t="s">
        <v>24</v>
      </c>
      <c r="F1212" s="64">
        <v>1217</v>
      </c>
      <c r="G1212" s="67">
        <v>1212</v>
      </c>
    </row>
    <row r="1213" spans="1:7" x14ac:dyDescent="0.25">
      <c r="A1213" s="62" t="s">
        <v>2981</v>
      </c>
      <c r="B1213" s="62">
        <v>1221</v>
      </c>
      <c r="C1213" s="62">
        <v>2209</v>
      </c>
      <c r="D1213" s="63" t="s">
        <v>1374</v>
      </c>
      <c r="E1213" s="64" t="s">
        <v>24</v>
      </c>
      <c r="F1213" s="64">
        <v>1218</v>
      </c>
      <c r="G1213" s="67">
        <v>1213</v>
      </c>
    </row>
    <row r="1214" spans="1:7" x14ac:dyDescent="0.25">
      <c r="A1214" s="62" t="s">
        <v>2982</v>
      </c>
      <c r="B1214" s="62">
        <v>1223</v>
      </c>
      <c r="C1214" s="62">
        <v>2210</v>
      </c>
      <c r="D1214" s="63" t="s">
        <v>1375</v>
      </c>
      <c r="E1214" s="64" t="s">
        <v>24</v>
      </c>
      <c r="F1214" s="64">
        <v>1219</v>
      </c>
      <c r="G1214" s="67">
        <v>1214</v>
      </c>
    </row>
    <row r="1215" spans="1:7" x14ac:dyDescent="0.25">
      <c r="A1215" s="62" t="s">
        <v>2983</v>
      </c>
      <c r="B1215" s="62">
        <v>1224</v>
      </c>
      <c r="C1215" s="62">
        <v>2211</v>
      </c>
      <c r="D1215" s="63" t="s">
        <v>1376</v>
      </c>
      <c r="E1215" s="64" t="s">
        <v>24</v>
      </c>
      <c r="F1215" s="64">
        <v>1220</v>
      </c>
      <c r="G1215" s="67">
        <v>1215</v>
      </c>
    </row>
    <row r="1216" spans="1:7" x14ac:dyDescent="0.25">
      <c r="A1216" s="62" t="s">
        <v>2984</v>
      </c>
      <c r="B1216" s="62">
        <v>1225</v>
      </c>
      <c r="C1216" s="62">
        <v>2212</v>
      </c>
      <c r="D1216" s="63" t="s">
        <v>1377</v>
      </c>
      <c r="E1216" s="64" t="s">
        <v>24</v>
      </c>
      <c r="F1216" s="64">
        <v>1221</v>
      </c>
      <c r="G1216" s="67">
        <v>1216</v>
      </c>
    </row>
    <row r="1217" spans="1:7" x14ac:dyDescent="0.25">
      <c r="A1217" s="62" t="s">
        <v>2985</v>
      </c>
      <c r="B1217" s="62">
        <v>1226</v>
      </c>
      <c r="C1217" s="62">
        <v>2213</v>
      </c>
      <c r="D1217" s="63" t="s">
        <v>1378</v>
      </c>
      <c r="E1217" s="64" t="s">
        <v>24</v>
      </c>
      <c r="F1217" s="64">
        <v>1222</v>
      </c>
      <c r="G1217" s="67">
        <v>1217</v>
      </c>
    </row>
    <row r="1218" spans="1:7" x14ac:dyDescent="0.25">
      <c r="A1218" s="62" t="s">
        <v>2986</v>
      </c>
      <c r="B1218" s="62">
        <v>1227</v>
      </c>
      <c r="C1218" s="62">
        <v>2214</v>
      </c>
      <c r="D1218" s="63" t="s">
        <v>1379</v>
      </c>
      <c r="E1218" s="64" t="s">
        <v>55</v>
      </c>
      <c r="F1218" s="64">
        <v>1223</v>
      </c>
      <c r="G1218" s="67">
        <v>1218</v>
      </c>
    </row>
    <row r="1219" spans="1:7" x14ac:dyDescent="0.25">
      <c r="A1219" s="62" t="s">
        <v>2987</v>
      </c>
      <c r="B1219" s="62">
        <v>1228</v>
      </c>
      <c r="C1219" s="62">
        <v>2215</v>
      </c>
      <c r="D1219" s="63" t="s">
        <v>1380</v>
      </c>
      <c r="E1219" s="64" t="s">
        <v>24</v>
      </c>
      <c r="F1219" s="64">
        <v>1224</v>
      </c>
      <c r="G1219" s="67">
        <v>1219</v>
      </c>
    </row>
    <row r="1220" spans="1:7" x14ac:dyDescent="0.25">
      <c r="A1220" s="62" t="s">
        <v>2988</v>
      </c>
      <c r="B1220" s="62">
        <v>1229</v>
      </c>
      <c r="C1220" s="62">
        <v>2216</v>
      </c>
      <c r="D1220" s="63" t="s">
        <v>1381</v>
      </c>
      <c r="E1220" s="64" t="s">
        <v>24</v>
      </c>
      <c r="F1220" s="64">
        <v>1225</v>
      </c>
      <c r="G1220" s="67">
        <v>1220</v>
      </c>
    </row>
    <row r="1221" spans="1:7" x14ac:dyDescent="0.25">
      <c r="A1221" s="62" t="s">
        <v>2989</v>
      </c>
      <c r="B1221" s="62">
        <v>1230</v>
      </c>
      <c r="C1221" s="62">
        <v>2217</v>
      </c>
      <c r="D1221" s="63" t="s">
        <v>1382</v>
      </c>
      <c r="E1221" s="64" t="s">
        <v>24</v>
      </c>
      <c r="F1221" s="64">
        <v>1226</v>
      </c>
      <c r="G1221" s="67">
        <v>1221</v>
      </c>
    </row>
    <row r="1222" spans="1:7" x14ac:dyDescent="0.25">
      <c r="A1222" s="62" t="s">
        <v>2990</v>
      </c>
      <c r="B1222" s="62">
        <v>1231</v>
      </c>
      <c r="C1222" s="62">
        <v>2218</v>
      </c>
      <c r="D1222" s="63" t="s">
        <v>1383</v>
      </c>
      <c r="E1222" s="64" t="s">
        <v>24</v>
      </c>
      <c r="F1222" s="64">
        <v>1227</v>
      </c>
      <c r="G1222" s="67">
        <v>1222</v>
      </c>
    </row>
    <row r="1223" spans="1:7" x14ac:dyDescent="0.25">
      <c r="A1223" s="62" t="s">
        <v>2991</v>
      </c>
      <c r="B1223" s="62">
        <v>1232</v>
      </c>
      <c r="C1223" s="62">
        <v>2219</v>
      </c>
      <c r="D1223" s="63" t="s">
        <v>1384</v>
      </c>
      <c r="E1223" s="64" t="s">
        <v>24</v>
      </c>
      <c r="F1223" s="64">
        <v>1228</v>
      </c>
      <c r="G1223" s="67">
        <v>1223</v>
      </c>
    </row>
    <row r="1224" spans="1:7" x14ac:dyDescent="0.25">
      <c r="A1224" s="62" t="s">
        <v>2992</v>
      </c>
      <c r="B1224" s="62">
        <v>1233</v>
      </c>
      <c r="C1224" s="62">
        <v>2220</v>
      </c>
      <c r="D1224" s="63" t="s">
        <v>1385</v>
      </c>
      <c r="E1224" s="64" t="s">
        <v>24</v>
      </c>
      <c r="F1224" s="64">
        <v>1229</v>
      </c>
      <c r="G1224" s="67">
        <v>1224</v>
      </c>
    </row>
    <row r="1225" spans="1:7" x14ac:dyDescent="0.25">
      <c r="A1225" s="62" t="s">
        <v>2993</v>
      </c>
      <c r="B1225" s="62">
        <v>1234</v>
      </c>
      <c r="C1225" s="62">
        <v>2221</v>
      </c>
      <c r="D1225" s="63" t="s">
        <v>1387</v>
      </c>
      <c r="E1225" s="64" t="s">
        <v>24</v>
      </c>
      <c r="F1225" s="64">
        <v>1230</v>
      </c>
      <c r="G1225" s="67">
        <v>1225</v>
      </c>
    </row>
    <row r="1226" spans="1:7" x14ac:dyDescent="0.25">
      <c r="A1226" s="62" t="s">
        <v>2994</v>
      </c>
      <c r="B1226" s="62">
        <v>1235</v>
      </c>
      <c r="C1226" s="62">
        <v>2222</v>
      </c>
      <c r="D1226" s="63" t="s">
        <v>1388</v>
      </c>
      <c r="E1226" s="64" t="s">
        <v>24</v>
      </c>
      <c r="F1226" s="64">
        <v>1231</v>
      </c>
      <c r="G1226" s="67">
        <v>1226</v>
      </c>
    </row>
    <row r="1227" spans="1:7" x14ac:dyDescent="0.25">
      <c r="A1227" s="62" t="s">
        <v>2995</v>
      </c>
      <c r="B1227" s="62">
        <v>1236</v>
      </c>
      <c r="C1227" s="62">
        <v>2223</v>
      </c>
      <c r="D1227" s="63" t="s">
        <v>1389</v>
      </c>
      <c r="E1227" s="64" t="s">
        <v>24</v>
      </c>
      <c r="F1227" s="64">
        <v>1232</v>
      </c>
      <c r="G1227" s="67">
        <v>1227</v>
      </c>
    </row>
    <row r="1228" spans="1:7" x14ac:dyDescent="0.25">
      <c r="A1228" s="62" t="s">
        <v>2996</v>
      </c>
      <c r="B1228" s="62">
        <v>1237</v>
      </c>
      <c r="C1228" s="62">
        <v>2224</v>
      </c>
      <c r="D1228" s="63" t="s">
        <v>1390</v>
      </c>
      <c r="E1228" s="64" t="s">
        <v>24</v>
      </c>
      <c r="F1228" s="64">
        <v>1199</v>
      </c>
      <c r="G1228" s="67">
        <v>1228</v>
      </c>
    </row>
    <row r="1229" spans="1:7" x14ac:dyDescent="0.25">
      <c r="A1229" s="62" t="s">
        <v>2997</v>
      </c>
      <c r="B1229" s="62">
        <v>1238</v>
      </c>
      <c r="C1229" s="62">
        <v>2225</v>
      </c>
      <c r="D1229" s="63" t="s">
        <v>1391</v>
      </c>
      <c r="E1229" s="64" t="s">
        <v>24</v>
      </c>
      <c r="F1229" s="64">
        <v>1234</v>
      </c>
      <c r="G1229" s="67">
        <v>1229</v>
      </c>
    </row>
    <row r="1230" spans="1:7" x14ac:dyDescent="0.25">
      <c r="A1230" s="62" t="s">
        <v>2998</v>
      </c>
      <c r="B1230" s="62">
        <v>1239</v>
      </c>
      <c r="C1230" s="62">
        <v>2226</v>
      </c>
      <c r="D1230" s="63" t="s">
        <v>1392</v>
      </c>
      <c r="E1230" s="64" t="s">
        <v>1393</v>
      </c>
      <c r="F1230" s="64">
        <v>1235</v>
      </c>
      <c r="G1230" s="67">
        <v>1230</v>
      </c>
    </row>
    <row r="1231" spans="1:7" x14ac:dyDescent="0.25">
      <c r="A1231" s="62" t="s">
        <v>2999</v>
      </c>
      <c r="B1231" s="62">
        <v>1240</v>
      </c>
      <c r="C1231" s="62">
        <v>2227</v>
      </c>
      <c r="D1231" s="63" t="s">
        <v>1394</v>
      </c>
      <c r="E1231" s="64" t="s">
        <v>24</v>
      </c>
      <c r="F1231" s="64">
        <v>1236</v>
      </c>
      <c r="G1231" s="67">
        <v>1231</v>
      </c>
    </row>
    <row r="1232" spans="1:7" x14ac:dyDescent="0.25">
      <c r="A1232" s="62" t="s">
        <v>3000</v>
      </c>
      <c r="B1232" s="62">
        <v>1241</v>
      </c>
      <c r="C1232" s="62">
        <v>2228</v>
      </c>
      <c r="D1232" s="63" t="s">
        <v>1395</v>
      </c>
      <c r="E1232" s="64" t="s">
        <v>24</v>
      </c>
      <c r="F1232" s="64">
        <v>1237</v>
      </c>
      <c r="G1232" s="67">
        <v>1232</v>
      </c>
    </row>
    <row r="1233" spans="1:7" x14ac:dyDescent="0.25">
      <c r="A1233" s="62" t="s">
        <v>3001</v>
      </c>
      <c r="B1233" s="62">
        <v>1242</v>
      </c>
      <c r="C1233" s="62">
        <v>2229</v>
      </c>
      <c r="D1233" s="63" t="s">
        <v>1396</v>
      </c>
      <c r="E1233" s="64" t="s">
        <v>24</v>
      </c>
      <c r="F1233" s="64">
        <v>1238</v>
      </c>
      <c r="G1233" s="67">
        <v>1233</v>
      </c>
    </row>
    <row r="1234" spans="1:7" x14ac:dyDescent="0.25">
      <c r="A1234" s="62" t="s">
        <v>3002</v>
      </c>
      <c r="B1234" s="62">
        <v>1243</v>
      </c>
      <c r="C1234" s="62">
        <v>2230</v>
      </c>
      <c r="D1234" s="63" t="s">
        <v>1397</v>
      </c>
      <c r="E1234" s="64" t="s">
        <v>24</v>
      </c>
      <c r="F1234" s="64">
        <v>1239</v>
      </c>
      <c r="G1234" s="67">
        <v>1234</v>
      </c>
    </row>
    <row r="1235" spans="1:7" x14ac:dyDescent="0.25">
      <c r="A1235" s="62" t="s">
        <v>3003</v>
      </c>
      <c r="B1235" s="62">
        <v>1244</v>
      </c>
      <c r="C1235" s="62">
        <v>2231</v>
      </c>
      <c r="D1235" s="63" t="s">
        <v>1398</v>
      </c>
      <c r="E1235" s="64" t="s">
        <v>24</v>
      </c>
      <c r="F1235" s="64">
        <v>1240</v>
      </c>
      <c r="G1235" s="67">
        <v>1235</v>
      </c>
    </row>
    <row r="1236" spans="1:7" x14ac:dyDescent="0.25">
      <c r="A1236" s="62" t="s">
        <v>3004</v>
      </c>
      <c r="B1236" s="62">
        <v>1245</v>
      </c>
      <c r="C1236" s="62">
        <v>2232</v>
      </c>
      <c r="D1236" s="63" t="s">
        <v>1399</v>
      </c>
      <c r="E1236" s="64" t="s">
        <v>24</v>
      </c>
      <c r="F1236" s="64">
        <v>1241</v>
      </c>
      <c r="G1236" s="67">
        <v>1236</v>
      </c>
    </row>
    <row r="1237" spans="1:7" x14ac:dyDescent="0.25">
      <c r="A1237" s="62" t="s">
        <v>3005</v>
      </c>
      <c r="B1237" s="62">
        <v>1246</v>
      </c>
      <c r="C1237" s="62">
        <v>2233</v>
      </c>
      <c r="D1237" s="63" t="s">
        <v>1400</v>
      </c>
      <c r="E1237" s="64" t="s">
        <v>24</v>
      </c>
      <c r="F1237" s="64">
        <v>1242</v>
      </c>
      <c r="G1237" s="67">
        <v>1237</v>
      </c>
    </row>
    <row r="1238" spans="1:7" x14ac:dyDescent="0.25">
      <c r="A1238" s="62" t="s">
        <v>3006</v>
      </c>
      <c r="B1238" s="62">
        <v>1247</v>
      </c>
      <c r="C1238" s="62">
        <v>2234</v>
      </c>
      <c r="D1238" s="63" t="s">
        <v>1401</v>
      </c>
      <c r="E1238" s="64" t="s">
        <v>24</v>
      </c>
      <c r="F1238" s="64">
        <v>1243</v>
      </c>
      <c r="G1238" s="67">
        <v>1238</v>
      </c>
    </row>
    <row r="1239" spans="1:7" x14ac:dyDescent="0.25">
      <c r="A1239" s="62" t="s">
        <v>3007</v>
      </c>
      <c r="B1239" s="62">
        <v>1248</v>
      </c>
      <c r="C1239" s="62">
        <v>2235</v>
      </c>
      <c r="D1239" s="63" t="s">
        <v>1403</v>
      </c>
      <c r="E1239" s="64" t="s">
        <v>24</v>
      </c>
      <c r="F1239" s="64">
        <v>1244</v>
      </c>
      <c r="G1239" s="67">
        <v>1239</v>
      </c>
    </row>
    <row r="1240" spans="1:7" x14ac:dyDescent="0.25">
      <c r="A1240" s="62" t="s">
        <v>3008</v>
      </c>
      <c r="B1240" s="62">
        <v>1249</v>
      </c>
      <c r="C1240" s="62">
        <v>2236</v>
      </c>
      <c r="D1240" s="63" t="s">
        <v>1404</v>
      </c>
      <c r="E1240" s="64" t="s">
        <v>24</v>
      </c>
      <c r="F1240" s="64">
        <v>1245</v>
      </c>
      <c r="G1240" s="67">
        <v>1240</v>
      </c>
    </row>
    <row r="1241" spans="1:7" x14ac:dyDescent="0.25">
      <c r="A1241" s="62" t="s">
        <v>3009</v>
      </c>
      <c r="B1241" s="62">
        <v>1250</v>
      </c>
      <c r="C1241" s="62">
        <v>2237</v>
      </c>
      <c r="D1241" s="63" t="s">
        <v>1405</v>
      </c>
      <c r="E1241" s="64" t="s">
        <v>24</v>
      </c>
      <c r="F1241" s="64">
        <v>1246</v>
      </c>
      <c r="G1241" s="67">
        <v>1241</v>
      </c>
    </row>
    <row r="1242" spans="1:7" x14ac:dyDescent="0.25">
      <c r="A1242" s="62" t="s">
        <v>3010</v>
      </c>
      <c r="B1242" s="62">
        <v>1251</v>
      </c>
      <c r="C1242" s="62">
        <v>2238</v>
      </c>
      <c r="D1242" s="63" t="s">
        <v>1406</v>
      </c>
      <c r="E1242" s="64" t="s">
        <v>24</v>
      </c>
      <c r="F1242" s="64">
        <v>1247</v>
      </c>
      <c r="G1242" s="67">
        <v>1242</v>
      </c>
    </row>
    <row r="1243" spans="1:7" x14ac:dyDescent="0.25">
      <c r="A1243" s="62" t="s">
        <v>3011</v>
      </c>
      <c r="B1243" s="62">
        <v>1252</v>
      </c>
      <c r="C1243" s="62">
        <v>2239</v>
      </c>
      <c r="D1243" s="63" t="s">
        <v>1407</v>
      </c>
      <c r="E1243" s="64" t="s">
        <v>24</v>
      </c>
      <c r="F1243" s="64">
        <v>1248</v>
      </c>
      <c r="G1243" s="67">
        <v>1243</v>
      </c>
    </row>
    <row r="1244" spans="1:7" x14ac:dyDescent="0.25">
      <c r="A1244" s="62" t="s">
        <v>3012</v>
      </c>
      <c r="B1244" s="62">
        <v>1253</v>
      </c>
      <c r="C1244" s="62">
        <v>2240</v>
      </c>
      <c r="D1244" s="63" t="s">
        <v>1408</v>
      </c>
      <c r="E1244" s="64" t="s">
        <v>24</v>
      </c>
      <c r="F1244" s="64">
        <v>1249</v>
      </c>
      <c r="G1244" s="67">
        <v>1244</v>
      </c>
    </row>
    <row r="1245" spans="1:7" x14ac:dyDescent="0.25">
      <c r="A1245" s="62" t="s">
        <v>3013</v>
      </c>
      <c r="B1245" s="62">
        <v>1254</v>
      </c>
      <c r="C1245" s="62">
        <v>2241</v>
      </c>
      <c r="D1245" s="63" t="s">
        <v>1409</v>
      </c>
      <c r="E1245" s="64" t="s">
        <v>24</v>
      </c>
      <c r="F1245" s="64">
        <v>1250</v>
      </c>
      <c r="G1245" s="67">
        <v>1245</v>
      </c>
    </row>
    <row r="1246" spans="1:7" x14ac:dyDescent="0.25">
      <c r="A1246" s="62" t="s">
        <v>3014</v>
      </c>
      <c r="B1246" s="62">
        <v>1255</v>
      </c>
      <c r="C1246" s="62">
        <v>2242</v>
      </c>
      <c r="D1246" s="63" t="s">
        <v>1410</v>
      </c>
      <c r="E1246" s="64" t="s">
        <v>24</v>
      </c>
      <c r="F1246" s="64">
        <v>1251</v>
      </c>
      <c r="G1246" s="67">
        <v>1246</v>
      </c>
    </row>
    <row r="1247" spans="1:7" x14ac:dyDescent="0.25">
      <c r="A1247" s="62" t="s">
        <v>3015</v>
      </c>
      <c r="B1247" s="62">
        <v>1256</v>
      </c>
      <c r="C1247" s="62">
        <v>2243</v>
      </c>
      <c r="D1247" s="63" t="s">
        <v>1411</v>
      </c>
      <c r="E1247" s="64" t="s">
        <v>608</v>
      </c>
      <c r="F1247" s="64">
        <v>1252</v>
      </c>
      <c r="G1247" s="67">
        <v>1247</v>
      </c>
    </row>
    <row r="1248" spans="1:7" x14ac:dyDescent="0.25">
      <c r="A1248" s="62" t="s">
        <v>3016</v>
      </c>
      <c r="B1248" s="62">
        <v>1257</v>
      </c>
      <c r="C1248" s="62">
        <v>2244</v>
      </c>
      <c r="D1248" s="63" t="s">
        <v>1412</v>
      </c>
      <c r="E1248" s="64" t="s">
        <v>608</v>
      </c>
      <c r="F1248" s="64">
        <v>1250</v>
      </c>
      <c r="G1248" s="67">
        <v>1248</v>
      </c>
    </row>
    <row r="1249" spans="1:7" x14ac:dyDescent="0.25">
      <c r="A1249" s="62" t="s">
        <v>3017</v>
      </c>
      <c r="B1249" s="62">
        <v>1258</v>
      </c>
      <c r="C1249" s="62">
        <v>2245</v>
      </c>
      <c r="D1249" s="63" t="s">
        <v>1413</v>
      </c>
      <c r="E1249" s="64" t="s">
        <v>24</v>
      </c>
      <c r="F1249" s="64">
        <v>1254</v>
      </c>
      <c r="G1249" s="67">
        <v>1249</v>
      </c>
    </row>
    <row r="1250" spans="1:7" x14ac:dyDescent="0.25">
      <c r="A1250" s="62" t="s">
        <v>3018</v>
      </c>
      <c r="B1250" s="62">
        <v>1259</v>
      </c>
      <c r="C1250" s="62">
        <v>2246</v>
      </c>
      <c r="D1250" s="63" t="s">
        <v>1414</v>
      </c>
      <c r="E1250" s="64" t="s">
        <v>24</v>
      </c>
      <c r="F1250" s="64">
        <v>1255</v>
      </c>
      <c r="G1250" s="67">
        <v>1250</v>
      </c>
    </row>
    <row r="1251" spans="1:7" x14ac:dyDescent="0.25">
      <c r="A1251" s="62" t="s">
        <v>3019</v>
      </c>
      <c r="B1251" s="62">
        <v>1260</v>
      </c>
      <c r="C1251" s="62">
        <v>2247</v>
      </c>
      <c r="D1251" s="63" t="s">
        <v>1415</v>
      </c>
      <c r="E1251" s="64" t="s">
        <v>24</v>
      </c>
      <c r="F1251" s="64">
        <v>1256</v>
      </c>
      <c r="G1251" s="67">
        <v>1251</v>
      </c>
    </row>
    <row r="1252" spans="1:7" x14ac:dyDescent="0.25">
      <c r="A1252" s="62" t="s">
        <v>3020</v>
      </c>
      <c r="B1252" s="62">
        <v>1261</v>
      </c>
      <c r="C1252" s="62">
        <v>2248</v>
      </c>
      <c r="D1252" s="63" t="s">
        <v>1416</v>
      </c>
      <c r="E1252" s="64" t="s">
        <v>24</v>
      </c>
      <c r="F1252" s="64">
        <v>1257</v>
      </c>
      <c r="G1252" s="67">
        <v>1252</v>
      </c>
    </row>
    <row r="1253" spans="1:7" x14ac:dyDescent="0.25">
      <c r="A1253" s="62" t="s">
        <v>3021</v>
      </c>
      <c r="B1253" s="62">
        <v>1262</v>
      </c>
      <c r="C1253" s="62">
        <v>2249</v>
      </c>
      <c r="D1253" s="63" t="s">
        <v>1417</v>
      </c>
      <c r="E1253" s="64" t="s">
        <v>24</v>
      </c>
      <c r="F1253" s="64">
        <v>1258</v>
      </c>
      <c r="G1253" s="67">
        <v>1253</v>
      </c>
    </row>
    <row r="1254" spans="1:7" x14ac:dyDescent="0.25">
      <c r="A1254" s="62" t="s">
        <v>3022</v>
      </c>
      <c r="B1254" s="62">
        <v>1263</v>
      </c>
      <c r="C1254" s="62">
        <v>2250</v>
      </c>
      <c r="D1254" s="63" t="s">
        <v>1418</v>
      </c>
      <c r="E1254" s="64" t="s">
        <v>24</v>
      </c>
      <c r="F1254" s="64">
        <v>1259</v>
      </c>
      <c r="G1254" s="67">
        <v>1254</v>
      </c>
    </row>
    <row r="1255" spans="1:7" x14ac:dyDescent="0.25">
      <c r="A1255" s="62" t="s">
        <v>3023</v>
      </c>
      <c r="B1255" s="62">
        <v>1264</v>
      </c>
      <c r="C1255" s="62">
        <v>2251</v>
      </c>
      <c r="D1255" s="63" t="s">
        <v>1419</v>
      </c>
      <c r="E1255" s="64" t="s">
        <v>24</v>
      </c>
      <c r="F1255" s="64">
        <v>1260</v>
      </c>
      <c r="G1255" s="67">
        <v>1255</v>
      </c>
    </row>
    <row r="1256" spans="1:7" x14ac:dyDescent="0.25">
      <c r="A1256" s="62" t="s">
        <v>3024</v>
      </c>
      <c r="B1256" s="62">
        <v>1265</v>
      </c>
      <c r="C1256" s="62">
        <v>2252</v>
      </c>
      <c r="D1256" s="63" t="s">
        <v>1420</v>
      </c>
      <c r="E1256" s="64" t="s">
        <v>24</v>
      </c>
      <c r="F1256" s="64">
        <v>1261</v>
      </c>
      <c r="G1256" s="67">
        <v>1256</v>
      </c>
    </row>
    <row r="1257" spans="1:7" x14ac:dyDescent="0.25">
      <c r="A1257" s="62" t="s">
        <v>3025</v>
      </c>
      <c r="B1257" s="62">
        <v>1266</v>
      </c>
      <c r="C1257" s="62">
        <v>2253</v>
      </c>
      <c r="D1257" s="63" t="s">
        <v>1421</v>
      </c>
      <c r="E1257" s="64" t="s">
        <v>24</v>
      </c>
      <c r="F1257" s="64">
        <v>1262</v>
      </c>
      <c r="G1257" s="67">
        <v>1257</v>
      </c>
    </row>
    <row r="1258" spans="1:7" x14ac:dyDescent="0.25">
      <c r="A1258" s="62" t="s">
        <v>3026</v>
      </c>
      <c r="B1258" s="62">
        <v>1267</v>
      </c>
      <c r="C1258" s="62">
        <v>2254</v>
      </c>
      <c r="D1258" s="63" t="s">
        <v>1422</v>
      </c>
      <c r="E1258" s="64" t="s">
        <v>24</v>
      </c>
      <c r="F1258" s="64">
        <v>1263</v>
      </c>
      <c r="G1258" s="67">
        <v>1258</v>
      </c>
    </row>
    <row r="1259" spans="1:7" x14ac:dyDescent="0.25">
      <c r="A1259" s="62" t="s">
        <v>3027</v>
      </c>
      <c r="B1259" s="62">
        <v>1268</v>
      </c>
      <c r="C1259" s="62">
        <v>2255</v>
      </c>
      <c r="D1259" s="63" t="s">
        <v>1423</v>
      </c>
      <c r="E1259" s="64" t="s">
        <v>24</v>
      </c>
      <c r="F1259" s="64">
        <v>1264</v>
      </c>
      <c r="G1259" s="67">
        <v>1259</v>
      </c>
    </row>
    <row r="1260" spans="1:7" x14ac:dyDescent="0.25">
      <c r="A1260" s="62" t="s">
        <v>3028</v>
      </c>
      <c r="B1260" s="62">
        <v>1269</v>
      </c>
      <c r="C1260" s="62">
        <v>2256</v>
      </c>
      <c r="D1260" s="63" t="s">
        <v>1424</v>
      </c>
      <c r="E1260" s="64" t="s">
        <v>24</v>
      </c>
      <c r="F1260" s="64">
        <v>1265</v>
      </c>
      <c r="G1260" s="67">
        <v>1260</v>
      </c>
    </row>
    <row r="1261" spans="1:7" x14ac:dyDescent="0.25">
      <c r="A1261" s="62" t="s">
        <v>3029</v>
      </c>
      <c r="B1261" s="62">
        <v>1270</v>
      </c>
      <c r="C1261" s="62">
        <v>2257</v>
      </c>
      <c r="D1261" s="63" t="s">
        <v>1426</v>
      </c>
      <c r="E1261" s="64" t="s">
        <v>24</v>
      </c>
      <c r="F1261" s="64">
        <v>1266</v>
      </c>
      <c r="G1261" s="67">
        <v>1261</v>
      </c>
    </row>
    <row r="1262" spans="1:7" x14ac:dyDescent="0.25">
      <c r="A1262" s="62" t="s">
        <v>3030</v>
      </c>
      <c r="B1262" s="62">
        <v>1271</v>
      </c>
      <c r="C1262" s="62">
        <v>2258</v>
      </c>
      <c r="D1262" s="63" t="s">
        <v>1427</v>
      </c>
      <c r="E1262" s="64" t="s">
        <v>24</v>
      </c>
      <c r="F1262" s="64">
        <v>1267</v>
      </c>
      <c r="G1262" s="67">
        <v>1262</v>
      </c>
    </row>
    <row r="1263" spans="1:7" x14ac:dyDescent="0.25">
      <c r="A1263" s="62" t="s">
        <v>3031</v>
      </c>
      <c r="B1263" s="62">
        <v>1272</v>
      </c>
      <c r="C1263" s="62">
        <v>2259</v>
      </c>
      <c r="D1263" s="63" t="s">
        <v>1429</v>
      </c>
      <c r="E1263" s="64" t="s">
        <v>24</v>
      </c>
      <c r="F1263" s="64">
        <v>1268</v>
      </c>
      <c r="G1263" s="67">
        <v>1263</v>
      </c>
    </row>
    <row r="1264" spans="1:7" x14ac:dyDescent="0.25">
      <c r="A1264" s="62" t="s">
        <v>3032</v>
      </c>
      <c r="B1264" s="62">
        <v>1273</v>
      </c>
      <c r="C1264" s="62">
        <v>2260</v>
      </c>
      <c r="D1264" s="63" t="s">
        <v>1430</v>
      </c>
      <c r="E1264" s="64" t="s">
        <v>24</v>
      </c>
      <c r="F1264" s="64">
        <v>1269</v>
      </c>
      <c r="G1264" s="67">
        <v>1264</v>
      </c>
    </row>
    <row r="1265" spans="1:7" x14ac:dyDescent="0.25">
      <c r="A1265" s="62" t="s">
        <v>3033</v>
      </c>
      <c r="B1265" s="62">
        <v>1274</v>
      </c>
      <c r="C1265" s="62">
        <v>2261</v>
      </c>
      <c r="D1265" s="63" t="s">
        <v>1431</v>
      </c>
      <c r="E1265" s="64" t="s">
        <v>24</v>
      </c>
      <c r="F1265" s="64">
        <v>1270</v>
      </c>
      <c r="G1265" s="67">
        <v>1265</v>
      </c>
    </row>
    <row r="1266" spans="1:7" x14ac:dyDescent="0.25">
      <c r="A1266" s="62" t="s">
        <v>3034</v>
      </c>
      <c r="B1266" s="62">
        <v>1275</v>
      </c>
      <c r="C1266" s="62">
        <v>2262</v>
      </c>
      <c r="D1266" s="63" t="s">
        <v>1432</v>
      </c>
      <c r="E1266" s="64" t="s">
        <v>24</v>
      </c>
      <c r="F1266" s="64">
        <v>1271</v>
      </c>
      <c r="G1266" s="67">
        <v>1266</v>
      </c>
    </row>
    <row r="1267" spans="1:7" x14ac:dyDescent="0.25">
      <c r="A1267" s="62" t="s">
        <v>3035</v>
      </c>
      <c r="B1267" s="62">
        <v>1276</v>
      </c>
      <c r="C1267" s="62">
        <v>2263</v>
      </c>
      <c r="D1267" s="63" t="s">
        <v>1433</v>
      </c>
      <c r="E1267" s="64" t="s">
        <v>24</v>
      </c>
      <c r="F1267" s="64">
        <v>1272</v>
      </c>
      <c r="G1267" s="67">
        <v>1267</v>
      </c>
    </row>
    <row r="1268" spans="1:7" x14ac:dyDescent="0.25">
      <c r="A1268" s="62" t="s">
        <v>3036</v>
      </c>
      <c r="B1268" s="62">
        <v>1277</v>
      </c>
      <c r="C1268" s="62">
        <v>2264</v>
      </c>
      <c r="D1268" s="63" t="s">
        <v>1434</v>
      </c>
      <c r="E1268" s="64" t="s">
        <v>24</v>
      </c>
      <c r="F1268" s="64">
        <v>1273</v>
      </c>
      <c r="G1268" s="67">
        <v>1268</v>
      </c>
    </row>
    <row r="1269" spans="1:7" x14ac:dyDescent="0.25">
      <c r="A1269" s="62" t="s">
        <v>3037</v>
      </c>
      <c r="B1269" s="62">
        <v>1278</v>
      </c>
      <c r="C1269" s="62">
        <v>2265</v>
      </c>
      <c r="D1269" s="63" t="s">
        <v>1435</v>
      </c>
      <c r="E1269" s="64" t="s">
        <v>24</v>
      </c>
      <c r="F1269" s="64">
        <v>1274</v>
      </c>
      <c r="G1269" s="67">
        <v>1269</v>
      </c>
    </row>
    <row r="1270" spans="1:7" x14ac:dyDescent="0.25">
      <c r="A1270" s="62" t="s">
        <v>3038</v>
      </c>
      <c r="B1270" s="62">
        <v>1279</v>
      </c>
      <c r="C1270" s="62">
        <v>2266</v>
      </c>
      <c r="D1270" s="63" t="s">
        <v>1436</v>
      </c>
      <c r="E1270" s="64" t="s">
        <v>24</v>
      </c>
      <c r="F1270" s="64">
        <v>1275</v>
      </c>
      <c r="G1270" s="67">
        <v>1270</v>
      </c>
    </row>
    <row r="1271" spans="1:7" x14ac:dyDescent="0.25">
      <c r="A1271" s="62" t="s">
        <v>3039</v>
      </c>
      <c r="B1271" s="62">
        <v>1280</v>
      </c>
      <c r="C1271" s="62">
        <v>2267</v>
      </c>
      <c r="D1271" s="63" t="s">
        <v>1437</v>
      </c>
      <c r="E1271" s="64" t="s">
        <v>24</v>
      </c>
      <c r="F1271" s="64">
        <v>1276</v>
      </c>
      <c r="G1271" s="67">
        <v>1271</v>
      </c>
    </row>
    <row r="1272" spans="1:7" x14ac:dyDescent="0.25">
      <c r="A1272" s="62" t="s">
        <v>3040</v>
      </c>
      <c r="B1272" s="62">
        <v>1281</v>
      </c>
      <c r="C1272" s="62">
        <v>2268</v>
      </c>
      <c r="D1272" s="63" t="s">
        <v>1438</v>
      </c>
      <c r="E1272" s="64" t="s">
        <v>24</v>
      </c>
      <c r="F1272" s="64">
        <v>1277</v>
      </c>
      <c r="G1272" s="67">
        <v>1272</v>
      </c>
    </row>
    <row r="1273" spans="1:7" x14ac:dyDescent="0.25">
      <c r="A1273" s="62" t="s">
        <v>3041</v>
      </c>
      <c r="B1273" s="62">
        <v>1282</v>
      </c>
      <c r="C1273" s="62">
        <v>2269</v>
      </c>
      <c r="D1273" s="63" t="s">
        <v>1440</v>
      </c>
      <c r="E1273" s="64" t="s">
        <v>24</v>
      </c>
      <c r="F1273" s="64">
        <v>1278</v>
      </c>
      <c r="G1273" s="67">
        <v>1273</v>
      </c>
    </row>
    <row r="1274" spans="1:7" x14ac:dyDescent="0.25">
      <c r="A1274" s="62" t="s">
        <v>3042</v>
      </c>
      <c r="B1274" s="62">
        <v>1283</v>
      </c>
      <c r="C1274" s="62">
        <v>2270</v>
      </c>
      <c r="D1274" s="63" t="s">
        <v>1441</v>
      </c>
      <c r="E1274" s="64" t="s">
        <v>24</v>
      </c>
      <c r="F1274" s="64">
        <v>1279</v>
      </c>
      <c r="G1274" s="67">
        <v>1274</v>
      </c>
    </row>
    <row r="1275" spans="1:7" x14ac:dyDescent="0.25">
      <c r="A1275" s="62" t="s">
        <v>3043</v>
      </c>
      <c r="B1275" s="62">
        <v>1284</v>
      </c>
      <c r="C1275" s="62">
        <v>2271</v>
      </c>
      <c r="D1275" s="63" t="s">
        <v>1442</v>
      </c>
      <c r="E1275" s="64" t="s">
        <v>24</v>
      </c>
      <c r="F1275" s="64">
        <v>1280</v>
      </c>
      <c r="G1275" s="67">
        <v>1275</v>
      </c>
    </row>
    <row r="1276" spans="1:7" x14ac:dyDescent="0.25">
      <c r="A1276" s="62" t="s">
        <v>3044</v>
      </c>
      <c r="B1276" s="62">
        <v>1285</v>
      </c>
      <c r="C1276" s="62">
        <v>2272</v>
      </c>
      <c r="D1276" s="63" t="s">
        <v>1443</v>
      </c>
      <c r="E1276" s="64" t="s">
        <v>24</v>
      </c>
      <c r="F1276" s="64">
        <v>1281</v>
      </c>
      <c r="G1276" s="67">
        <v>1276</v>
      </c>
    </row>
    <row r="1277" spans="1:7" x14ac:dyDescent="0.25">
      <c r="A1277" s="62" t="s">
        <v>3045</v>
      </c>
      <c r="B1277" s="62">
        <v>1286</v>
      </c>
      <c r="C1277" s="62">
        <v>2273</v>
      </c>
      <c r="D1277" s="63" t="s">
        <v>1444</v>
      </c>
      <c r="E1277" s="64" t="s">
        <v>24</v>
      </c>
      <c r="F1277" s="64">
        <v>1282</v>
      </c>
      <c r="G1277" s="67">
        <v>1277</v>
      </c>
    </row>
    <row r="1278" spans="1:7" x14ac:dyDescent="0.25">
      <c r="A1278" s="62" t="s">
        <v>3046</v>
      </c>
      <c r="B1278" s="62">
        <v>1287</v>
      </c>
      <c r="C1278" s="62">
        <v>2274</v>
      </c>
      <c r="D1278" s="63" t="s">
        <v>1445</v>
      </c>
      <c r="E1278" s="64" t="s">
        <v>24</v>
      </c>
      <c r="F1278" s="64">
        <v>1283</v>
      </c>
      <c r="G1278" s="67">
        <v>1278</v>
      </c>
    </row>
    <row r="1279" spans="1:7" x14ac:dyDescent="0.25">
      <c r="A1279" s="62" t="s">
        <v>3047</v>
      </c>
      <c r="B1279" s="62">
        <v>1288</v>
      </c>
      <c r="C1279" s="62">
        <v>2275</v>
      </c>
      <c r="D1279" s="63" t="s">
        <v>1446</v>
      </c>
      <c r="E1279" s="64" t="s">
        <v>24</v>
      </c>
      <c r="F1279" s="64">
        <v>1284</v>
      </c>
      <c r="G1279" s="67">
        <v>1279</v>
      </c>
    </row>
    <row r="1280" spans="1:7" x14ac:dyDescent="0.25">
      <c r="A1280" s="62" t="s">
        <v>3048</v>
      </c>
      <c r="B1280" s="62">
        <v>1289</v>
      </c>
      <c r="C1280" s="62">
        <v>2276</v>
      </c>
      <c r="D1280" s="63" t="s">
        <v>1447</v>
      </c>
      <c r="E1280" s="64" t="s">
        <v>24</v>
      </c>
      <c r="F1280" s="64">
        <v>1285</v>
      </c>
      <c r="G1280" s="67">
        <v>1280</v>
      </c>
    </row>
    <row r="1281" spans="1:7" x14ac:dyDescent="0.25">
      <c r="A1281" s="62" t="s">
        <v>3049</v>
      </c>
      <c r="B1281" s="62">
        <v>1290</v>
      </c>
      <c r="C1281" s="62">
        <v>2277</v>
      </c>
      <c r="D1281" s="63" t="s">
        <v>1449</v>
      </c>
      <c r="E1281" s="64" t="s">
        <v>24</v>
      </c>
      <c r="F1281" s="64">
        <v>1286</v>
      </c>
      <c r="G1281" s="67">
        <v>1281</v>
      </c>
    </row>
    <row r="1282" spans="1:7" x14ac:dyDescent="0.25">
      <c r="A1282" s="62" t="s">
        <v>3050</v>
      </c>
      <c r="B1282" s="62">
        <v>1291</v>
      </c>
      <c r="C1282" s="62">
        <v>2278</v>
      </c>
      <c r="D1282" s="63" t="s">
        <v>1450</v>
      </c>
      <c r="E1282" s="64" t="s">
        <v>24</v>
      </c>
      <c r="F1282" s="64">
        <v>1287</v>
      </c>
      <c r="G1282" s="67">
        <v>1282</v>
      </c>
    </row>
    <row r="1283" spans="1:7" x14ac:dyDescent="0.25">
      <c r="A1283" s="62" t="s">
        <v>3051</v>
      </c>
      <c r="B1283" s="62">
        <v>1292</v>
      </c>
      <c r="C1283" s="62">
        <v>2279</v>
      </c>
      <c r="D1283" s="63" t="s">
        <v>1451</v>
      </c>
      <c r="E1283" s="64" t="s">
        <v>24</v>
      </c>
      <c r="F1283" s="64">
        <v>1288</v>
      </c>
      <c r="G1283" s="67">
        <v>1283</v>
      </c>
    </row>
    <row r="1284" spans="1:7" x14ac:dyDescent="0.25">
      <c r="A1284" s="62" t="s">
        <v>3052</v>
      </c>
      <c r="B1284" s="62">
        <v>1293</v>
      </c>
      <c r="C1284" s="62">
        <v>2280</v>
      </c>
      <c r="D1284" s="63" t="s">
        <v>1452</v>
      </c>
      <c r="E1284" s="64" t="s">
        <v>24</v>
      </c>
      <c r="F1284" s="64">
        <v>1289</v>
      </c>
      <c r="G1284" s="67">
        <v>1284</v>
      </c>
    </row>
    <row r="1285" spans="1:7" x14ac:dyDescent="0.25">
      <c r="A1285" s="62" t="s">
        <v>3053</v>
      </c>
      <c r="B1285" s="62">
        <v>1294</v>
      </c>
      <c r="C1285" s="62">
        <v>2281</v>
      </c>
      <c r="D1285" s="63" t="s">
        <v>1453</v>
      </c>
      <c r="E1285" s="64" t="s">
        <v>24</v>
      </c>
      <c r="F1285" s="64">
        <v>1290</v>
      </c>
      <c r="G1285" s="67">
        <v>1285</v>
      </c>
    </row>
    <row r="1286" spans="1:7" x14ac:dyDescent="0.25">
      <c r="A1286" s="62" t="s">
        <v>3054</v>
      </c>
      <c r="B1286" s="62">
        <v>1295</v>
      </c>
      <c r="C1286" s="62">
        <v>2282</v>
      </c>
      <c r="D1286" s="63" t="s">
        <v>1454</v>
      </c>
      <c r="E1286" s="64" t="s">
        <v>24</v>
      </c>
      <c r="F1286" s="64">
        <v>1291</v>
      </c>
      <c r="G1286" s="67">
        <v>1286</v>
      </c>
    </row>
    <row r="1287" spans="1:7" x14ac:dyDescent="0.25">
      <c r="A1287" s="62" t="s">
        <v>3055</v>
      </c>
      <c r="B1287" s="62">
        <v>1296</v>
      </c>
      <c r="C1287" s="62">
        <v>2283</v>
      </c>
      <c r="D1287" s="63" t="s">
        <v>1456</v>
      </c>
      <c r="E1287" s="64" t="s">
        <v>24</v>
      </c>
      <c r="F1287" s="64">
        <v>1292</v>
      </c>
      <c r="G1287" s="67">
        <v>1287</v>
      </c>
    </row>
    <row r="1288" spans="1:7" x14ac:dyDescent="0.25">
      <c r="A1288" s="62" t="s">
        <v>3056</v>
      </c>
      <c r="B1288" s="62">
        <v>1297</v>
      </c>
      <c r="C1288" s="62">
        <v>2284</v>
      </c>
      <c r="D1288" s="63" t="s">
        <v>1457</v>
      </c>
      <c r="E1288" s="64" t="s">
        <v>24</v>
      </c>
      <c r="F1288" s="64">
        <v>1293</v>
      </c>
      <c r="G1288" s="67">
        <v>1288</v>
      </c>
    </row>
    <row r="1289" spans="1:7" x14ac:dyDescent="0.25">
      <c r="A1289" s="62" t="s">
        <v>3057</v>
      </c>
      <c r="B1289" s="62">
        <v>1298</v>
      </c>
      <c r="C1289" s="62">
        <v>2285</v>
      </c>
      <c r="D1289" s="63" t="s">
        <v>1458</v>
      </c>
      <c r="E1289" s="64" t="s">
        <v>24</v>
      </c>
      <c r="F1289" s="64">
        <v>1294</v>
      </c>
      <c r="G1289" s="67">
        <v>1289</v>
      </c>
    </row>
    <row r="1290" spans="1:7" x14ac:dyDescent="0.25">
      <c r="A1290" s="62" t="s">
        <v>3058</v>
      </c>
      <c r="B1290" s="62">
        <v>1299</v>
      </c>
      <c r="C1290" s="62">
        <v>2286</v>
      </c>
      <c r="D1290" s="63" t="s">
        <v>1459</v>
      </c>
      <c r="E1290" s="64" t="s">
        <v>24</v>
      </c>
      <c r="F1290" s="64">
        <v>1295</v>
      </c>
      <c r="G1290" s="67">
        <v>1290</v>
      </c>
    </row>
    <row r="1291" spans="1:7" x14ac:dyDescent="0.25">
      <c r="A1291" s="62" t="s">
        <v>3059</v>
      </c>
      <c r="B1291" s="62">
        <v>1300</v>
      </c>
      <c r="C1291" s="62">
        <v>2287</v>
      </c>
      <c r="D1291" s="63" t="s">
        <v>1460</v>
      </c>
      <c r="E1291" s="64" t="s">
        <v>24</v>
      </c>
      <c r="F1291" s="64">
        <v>1296</v>
      </c>
      <c r="G1291" s="67">
        <v>1291</v>
      </c>
    </row>
    <row r="1292" spans="1:7" x14ac:dyDescent="0.25">
      <c r="A1292" s="62" t="s">
        <v>3060</v>
      </c>
      <c r="B1292" s="62">
        <v>1301</v>
      </c>
      <c r="C1292" s="62">
        <v>2288</v>
      </c>
      <c r="D1292" s="63" t="s">
        <v>1461</v>
      </c>
      <c r="E1292" s="64" t="s">
        <v>24</v>
      </c>
      <c r="F1292" s="64">
        <v>1297</v>
      </c>
      <c r="G1292" s="67">
        <v>1292</v>
      </c>
    </row>
    <row r="1293" spans="1:7" x14ac:dyDescent="0.25">
      <c r="A1293" s="62" t="s">
        <v>3061</v>
      </c>
      <c r="B1293" s="62">
        <v>1302</v>
      </c>
      <c r="C1293" s="62">
        <v>2289</v>
      </c>
      <c r="D1293" s="63" t="s">
        <v>1462</v>
      </c>
      <c r="E1293" s="64" t="s">
        <v>24</v>
      </c>
      <c r="F1293" s="64">
        <v>1298</v>
      </c>
      <c r="G1293" s="67">
        <v>1293</v>
      </c>
    </row>
    <row r="1294" spans="1:7" x14ac:dyDescent="0.25">
      <c r="A1294" s="62" t="s">
        <v>3062</v>
      </c>
      <c r="B1294" s="62">
        <v>1303</v>
      </c>
      <c r="C1294" s="62">
        <v>2290</v>
      </c>
      <c r="D1294" s="63" t="s">
        <v>1464</v>
      </c>
      <c r="E1294" s="64" t="s">
        <v>24</v>
      </c>
      <c r="F1294" s="64">
        <v>1299</v>
      </c>
      <c r="G1294" s="67">
        <v>1294</v>
      </c>
    </row>
    <row r="1295" spans="1:7" x14ac:dyDescent="0.25">
      <c r="A1295" s="62" t="s">
        <v>3063</v>
      </c>
      <c r="B1295" s="62">
        <v>1304</v>
      </c>
      <c r="C1295" s="62">
        <v>2291</v>
      </c>
      <c r="D1295" s="63" t="s">
        <v>1465</v>
      </c>
      <c r="E1295" s="64" t="s">
        <v>24</v>
      </c>
      <c r="F1295" s="64">
        <v>1300</v>
      </c>
      <c r="G1295" s="67">
        <v>1295</v>
      </c>
    </row>
    <row r="1296" spans="1:7" x14ac:dyDescent="0.25">
      <c r="A1296" s="62" t="s">
        <v>3064</v>
      </c>
      <c r="B1296" s="62">
        <v>1305</v>
      </c>
      <c r="C1296" s="62">
        <v>2292</v>
      </c>
      <c r="D1296" s="63" t="s">
        <v>1466</v>
      </c>
      <c r="E1296" s="64" t="s">
        <v>24</v>
      </c>
      <c r="F1296" s="64">
        <v>1301</v>
      </c>
      <c r="G1296" s="67">
        <v>1296</v>
      </c>
    </row>
    <row r="1297" spans="1:7" x14ac:dyDescent="0.25">
      <c r="A1297" s="62" t="s">
        <v>3065</v>
      </c>
      <c r="B1297" s="62">
        <v>1306</v>
      </c>
      <c r="C1297" s="62">
        <v>2293</v>
      </c>
      <c r="D1297" s="63" t="s">
        <v>1468</v>
      </c>
      <c r="E1297" s="64" t="s">
        <v>24</v>
      </c>
      <c r="F1297" s="64">
        <v>1302</v>
      </c>
      <c r="G1297" s="67">
        <v>1297</v>
      </c>
    </row>
    <row r="1298" spans="1:7" x14ac:dyDescent="0.25">
      <c r="A1298" s="62" t="s">
        <v>3066</v>
      </c>
      <c r="B1298" s="62">
        <v>1307</v>
      </c>
      <c r="C1298" s="62">
        <v>2294</v>
      </c>
      <c r="D1298" s="63" t="s">
        <v>1469</v>
      </c>
      <c r="E1298" s="64" t="s">
        <v>24</v>
      </c>
      <c r="F1298" s="64">
        <v>1303</v>
      </c>
      <c r="G1298" s="67">
        <v>1298</v>
      </c>
    </row>
    <row r="1299" spans="1:7" x14ac:dyDescent="0.25">
      <c r="A1299" s="62" t="s">
        <v>3067</v>
      </c>
      <c r="B1299" s="62">
        <v>1308</v>
      </c>
      <c r="C1299" s="62">
        <v>2295</v>
      </c>
      <c r="D1299" s="63" t="s">
        <v>1471</v>
      </c>
      <c r="E1299" s="64" t="s">
        <v>24</v>
      </c>
      <c r="F1299" s="64">
        <v>1304</v>
      </c>
      <c r="G1299" s="67">
        <v>1299</v>
      </c>
    </row>
    <row r="1300" spans="1:7" x14ac:dyDescent="0.25">
      <c r="A1300" s="62" t="s">
        <v>3068</v>
      </c>
      <c r="B1300" s="62">
        <v>1309</v>
      </c>
      <c r="C1300" s="62">
        <v>2296</v>
      </c>
      <c r="D1300" s="63" t="s">
        <v>1472</v>
      </c>
      <c r="E1300" s="64" t="s">
        <v>24</v>
      </c>
      <c r="F1300" s="64">
        <v>1305</v>
      </c>
      <c r="G1300" s="67">
        <v>1300</v>
      </c>
    </row>
    <row r="1301" spans="1:7" x14ac:dyDescent="0.25">
      <c r="A1301" s="62" t="s">
        <v>3069</v>
      </c>
      <c r="B1301" s="62">
        <v>1310</v>
      </c>
      <c r="C1301" s="62">
        <v>2297</v>
      </c>
      <c r="D1301" s="63" t="s">
        <v>1473</v>
      </c>
      <c r="E1301" s="64" t="s">
        <v>176</v>
      </c>
      <c r="F1301" s="64">
        <v>1306</v>
      </c>
      <c r="G1301" s="67">
        <v>1301</v>
      </c>
    </row>
    <row r="1302" spans="1:7" x14ac:dyDescent="0.25">
      <c r="A1302" s="62" t="s">
        <v>3070</v>
      </c>
      <c r="B1302" s="62">
        <v>1311</v>
      </c>
      <c r="C1302" s="62">
        <v>2298</v>
      </c>
      <c r="D1302" s="63" t="s">
        <v>1475</v>
      </c>
      <c r="E1302" s="64" t="s">
        <v>176</v>
      </c>
      <c r="F1302" s="64">
        <v>1307</v>
      </c>
      <c r="G1302" s="67">
        <v>1302</v>
      </c>
    </row>
    <row r="1303" spans="1:7" x14ac:dyDescent="0.25">
      <c r="A1303" s="62" t="s">
        <v>3071</v>
      </c>
      <c r="B1303" s="62">
        <v>1312</v>
      </c>
      <c r="C1303" s="62">
        <v>2299</v>
      </c>
      <c r="D1303" s="63" t="s">
        <v>1476</v>
      </c>
      <c r="E1303" s="64" t="s">
        <v>176</v>
      </c>
      <c r="F1303" s="64">
        <v>1308</v>
      </c>
      <c r="G1303" s="67">
        <v>1303</v>
      </c>
    </row>
    <row r="1304" spans="1:7" x14ac:dyDescent="0.25">
      <c r="A1304" s="62" t="s">
        <v>3072</v>
      </c>
      <c r="B1304" s="62">
        <v>1313</v>
      </c>
      <c r="C1304" s="62">
        <v>2300</v>
      </c>
      <c r="D1304" s="63" t="s">
        <v>1477</v>
      </c>
      <c r="E1304" s="64" t="s">
        <v>24</v>
      </c>
      <c r="F1304" s="64">
        <v>1309</v>
      </c>
      <c r="G1304" s="67">
        <v>1304</v>
      </c>
    </row>
    <row r="1305" spans="1:7" x14ac:dyDescent="0.25">
      <c r="A1305" s="62" t="s">
        <v>3073</v>
      </c>
      <c r="B1305" s="62">
        <v>1314</v>
      </c>
      <c r="C1305" s="62">
        <v>2301</v>
      </c>
      <c r="D1305" s="63" t="s">
        <v>1478</v>
      </c>
      <c r="E1305" s="64" t="s">
        <v>24</v>
      </c>
      <c r="F1305" s="64">
        <v>1310</v>
      </c>
      <c r="G1305" s="67">
        <v>1305</v>
      </c>
    </row>
    <row r="1306" spans="1:7" x14ac:dyDescent="0.25">
      <c r="A1306" s="62" t="s">
        <v>3074</v>
      </c>
      <c r="B1306" s="62">
        <v>1315</v>
      </c>
      <c r="C1306" s="62">
        <v>2302</v>
      </c>
      <c r="D1306" s="63" t="s">
        <v>1480</v>
      </c>
      <c r="E1306" s="64" t="s">
        <v>24</v>
      </c>
      <c r="F1306" s="64">
        <v>1311</v>
      </c>
      <c r="G1306" s="67">
        <v>1306</v>
      </c>
    </row>
    <row r="1307" spans="1:7" x14ac:dyDescent="0.25">
      <c r="A1307" s="62" t="s">
        <v>3075</v>
      </c>
      <c r="B1307" s="62">
        <v>1316</v>
      </c>
      <c r="C1307" s="62">
        <v>2303</v>
      </c>
      <c r="D1307" s="63" t="s">
        <v>1481</v>
      </c>
      <c r="E1307" s="64" t="s">
        <v>24</v>
      </c>
      <c r="F1307" s="64">
        <v>1312</v>
      </c>
      <c r="G1307" s="67">
        <v>1307</v>
      </c>
    </row>
    <row r="1308" spans="1:7" x14ac:dyDescent="0.25">
      <c r="A1308" s="62" t="s">
        <v>3076</v>
      </c>
      <c r="B1308" s="62">
        <v>1317</v>
      </c>
      <c r="C1308" s="62">
        <v>2304</v>
      </c>
      <c r="D1308" s="63" t="s">
        <v>1483</v>
      </c>
      <c r="E1308" s="64" t="s">
        <v>24</v>
      </c>
      <c r="F1308" s="64">
        <v>1313</v>
      </c>
      <c r="G1308" s="67">
        <v>1308</v>
      </c>
    </row>
    <row r="1309" spans="1:7" x14ac:dyDescent="0.25">
      <c r="A1309" s="62" t="s">
        <v>3077</v>
      </c>
      <c r="B1309" s="62">
        <v>1318</v>
      </c>
      <c r="C1309" s="62">
        <v>2305</v>
      </c>
      <c r="D1309" s="63" t="s">
        <v>1484</v>
      </c>
      <c r="E1309" s="64" t="s">
        <v>24</v>
      </c>
      <c r="F1309" s="64">
        <v>1314</v>
      </c>
      <c r="G1309" s="67">
        <v>1309</v>
      </c>
    </row>
    <row r="1310" spans="1:7" x14ac:dyDescent="0.25">
      <c r="A1310" s="62" t="s">
        <v>3078</v>
      </c>
      <c r="B1310" s="62">
        <v>1319</v>
      </c>
      <c r="C1310" s="62">
        <v>2306</v>
      </c>
      <c r="D1310" s="63" t="s">
        <v>1486</v>
      </c>
      <c r="E1310" s="64" t="s">
        <v>24</v>
      </c>
      <c r="F1310" s="64">
        <v>1315</v>
      </c>
      <c r="G1310" s="67">
        <v>1310</v>
      </c>
    </row>
    <row r="1311" spans="1:7" x14ac:dyDescent="0.25">
      <c r="A1311" s="62" t="s">
        <v>3079</v>
      </c>
      <c r="B1311" s="62">
        <v>1320</v>
      </c>
      <c r="C1311" s="62">
        <v>2307</v>
      </c>
      <c r="D1311" s="63" t="s">
        <v>1487</v>
      </c>
      <c r="E1311" s="64" t="s">
        <v>24</v>
      </c>
      <c r="F1311" s="64">
        <v>1316</v>
      </c>
      <c r="G1311" s="67">
        <v>1311</v>
      </c>
    </row>
    <row r="1312" spans="1:7" x14ac:dyDescent="0.25">
      <c r="A1312" s="62" t="s">
        <v>3080</v>
      </c>
      <c r="B1312" s="62">
        <v>1321</v>
      </c>
      <c r="C1312" s="62">
        <v>2308</v>
      </c>
      <c r="D1312" s="63" t="s">
        <v>1488</v>
      </c>
      <c r="E1312" s="64" t="s">
        <v>24</v>
      </c>
      <c r="F1312" s="64">
        <v>1317</v>
      </c>
      <c r="G1312" s="67">
        <v>1312</v>
      </c>
    </row>
    <row r="1313" spans="1:7" x14ac:dyDescent="0.25">
      <c r="A1313" s="62" t="s">
        <v>3081</v>
      </c>
      <c r="B1313" s="62">
        <v>1322</v>
      </c>
      <c r="C1313" s="62">
        <v>2309</v>
      </c>
      <c r="D1313" s="63" t="s">
        <v>1489</v>
      </c>
      <c r="E1313" s="64" t="s">
        <v>24</v>
      </c>
      <c r="F1313" s="64">
        <v>1318</v>
      </c>
      <c r="G1313" s="67">
        <v>1313</v>
      </c>
    </row>
    <row r="1314" spans="1:7" x14ac:dyDescent="0.25">
      <c r="A1314" s="62" t="s">
        <v>3082</v>
      </c>
      <c r="B1314" s="62">
        <v>1324</v>
      </c>
      <c r="C1314" s="62">
        <v>2310</v>
      </c>
      <c r="D1314" s="63" t="s">
        <v>1490</v>
      </c>
      <c r="E1314" s="64" t="s">
        <v>24</v>
      </c>
      <c r="F1314" s="64">
        <v>1319</v>
      </c>
      <c r="G1314" s="67">
        <v>1314</v>
      </c>
    </row>
    <row r="1315" spans="1:7" x14ac:dyDescent="0.25">
      <c r="A1315" s="62" t="s">
        <v>3083</v>
      </c>
      <c r="B1315" s="62">
        <v>1325</v>
      </c>
      <c r="C1315" s="62">
        <v>2311</v>
      </c>
      <c r="D1315" s="63" t="s">
        <v>1491</v>
      </c>
      <c r="E1315" s="64" t="s">
        <v>176</v>
      </c>
      <c r="F1315" s="64">
        <v>1320</v>
      </c>
      <c r="G1315" s="67">
        <v>1315</v>
      </c>
    </row>
    <row r="1316" spans="1:7" x14ac:dyDescent="0.25">
      <c r="A1316" s="62" t="s">
        <v>3084</v>
      </c>
      <c r="B1316" s="62">
        <v>1326</v>
      </c>
      <c r="C1316" s="62">
        <v>2312</v>
      </c>
      <c r="D1316" s="63" t="s">
        <v>1492</v>
      </c>
      <c r="E1316" s="64" t="s">
        <v>176</v>
      </c>
      <c r="F1316" s="64">
        <v>1321</v>
      </c>
      <c r="G1316" s="67">
        <v>1316</v>
      </c>
    </row>
    <row r="1317" spans="1:7" x14ac:dyDescent="0.25">
      <c r="A1317" s="62" t="s">
        <v>3085</v>
      </c>
      <c r="B1317" s="62">
        <v>1327</v>
      </c>
      <c r="C1317" s="62">
        <v>2313</v>
      </c>
      <c r="D1317" s="63" t="s">
        <v>1493</v>
      </c>
      <c r="E1317" s="64" t="s">
        <v>608</v>
      </c>
      <c r="F1317" s="64">
        <v>1322</v>
      </c>
      <c r="G1317" s="67">
        <v>1317</v>
      </c>
    </row>
    <row r="1318" spans="1:7" x14ac:dyDescent="0.25">
      <c r="A1318" s="62" t="s">
        <v>3086</v>
      </c>
      <c r="B1318" s="62">
        <v>1328</v>
      </c>
      <c r="C1318" s="62">
        <v>2314</v>
      </c>
      <c r="D1318" s="63" t="s">
        <v>1494</v>
      </c>
      <c r="E1318" s="64" t="s">
        <v>176</v>
      </c>
      <c r="F1318" s="64">
        <v>1323</v>
      </c>
      <c r="G1318" s="67">
        <v>1318</v>
      </c>
    </row>
    <row r="1319" spans="1:7" x14ac:dyDescent="0.25">
      <c r="A1319" s="62" t="s">
        <v>3087</v>
      </c>
      <c r="B1319" s="62">
        <v>1329</v>
      </c>
      <c r="C1319" s="62">
        <v>2315</v>
      </c>
      <c r="D1319" s="63" t="s">
        <v>1495</v>
      </c>
      <c r="E1319" s="64" t="s">
        <v>24</v>
      </c>
      <c r="F1319" s="64">
        <v>1324</v>
      </c>
      <c r="G1319" s="67">
        <v>1319</v>
      </c>
    </row>
    <row r="1320" spans="1:7" x14ac:dyDescent="0.25">
      <c r="A1320" s="62" t="s">
        <v>3088</v>
      </c>
      <c r="B1320" s="62">
        <v>1330</v>
      </c>
      <c r="C1320" s="62">
        <v>2316</v>
      </c>
      <c r="D1320" s="63" t="s">
        <v>1496</v>
      </c>
      <c r="E1320" s="64" t="s">
        <v>24</v>
      </c>
      <c r="F1320" s="64">
        <v>1325</v>
      </c>
      <c r="G1320" s="67">
        <v>1320</v>
      </c>
    </row>
    <row r="1321" spans="1:7" x14ac:dyDescent="0.25">
      <c r="A1321" s="62" t="s">
        <v>3089</v>
      </c>
      <c r="B1321" s="62">
        <v>1331</v>
      </c>
      <c r="C1321" s="62">
        <v>2317</v>
      </c>
      <c r="D1321" s="63" t="s">
        <v>1497</v>
      </c>
      <c r="E1321" s="64" t="s">
        <v>24</v>
      </c>
      <c r="F1321" s="64">
        <v>1326</v>
      </c>
      <c r="G1321" s="67">
        <v>1321</v>
      </c>
    </row>
    <row r="1322" spans="1:7" x14ac:dyDescent="0.25">
      <c r="A1322" s="62" t="s">
        <v>3090</v>
      </c>
      <c r="B1322" s="62">
        <v>1332</v>
      </c>
      <c r="C1322" s="62">
        <v>2318</v>
      </c>
      <c r="D1322" s="63" t="s">
        <v>1499</v>
      </c>
      <c r="E1322" s="64" t="s">
        <v>24</v>
      </c>
      <c r="F1322" s="64">
        <v>1327</v>
      </c>
      <c r="G1322" s="67">
        <v>1322</v>
      </c>
    </row>
    <row r="1323" spans="1:7" x14ac:dyDescent="0.25">
      <c r="A1323" s="62" t="s">
        <v>3091</v>
      </c>
      <c r="B1323" s="62">
        <v>1333</v>
      </c>
      <c r="C1323" s="62">
        <v>2319</v>
      </c>
      <c r="D1323" s="63" t="s">
        <v>1500</v>
      </c>
      <c r="E1323" s="64" t="s">
        <v>24</v>
      </c>
      <c r="F1323" s="64">
        <v>1328</v>
      </c>
      <c r="G1323" s="67">
        <v>1323</v>
      </c>
    </row>
    <row r="1324" spans="1:7" x14ac:dyDescent="0.25">
      <c r="A1324" s="62" t="s">
        <v>3092</v>
      </c>
      <c r="B1324" s="62">
        <v>1334</v>
      </c>
      <c r="C1324" s="62">
        <v>2320</v>
      </c>
      <c r="D1324" s="63" t="s">
        <v>1501</v>
      </c>
      <c r="E1324" s="64" t="s">
        <v>24</v>
      </c>
      <c r="F1324" s="64">
        <v>1329</v>
      </c>
      <c r="G1324" s="67">
        <v>1324</v>
      </c>
    </row>
    <row r="1325" spans="1:7" x14ac:dyDescent="0.25">
      <c r="A1325" s="62" t="s">
        <v>3093</v>
      </c>
      <c r="B1325" s="62">
        <v>1335</v>
      </c>
      <c r="C1325" s="62">
        <v>2321</v>
      </c>
      <c r="D1325" s="63" t="s">
        <v>1502</v>
      </c>
      <c r="E1325" s="64" t="s">
        <v>24</v>
      </c>
      <c r="F1325" s="64">
        <v>1330</v>
      </c>
      <c r="G1325" s="67">
        <v>1325</v>
      </c>
    </row>
    <row r="1326" spans="1:7" x14ac:dyDescent="0.25">
      <c r="A1326" s="62" t="s">
        <v>3094</v>
      </c>
      <c r="B1326" s="62">
        <v>1336</v>
      </c>
      <c r="C1326" s="62">
        <v>2322</v>
      </c>
      <c r="D1326" s="63" t="s">
        <v>1503</v>
      </c>
      <c r="E1326" s="64" t="s">
        <v>24</v>
      </c>
      <c r="F1326" s="64">
        <v>1331</v>
      </c>
      <c r="G1326" s="67">
        <v>1326</v>
      </c>
    </row>
    <row r="1327" spans="1:7" x14ac:dyDescent="0.25">
      <c r="A1327" s="62" t="s">
        <v>3095</v>
      </c>
      <c r="B1327" s="62">
        <v>1337</v>
      </c>
      <c r="C1327" s="62">
        <v>2323</v>
      </c>
      <c r="D1327" s="63" t="s">
        <v>1504</v>
      </c>
      <c r="E1327" s="64" t="s">
        <v>24</v>
      </c>
      <c r="F1327" s="64">
        <v>1332</v>
      </c>
      <c r="G1327" s="67">
        <v>1327</v>
      </c>
    </row>
    <row r="1328" spans="1:7" x14ac:dyDescent="0.25">
      <c r="A1328" s="62" t="s">
        <v>3096</v>
      </c>
      <c r="B1328" s="62">
        <v>1338</v>
      </c>
      <c r="C1328" s="62">
        <v>2324</v>
      </c>
      <c r="D1328" s="63" t="s">
        <v>1505</v>
      </c>
      <c r="E1328" s="64" t="s">
        <v>24</v>
      </c>
      <c r="F1328" s="64">
        <v>1333</v>
      </c>
      <c r="G1328" s="67">
        <v>1328</v>
      </c>
    </row>
    <row r="1329" spans="1:7" x14ac:dyDescent="0.25">
      <c r="A1329" s="62" t="s">
        <v>3097</v>
      </c>
      <c r="B1329" s="62">
        <v>1339</v>
      </c>
      <c r="C1329" s="62">
        <v>2325</v>
      </c>
      <c r="D1329" s="63" t="s">
        <v>1506</v>
      </c>
      <c r="E1329" s="64" t="s">
        <v>24</v>
      </c>
      <c r="F1329" s="64">
        <v>1334</v>
      </c>
      <c r="G1329" s="67">
        <v>1329</v>
      </c>
    </row>
    <row r="1330" spans="1:7" x14ac:dyDescent="0.25">
      <c r="A1330" s="62" t="s">
        <v>3098</v>
      </c>
      <c r="B1330" s="62">
        <v>1340</v>
      </c>
      <c r="C1330" s="62">
        <v>2326</v>
      </c>
      <c r="D1330" s="63" t="s">
        <v>1507</v>
      </c>
      <c r="E1330" s="64" t="s">
        <v>24</v>
      </c>
      <c r="F1330" s="64">
        <v>1335</v>
      </c>
      <c r="G1330" s="67">
        <v>1330</v>
      </c>
    </row>
    <row r="1331" spans="1:7" x14ac:dyDescent="0.25">
      <c r="A1331" s="62" t="s">
        <v>3099</v>
      </c>
      <c r="B1331" s="62">
        <v>1341</v>
      </c>
      <c r="C1331" s="62">
        <v>2327</v>
      </c>
      <c r="D1331" s="63" t="s">
        <v>1508</v>
      </c>
      <c r="E1331" s="64" t="s">
        <v>24</v>
      </c>
      <c r="F1331" s="64">
        <v>1336</v>
      </c>
      <c r="G1331" s="67">
        <v>1331</v>
      </c>
    </row>
    <row r="1332" spans="1:7" x14ac:dyDescent="0.25">
      <c r="A1332" s="62" t="s">
        <v>3100</v>
      </c>
      <c r="B1332" s="62">
        <v>1342</v>
      </c>
      <c r="C1332" s="62">
        <v>2328</v>
      </c>
      <c r="D1332" s="63" t="s">
        <v>1509</v>
      </c>
      <c r="E1332" s="64" t="s">
        <v>24</v>
      </c>
      <c r="F1332" s="64">
        <v>1337</v>
      </c>
      <c r="G1332" s="67">
        <v>1332</v>
      </c>
    </row>
    <row r="1333" spans="1:7" x14ac:dyDescent="0.25">
      <c r="A1333" s="62" t="s">
        <v>3101</v>
      </c>
      <c r="B1333" s="62">
        <v>1343</v>
      </c>
      <c r="C1333" s="62">
        <v>2329</v>
      </c>
      <c r="D1333" s="63" t="s">
        <v>1510</v>
      </c>
      <c r="E1333" s="64" t="s">
        <v>24</v>
      </c>
      <c r="F1333" s="64">
        <v>1338</v>
      </c>
      <c r="G1333" s="67">
        <v>1333</v>
      </c>
    </row>
    <row r="1334" spans="1:7" x14ac:dyDescent="0.25">
      <c r="A1334" s="62" t="s">
        <v>3102</v>
      </c>
      <c r="B1334" s="62">
        <v>1344</v>
      </c>
      <c r="C1334" s="62">
        <v>2330</v>
      </c>
      <c r="D1334" s="63" t="s">
        <v>1511</v>
      </c>
      <c r="E1334" s="64" t="s">
        <v>24</v>
      </c>
      <c r="F1334" s="64">
        <v>1339</v>
      </c>
      <c r="G1334" s="67">
        <v>1334</v>
      </c>
    </row>
    <row r="1335" spans="1:7" x14ac:dyDescent="0.25">
      <c r="A1335" s="62" t="s">
        <v>3103</v>
      </c>
      <c r="B1335" s="62">
        <v>1345</v>
      </c>
      <c r="C1335" s="62">
        <v>2331</v>
      </c>
      <c r="D1335" s="63" t="s">
        <v>1512</v>
      </c>
      <c r="E1335" s="64" t="s">
        <v>24</v>
      </c>
      <c r="F1335" s="64">
        <v>1340</v>
      </c>
      <c r="G1335" s="67">
        <v>1335</v>
      </c>
    </row>
    <row r="1336" spans="1:7" x14ac:dyDescent="0.25">
      <c r="A1336" s="62" t="s">
        <v>3104</v>
      </c>
      <c r="B1336" s="62">
        <v>1346</v>
      </c>
      <c r="C1336" s="62">
        <v>2332</v>
      </c>
      <c r="D1336" s="63" t="s">
        <v>1514</v>
      </c>
      <c r="E1336" s="64" t="s">
        <v>24</v>
      </c>
      <c r="F1336" s="64">
        <v>1341</v>
      </c>
      <c r="G1336" s="67">
        <v>1336</v>
      </c>
    </row>
    <row r="1337" spans="1:7" x14ac:dyDescent="0.25">
      <c r="A1337" s="62" t="s">
        <v>3105</v>
      </c>
      <c r="B1337" s="62">
        <v>1347</v>
      </c>
      <c r="C1337" s="62">
        <v>2333</v>
      </c>
      <c r="D1337" s="63" t="s">
        <v>1515</v>
      </c>
      <c r="E1337" s="64" t="s">
        <v>24</v>
      </c>
      <c r="F1337" s="64">
        <v>1342</v>
      </c>
      <c r="G1337" s="67">
        <v>1337</v>
      </c>
    </row>
    <row r="1338" spans="1:7" x14ac:dyDescent="0.25">
      <c r="A1338" s="62" t="s">
        <v>3106</v>
      </c>
      <c r="B1338" s="62">
        <v>1348</v>
      </c>
      <c r="C1338" s="62">
        <v>2334</v>
      </c>
      <c r="D1338" s="63" t="s">
        <v>1516</v>
      </c>
      <c r="E1338" s="64" t="s">
        <v>24</v>
      </c>
      <c r="F1338" s="64">
        <v>1343</v>
      </c>
      <c r="G1338" s="67">
        <v>1338</v>
      </c>
    </row>
    <row r="1339" spans="1:7" x14ac:dyDescent="0.25">
      <c r="A1339" s="62" t="s">
        <v>3107</v>
      </c>
      <c r="B1339" s="62">
        <v>1349</v>
      </c>
      <c r="C1339" s="62">
        <v>2335</v>
      </c>
      <c r="D1339" s="63" t="s">
        <v>1517</v>
      </c>
      <c r="E1339" s="64" t="s">
        <v>24</v>
      </c>
      <c r="F1339" s="64">
        <v>1344</v>
      </c>
      <c r="G1339" s="67">
        <v>1339</v>
      </c>
    </row>
    <row r="1340" spans="1:7" x14ac:dyDescent="0.25">
      <c r="A1340" s="62" t="s">
        <v>3108</v>
      </c>
      <c r="B1340" s="62">
        <v>1350</v>
      </c>
      <c r="C1340" s="62">
        <v>2336</v>
      </c>
      <c r="D1340" s="63" t="s">
        <v>1518</v>
      </c>
      <c r="E1340" s="64" t="s">
        <v>93</v>
      </c>
      <c r="F1340" s="64">
        <v>1345</v>
      </c>
      <c r="G1340" s="67">
        <v>1340</v>
      </c>
    </row>
    <row r="1341" spans="1:7" x14ac:dyDescent="0.25">
      <c r="A1341" s="62" t="s">
        <v>3109</v>
      </c>
      <c r="B1341" s="62">
        <v>1351</v>
      </c>
      <c r="C1341" s="62">
        <v>2337</v>
      </c>
      <c r="D1341" s="63" t="s">
        <v>1519</v>
      </c>
      <c r="E1341" s="64" t="s">
        <v>24</v>
      </c>
      <c r="F1341" s="64">
        <v>1346</v>
      </c>
      <c r="G1341" s="67">
        <v>1341</v>
      </c>
    </row>
    <row r="1342" spans="1:7" x14ac:dyDescent="0.25">
      <c r="A1342" s="62" t="s">
        <v>3110</v>
      </c>
      <c r="B1342" s="62">
        <v>1352</v>
      </c>
      <c r="C1342" s="62">
        <v>2338</v>
      </c>
      <c r="D1342" s="63" t="s">
        <v>1520</v>
      </c>
      <c r="E1342" s="64" t="s">
        <v>24</v>
      </c>
      <c r="F1342" s="64">
        <v>1347</v>
      </c>
      <c r="G1342" s="67">
        <v>1342</v>
      </c>
    </row>
    <row r="1343" spans="1:7" x14ac:dyDescent="0.25">
      <c r="A1343" s="62" t="s">
        <v>3111</v>
      </c>
      <c r="B1343" s="62">
        <v>1353</v>
      </c>
      <c r="C1343" s="62">
        <v>2339</v>
      </c>
      <c r="D1343" s="63" t="s">
        <v>1521</v>
      </c>
      <c r="E1343" s="64" t="s">
        <v>24</v>
      </c>
      <c r="F1343" s="64">
        <v>1348</v>
      </c>
      <c r="G1343" s="67">
        <v>1343</v>
      </c>
    </row>
    <row r="1344" spans="1:7" x14ac:dyDescent="0.25">
      <c r="A1344" s="62" t="s">
        <v>3112</v>
      </c>
      <c r="B1344" s="62">
        <v>1354</v>
      </c>
      <c r="C1344" s="62">
        <v>2340</v>
      </c>
      <c r="D1344" s="63" t="s">
        <v>1522</v>
      </c>
      <c r="E1344" s="64" t="s">
        <v>24</v>
      </c>
      <c r="F1344" s="64">
        <v>1349</v>
      </c>
      <c r="G1344" s="67">
        <v>1344</v>
      </c>
    </row>
    <row r="1345" spans="1:7" x14ac:dyDescent="0.25">
      <c r="A1345" s="62" t="s">
        <v>3113</v>
      </c>
      <c r="B1345" s="62">
        <v>1355</v>
      </c>
      <c r="C1345" s="62">
        <v>2341</v>
      </c>
      <c r="D1345" s="63" t="s">
        <v>1523</v>
      </c>
      <c r="E1345" s="64" t="s">
        <v>24</v>
      </c>
      <c r="F1345" s="64">
        <v>1350</v>
      </c>
      <c r="G1345" s="67">
        <v>1345</v>
      </c>
    </row>
    <row r="1346" spans="1:7" x14ac:dyDescent="0.25">
      <c r="A1346" s="62" t="s">
        <v>3114</v>
      </c>
      <c r="B1346" s="62">
        <v>1356</v>
      </c>
      <c r="C1346" s="62">
        <v>2342</v>
      </c>
      <c r="D1346" s="63" t="s">
        <v>1524</v>
      </c>
      <c r="E1346" s="64" t="s">
        <v>24</v>
      </c>
      <c r="F1346" s="64">
        <v>1351</v>
      </c>
      <c r="G1346" s="67">
        <v>1346</v>
      </c>
    </row>
    <row r="1347" spans="1:7" x14ac:dyDescent="0.25">
      <c r="A1347" s="62" t="s">
        <v>3115</v>
      </c>
      <c r="B1347" s="62">
        <v>1357</v>
      </c>
      <c r="C1347" s="62">
        <v>2343</v>
      </c>
      <c r="D1347" s="63" t="s">
        <v>1525</v>
      </c>
      <c r="E1347" s="64" t="s">
        <v>24</v>
      </c>
      <c r="F1347" s="64">
        <v>1347</v>
      </c>
      <c r="G1347" s="67">
        <v>1347</v>
      </c>
    </row>
    <row r="1348" spans="1:7" x14ac:dyDescent="0.25">
      <c r="A1348" s="62" t="s">
        <v>3116</v>
      </c>
      <c r="B1348" s="62">
        <v>1358</v>
      </c>
      <c r="C1348" s="62">
        <v>2344</v>
      </c>
      <c r="D1348" s="63" t="s">
        <v>1526</v>
      </c>
      <c r="E1348" s="64" t="s">
        <v>24</v>
      </c>
      <c r="F1348" s="64">
        <v>1353</v>
      </c>
      <c r="G1348" s="67">
        <v>1348</v>
      </c>
    </row>
    <row r="1349" spans="1:7" x14ac:dyDescent="0.25">
      <c r="A1349" s="62" t="s">
        <v>3117</v>
      </c>
      <c r="B1349" s="62">
        <v>1359</v>
      </c>
      <c r="C1349" s="62">
        <v>2345</v>
      </c>
      <c r="D1349" s="63" t="s">
        <v>1527</v>
      </c>
      <c r="E1349" s="64" t="s">
        <v>24</v>
      </c>
      <c r="F1349" s="64">
        <v>1354</v>
      </c>
      <c r="G1349" s="67">
        <v>1349</v>
      </c>
    </row>
    <row r="1350" spans="1:7" x14ac:dyDescent="0.25">
      <c r="A1350" s="62" t="s">
        <v>3118</v>
      </c>
      <c r="B1350" s="62">
        <v>1360</v>
      </c>
      <c r="C1350" s="62">
        <v>2346</v>
      </c>
      <c r="D1350" s="63" t="s">
        <v>1528</v>
      </c>
      <c r="E1350" s="64" t="s">
        <v>176</v>
      </c>
      <c r="F1350" s="64">
        <v>1355</v>
      </c>
      <c r="G1350" s="67">
        <v>1350</v>
      </c>
    </row>
    <row r="1351" spans="1:7" x14ac:dyDescent="0.25">
      <c r="A1351" s="62" t="s">
        <v>3119</v>
      </c>
      <c r="B1351" s="62">
        <v>1361</v>
      </c>
      <c r="C1351" s="62">
        <v>2347</v>
      </c>
      <c r="D1351" s="63" t="s">
        <v>1529</v>
      </c>
      <c r="E1351" s="64" t="s">
        <v>24</v>
      </c>
      <c r="F1351" s="64">
        <v>1356</v>
      </c>
      <c r="G1351" s="67">
        <v>1351</v>
      </c>
    </row>
    <row r="1352" spans="1:7" x14ac:dyDescent="0.25">
      <c r="A1352" s="62" t="s">
        <v>3120</v>
      </c>
      <c r="B1352" s="62">
        <v>1362</v>
      </c>
      <c r="C1352" s="62">
        <v>2348</v>
      </c>
      <c r="D1352" s="63" t="s">
        <v>1530</v>
      </c>
      <c r="E1352" s="64" t="s">
        <v>24</v>
      </c>
      <c r="F1352" s="64">
        <v>1357</v>
      </c>
      <c r="G1352" s="67">
        <v>1352</v>
      </c>
    </row>
    <row r="1353" spans="1:7" x14ac:dyDescent="0.25">
      <c r="A1353" s="62" t="s">
        <v>3121</v>
      </c>
      <c r="B1353" s="62">
        <v>1363</v>
      </c>
      <c r="C1353" s="62">
        <v>2349</v>
      </c>
      <c r="D1353" s="63" t="s">
        <v>1531</v>
      </c>
      <c r="E1353" s="64" t="s">
        <v>24</v>
      </c>
      <c r="F1353" s="64">
        <v>1358</v>
      </c>
      <c r="G1353" s="67">
        <v>1353</v>
      </c>
    </row>
    <row r="1354" spans="1:7" x14ac:dyDescent="0.25">
      <c r="A1354" s="62" t="s">
        <v>3122</v>
      </c>
      <c r="B1354" s="62">
        <v>1364</v>
      </c>
      <c r="C1354" s="62">
        <v>2350</v>
      </c>
      <c r="D1354" s="63" t="s">
        <v>1533</v>
      </c>
      <c r="E1354" s="64" t="s">
        <v>24</v>
      </c>
      <c r="F1354" s="64">
        <v>1359</v>
      </c>
      <c r="G1354" s="67">
        <v>1354</v>
      </c>
    </row>
    <row r="1355" spans="1:7" x14ac:dyDescent="0.25">
      <c r="A1355" s="62" t="s">
        <v>3123</v>
      </c>
      <c r="B1355" s="62">
        <v>1365</v>
      </c>
      <c r="C1355" s="62">
        <v>2351</v>
      </c>
      <c r="D1355" s="63" t="s">
        <v>1534</v>
      </c>
      <c r="E1355" s="64" t="s">
        <v>24</v>
      </c>
      <c r="F1355" s="64">
        <v>1360</v>
      </c>
      <c r="G1355" s="67">
        <v>1355</v>
      </c>
    </row>
    <row r="1356" spans="1:7" x14ac:dyDescent="0.25">
      <c r="A1356" s="62" t="s">
        <v>3124</v>
      </c>
      <c r="B1356" s="62">
        <v>1366</v>
      </c>
      <c r="C1356" s="62">
        <v>2352</v>
      </c>
      <c r="D1356" s="63" t="s">
        <v>1535</v>
      </c>
      <c r="E1356" s="64" t="s">
        <v>24</v>
      </c>
      <c r="F1356" s="64">
        <v>1361</v>
      </c>
      <c r="G1356" s="67">
        <v>1356</v>
      </c>
    </row>
    <row r="1357" spans="1:7" x14ac:dyDescent="0.25">
      <c r="A1357" s="62" t="s">
        <v>3125</v>
      </c>
      <c r="B1357" s="62">
        <v>1367</v>
      </c>
      <c r="C1357" s="62">
        <v>2353</v>
      </c>
      <c r="D1357" s="63" t="s">
        <v>1537</v>
      </c>
      <c r="E1357" s="64" t="s">
        <v>24</v>
      </c>
      <c r="F1357" s="64">
        <v>1362</v>
      </c>
      <c r="G1357" s="67">
        <v>1357</v>
      </c>
    </row>
    <row r="1358" spans="1:7" x14ac:dyDescent="0.25">
      <c r="A1358" s="62" t="s">
        <v>3126</v>
      </c>
      <c r="B1358" s="62">
        <v>1368</v>
      </c>
      <c r="C1358" s="62">
        <v>2354</v>
      </c>
      <c r="D1358" s="63" t="s">
        <v>1538</v>
      </c>
      <c r="E1358" s="64" t="s">
        <v>24</v>
      </c>
      <c r="F1358" s="64">
        <v>1363</v>
      </c>
      <c r="G1358" s="67">
        <v>1358</v>
      </c>
    </row>
    <row r="1359" spans="1:7" x14ac:dyDescent="0.25">
      <c r="A1359" s="62" t="s">
        <v>3127</v>
      </c>
      <c r="B1359" s="62">
        <v>1369</v>
      </c>
      <c r="C1359" s="62">
        <v>2355</v>
      </c>
      <c r="D1359" s="63" t="s">
        <v>1539</v>
      </c>
      <c r="E1359" s="64" t="s">
        <v>24</v>
      </c>
      <c r="F1359" s="64">
        <v>1364</v>
      </c>
      <c r="G1359" s="67">
        <v>1359</v>
      </c>
    </row>
    <row r="1360" spans="1:7" x14ac:dyDescent="0.25">
      <c r="A1360" s="62" t="s">
        <v>3128</v>
      </c>
      <c r="B1360" s="62">
        <v>1370</v>
      </c>
      <c r="C1360" s="62">
        <v>2356</v>
      </c>
      <c r="D1360" s="63" t="s">
        <v>1540</v>
      </c>
      <c r="E1360" s="64" t="s">
        <v>24</v>
      </c>
      <c r="F1360" s="64">
        <v>1365</v>
      </c>
      <c r="G1360" s="67">
        <v>1360</v>
      </c>
    </row>
    <row r="1361" spans="1:7" x14ac:dyDescent="0.25">
      <c r="A1361" s="62" t="s">
        <v>3129</v>
      </c>
      <c r="B1361" s="62">
        <v>1371</v>
      </c>
      <c r="C1361" s="62">
        <v>2357</v>
      </c>
      <c r="D1361" s="63" t="s">
        <v>1541</v>
      </c>
      <c r="E1361" s="64" t="s">
        <v>24</v>
      </c>
      <c r="F1361" s="64">
        <v>1366</v>
      </c>
      <c r="G1361" s="67">
        <v>1361</v>
      </c>
    </row>
    <row r="1362" spans="1:7" x14ac:dyDescent="0.25">
      <c r="A1362" s="62" t="s">
        <v>3130</v>
      </c>
      <c r="B1362" s="62">
        <v>1372</v>
      </c>
      <c r="C1362" s="62">
        <v>2358</v>
      </c>
      <c r="D1362" s="63" t="s">
        <v>1542</v>
      </c>
      <c r="E1362" s="64" t="s">
        <v>24</v>
      </c>
      <c r="F1362" s="64">
        <v>1367</v>
      </c>
      <c r="G1362" s="67">
        <v>1362</v>
      </c>
    </row>
    <row r="1363" spans="1:7" x14ac:dyDescent="0.25">
      <c r="A1363" s="62" t="s">
        <v>3131</v>
      </c>
      <c r="B1363" s="62">
        <v>1373</v>
      </c>
      <c r="C1363" s="62">
        <v>2359</v>
      </c>
      <c r="D1363" s="63" t="s">
        <v>1543</v>
      </c>
      <c r="E1363" s="64" t="s">
        <v>24</v>
      </c>
      <c r="F1363" s="64">
        <v>1368</v>
      </c>
      <c r="G1363" s="67">
        <v>1363</v>
      </c>
    </row>
    <row r="1364" spans="1:7" x14ac:dyDescent="0.25">
      <c r="A1364" s="62" t="s">
        <v>3132</v>
      </c>
      <c r="B1364" s="62">
        <v>1374</v>
      </c>
      <c r="C1364" s="62">
        <v>2360</v>
      </c>
      <c r="D1364" s="63" t="s">
        <v>1545</v>
      </c>
      <c r="E1364" s="64" t="s">
        <v>24</v>
      </c>
      <c r="F1364" s="64">
        <v>1369</v>
      </c>
      <c r="G1364" s="67">
        <v>1364</v>
      </c>
    </row>
    <row r="1365" spans="1:7" x14ac:dyDescent="0.25">
      <c r="A1365" s="62" t="s">
        <v>3133</v>
      </c>
      <c r="B1365" s="62">
        <v>1375</v>
      </c>
      <c r="C1365" s="62">
        <v>2361</v>
      </c>
      <c r="D1365" s="63" t="s">
        <v>1546</v>
      </c>
      <c r="E1365" s="64" t="s">
        <v>24</v>
      </c>
      <c r="F1365" s="64">
        <v>1370</v>
      </c>
      <c r="G1365" s="67">
        <v>1365</v>
      </c>
    </row>
    <row r="1366" spans="1:7" x14ac:dyDescent="0.25">
      <c r="A1366" s="62" t="s">
        <v>3134</v>
      </c>
      <c r="B1366" s="62">
        <v>1376</v>
      </c>
      <c r="C1366" s="62">
        <v>2362</v>
      </c>
      <c r="D1366" s="63" t="s">
        <v>1547</v>
      </c>
      <c r="E1366" s="64" t="s">
        <v>24</v>
      </c>
      <c r="F1366" s="64">
        <v>1371</v>
      </c>
      <c r="G1366" s="67">
        <v>1366</v>
      </c>
    </row>
    <row r="1367" spans="1:7" x14ac:dyDescent="0.25">
      <c r="A1367" s="62" t="s">
        <v>3135</v>
      </c>
      <c r="B1367" s="62">
        <v>1377</v>
      </c>
      <c r="C1367" s="62">
        <v>2363</v>
      </c>
      <c r="D1367" s="63" t="s">
        <v>1548</v>
      </c>
      <c r="E1367" s="64" t="s">
        <v>24</v>
      </c>
      <c r="F1367" s="64">
        <v>1372</v>
      </c>
      <c r="G1367" s="67">
        <v>1367</v>
      </c>
    </row>
    <row r="1368" spans="1:7" x14ac:dyDescent="0.25">
      <c r="A1368" s="62" t="s">
        <v>3136</v>
      </c>
      <c r="B1368" s="62">
        <v>1378</v>
      </c>
      <c r="C1368" s="62">
        <v>2364</v>
      </c>
      <c r="D1368" s="63" t="s">
        <v>1549</v>
      </c>
      <c r="E1368" s="64" t="s">
        <v>24</v>
      </c>
      <c r="F1368" s="64">
        <v>1373</v>
      </c>
      <c r="G1368" s="67">
        <v>1368</v>
      </c>
    </row>
    <row r="1369" spans="1:7" x14ac:dyDescent="0.25">
      <c r="A1369" s="62" t="s">
        <v>3137</v>
      </c>
      <c r="B1369" s="62">
        <v>1379</v>
      </c>
      <c r="C1369" s="62">
        <v>2365</v>
      </c>
      <c r="D1369" s="63" t="s">
        <v>1550</v>
      </c>
      <c r="E1369" s="64" t="s">
        <v>24</v>
      </c>
      <c r="F1369" s="64">
        <v>1374</v>
      </c>
      <c r="G1369" s="67">
        <v>1369</v>
      </c>
    </row>
    <row r="1370" spans="1:7" x14ac:dyDescent="0.25">
      <c r="A1370" s="62" t="s">
        <v>3138</v>
      </c>
      <c r="B1370" s="62">
        <v>1380</v>
      </c>
      <c r="C1370" s="62">
        <v>2366</v>
      </c>
      <c r="D1370" s="63" t="s">
        <v>1551</v>
      </c>
      <c r="E1370" s="64" t="s">
        <v>24</v>
      </c>
      <c r="F1370" s="64">
        <v>1375</v>
      </c>
      <c r="G1370" s="67">
        <v>1370</v>
      </c>
    </row>
    <row r="1371" spans="1:7" x14ac:dyDescent="0.25">
      <c r="A1371" s="62" t="s">
        <v>3139</v>
      </c>
      <c r="B1371" s="62">
        <v>1381</v>
      </c>
      <c r="C1371" s="62">
        <v>2367</v>
      </c>
      <c r="D1371" s="63" t="s">
        <v>1552</v>
      </c>
      <c r="E1371" s="64" t="s">
        <v>24</v>
      </c>
      <c r="F1371" s="64">
        <v>1376</v>
      </c>
      <c r="G1371" s="67">
        <v>1371</v>
      </c>
    </row>
    <row r="1372" spans="1:7" x14ac:dyDescent="0.25">
      <c r="A1372" s="62" t="s">
        <v>3140</v>
      </c>
      <c r="B1372" s="62">
        <v>1382</v>
      </c>
      <c r="C1372" s="62">
        <v>2368</v>
      </c>
      <c r="D1372" s="63" t="s">
        <v>1553</v>
      </c>
      <c r="E1372" s="64" t="s">
        <v>24</v>
      </c>
      <c r="F1372" s="64">
        <v>1377</v>
      </c>
      <c r="G1372" s="67">
        <v>1372</v>
      </c>
    </row>
    <row r="1373" spans="1:7" x14ac:dyDescent="0.25">
      <c r="A1373" s="62" t="s">
        <v>3141</v>
      </c>
      <c r="B1373" s="62">
        <v>1383</v>
      </c>
      <c r="C1373" s="62">
        <v>2369</v>
      </c>
      <c r="D1373" s="63" t="s">
        <v>1555</v>
      </c>
      <c r="E1373" s="64" t="s">
        <v>24</v>
      </c>
      <c r="F1373" s="64">
        <v>1385</v>
      </c>
      <c r="G1373" s="67">
        <v>1373</v>
      </c>
    </row>
    <row r="1374" spans="1:7" x14ac:dyDescent="0.25">
      <c r="A1374" s="62" t="s">
        <v>3142</v>
      </c>
      <c r="B1374" s="62">
        <v>1385</v>
      </c>
      <c r="C1374" s="62">
        <v>2370</v>
      </c>
      <c r="D1374" s="63" t="s">
        <v>1557</v>
      </c>
      <c r="E1374" s="64" t="s">
        <v>24</v>
      </c>
      <c r="F1374" s="64">
        <v>1379</v>
      </c>
      <c r="G1374" s="67">
        <v>1374</v>
      </c>
    </row>
    <row r="1375" spans="1:7" x14ac:dyDescent="0.25">
      <c r="A1375" s="62" t="s">
        <v>3143</v>
      </c>
      <c r="B1375" s="62">
        <v>1386</v>
      </c>
      <c r="C1375" s="62">
        <v>2371</v>
      </c>
      <c r="D1375" s="63" t="s">
        <v>1558</v>
      </c>
      <c r="E1375" s="64" t="s">
        <v>24</v>
      </c>
      <c r="F1375" s="64">
        <v>1380</v>
      </c>
      <c r="G1375" s="67">
        <v>1375</v>
      </c>
    </row>
    <row r="1376" spans="1:7" x14ac:dyDescent="0.25">
      <c r="A1376" s="62" t="s">
        <v>3144</v>
      </c>
      <c r="B1376" s="62">
        <v>1387</v>
      </c>
      <c r="C1376" s="62">
        <v>2372</v>
      </c>
      <c r="D1376" s="63" t="s">
        <v>1560</v>
      </c>
      <c r="E1376" s="64" t="s">
        <v>24</v>
      </c>
      <c r="F1376" s="64">
        <v>1381</v>
      </c>
      <c r="G1376" s="67">
        <v>1376</v>
      </c>
    </row>
    <row r="1377" spans="1:7" x14ac:dyDescent="0.25">
      <c r="A1377" s="62" t="s">
        <v>3145</v>
      </c>
      <c r="B1377" s="62">
        <v>1388</v>
      </c>
      <c r="C1377" s="62">
        <v>2373</v>
      </c>
      <c r="D1377" s="63" t="s">
        <v>1561</v>
      </c>
      <c r="E1377" s="64" t="s">
        <v>24</v>
      </c>
      <c r="F1377" s="64">
        <v>1382</v>
      </c>
      <c r="G1377" s="67">
        <v>1377</v>
      </c>
    </row>
    <row r="1378" spans="1:7" x14ac:dyDescent="0.25">
      <c r="A1378" s="62" t="s">
        <v>3146</v>
      </c>
      <c r="B1378" s="62">
        <v>1389</v>
      </c>
      <c r="C1378" s="62">
        <v>2374</v>
      </c>
      <c r="D1378" s="63" t="s">
        <v>1562</v>
      </c>
      <c r="E1378" s="64" t="s">
        <v>24</v>
      </c>
      <c r="F1378" s="64">
        <v>1383</v>
      </c>
      <c r="G1378" s="67">
        <v>1378</v>
      </c>
    </row>
    <row r="1379" spans="1:7" x14ac:dyDescent="0.25">
      <c r="A1379" s="62" t="s">
        <v>3147</v>
      </c>
      <c r="B1379" s="62">
        <v>1390</v>
      </c>
      <c r="C1379" s="62">
        <v>2375</v>
      </c>
      <c r="D1379" s="63" t="s">
        <v>1563</v>
      </c>
      <c r="E1379" s="64" t="s">
        <v>24</v>
      </c>
      <c r="F1379" s="64">
        <v>1384</v>
      </c>
      <c r="G1379" s="67">
        <v>1379</v>
      </c>
    </row>
    <row r="1380" spans="1:7" x14ac:dyDescent="0.25">
      <c r="A1380" s="62" t="s">
        <v>3148</v>
      </c>
      <c r="B1380" s="62">
        <v>1391</v>
      </c>
      <c r="C1380" s="62">
        <v>2376</v>
      </c>
      <c r="D1380" s="63" t="s">
        <v>1564</v>
      </c>
      <c r="E1380" s="64" t="s">
        <v>176</v>
      </c>
      <c r="F1380" s="64">
        <v>1385</v>
      </c>
      <c r="G1380" s="67">
        <v>1380</v>
      </c>
    </row>
    <row r="1381" spans="1:7" x14ac:dyDescent="0.25">
      <c r="A1381" s="62" t="s">
        <v>3149</v>
      </c>
      <c r="B1381" s="62">
        <v>1392</v>
      </c>
      <c r="C1381" s="62">
        <v>2377</v>
      </c>
      <c r="D1381" s="63" t="s">
        <v>1565</v>
      </c>
      <c r="E1381" s="64" t="s">
        <v>24</v>
      </c>
      <c r="F1381" s="64">
        <v>1386</v>
      </c>
      <c r="G1381" s="67">
        <v>1381</v>
      </c>
    </row>
    <row r="1382" spans="1:7" x14ac:dyDescent="0.25">
      <c r="A1382" s="62" t="s">
        <v>3150</v>
      </c>
      <c r="B1382" s="62">
        <v>1393</v>
      </c>
      <c r="C1382" s="62">
        <v>2378</v>
      </c>
      <c r="D1382" s="63" t="s">
        <v>1566</v>
      </c>
      <c r="E1382" s="64" t="s">
        <v>24</v>
      </c>
      <c r="F1382" s="64">
        <v>1387</v>
      </c>
      <c r="G1382" s="67">
        <v>1382</v>
      </c>
    </row>
    <row r="1383" spans="1:7" x14ac:dyDescent="0.25">
      <c r="A1383" s="62" t="s">
        <v>3151</v>
      </c>
      <c r="B1383" s="62">
        <v>1394</v>
      </c>
      <c r="C1383" s="62">
        <v>2379</v>
      </c>
      <c r="D1383" s="63" t="s">
        <v>1568</v>
      </c>
      <c r="E1383" s="64" t="s">
        <v>24</v>
      </c>
      <c r="F1383" s="64">
        <v>1388</v>
      </c>
      <c r="G1383" s="67">
        <v>1383</v>
      </c>
    </row>
    <row r="1384" spans="1:7" x14ac:dyDescent="0.25">
      <c r="A1384" s="62" t="s">
        <v>3152</v>
      </c>
      <c r="B1384" s="62">
        <v>1395</v>
      </c>
      <c r="C1384" s="62">
        <v>2380</v>
      </c>
      <c r="D1384" s="63" t="s">
        <v>1569</v>
      </c>
      <c r="E1384" s="64" t="s">
        <v>24</v>
      </c>
      <c r="F1384" s="64">
        <v>1389</v>
      </c>
      <c r="G1384" s="67">
        <v>1384</v>
      </c>
    </row>
    <row r="1385" spans="1:7" x14ac:dyDescent="0.25">
      <c r="A1385" s="62" t="s">
        <v>3153</v>
      </c>
      <c r="B1385" s="62">
        <v>1396</v>
      </c>
      <c r="C1385" s="62">
        <v>2381</v>
      </c>
      <c r="D1385" s="63" t="s">
        <v>1570</v>
      </c>
      <c r="E1385" s="64" t="s">
        <v>24</v>
      </c>
      <c r="F1385" s="64">
        <v>1390</v>
      </c>
      <c r="G1385" s="67">
        <v>1385</v>
      </c>
    </row>
    <row r="1386" spans="1:7" x14ac:dyDescent="0.25">
      <c r="A1386" s="62" t="s">
        <v>3154</v>
      </c>
      <c r="B1386" s="62">
        <v>1397</v>
      </c>
      <c r="C1386" s="62">
        <v>2382</v>
      </c>
      <c r="D1386" s="63" t="s">
        <v>1571</v>
      </c>
      <c r="E1386" s="64" t="s">
        <v>24</v>
      </c>
      <c r="F1386" s="64">
        <v>1391</v>
      </c>
      <c r="G1386" s="67">
        <v>1386</v>
      </c>
    </row>
    <row r="1387" spans="1:7" x14ac:dyDescent="0.25">
      <c r="A1387" s="62" t="s">
        <v>3155</v>
      </c>
      <c r="B1387" s="62">
        <v>1398</v>
      </c>
      <c r="C1387" s="62">
        <v>2383</v>
      </c>
      <c r="D1387" s="63" t="s">
        <v>1572</v>
      </c>
      <c r="E1387" s="64" t="s">
        <v>24</v>
      </c>
      <c r="F1387" s="64">
        <v>1392</v>
      </c>
      <c r="G1387" s="67">
        <v>1387</v>
      </c>
    </row>
    <row r="1388" spans="1:7" x14ac:dyDescent="0.25">
      <c r="A1388" s="62" t="s">
        <v>3156</v>
      </c>
      <c r="B1388" s="62">
        <v>1399</v>
      </c>
      <c r="C1388" s="62">
        <v>2384</v>
      </c>
      <c r="D1388" s="63" t="s">
        <v>1574</v>
      </c>
      <c r="E1388" s="64" t="s">
        <v>24</v>
      </c>
      <c r="F1388" s="64">
        <v>1393</v>
      </c>
      <c r="G1388" s="67">
        <v>1388</v>
      </c>
    </row>
    <row r="1389" spans="1:7" x14ac:dyDescent="0.25">
      <c r="A1389" s="62" t="s">
        <v>3157</v>
      </c>
      <c r="B1389" s="62">
        <v>1400</v>
      </c>
      <c r="C1389" s="62">
        <v>2385</v>
      </c>
      <c r="D1389" s="63" t="s">
        <v>1575</v>
      </c>
      <c r="E1389" s="64" t="s">
        <v>24</v>
      </c>
      <c r="F1389" s="64">
        <v>1394</v>
      </c>
      <c r="G1389" s="67">
        <v>1389</v>
      </c>
    </row>
    <row r="1390" spans="1:7" x14ac:dyDescent="0.25">
      <c r="A1390" s="62" t="s">
        <v>3158</v>
      </c>
      <c r="B1390" s="62">
        <v>1401</v>
      </c>
      <c r="C1390" s="62">
        <v>2386</v>
      </c>
      <c r="D1390" s="63" t="s">
        <v>1576</v>
      </c>
      <c r="E1390" s="64" t="s">
        <v>24</v>
      </c>
      <c r="F1390" s="64">
        <v>1395</v>
      </c>
      <c r="G1390" s="67">
        <v>1390</v>
      </c>
    </row>
    <row r="1391" spans="1:7" x14ac:dyDescent="0.25">
      <c r="A1391" s="62" t="s">
        <v>3159</v>
      </c>
      <c r="B1391" s="62">
        <v>1402</v>
      </c>
      <c r="C1391" s="62">
        <v>2387</v>
      </c>
      <c r="D1391" s="63" t="s">
        <v>1577</v>
      </c>
      <c r="E1391" s="64" t="s">
        <v>24</v>
      </c>
      <c r="F1391" s="64">
        <v>1396</v>
      </c>
      <c r="G1391" s="67">
        <v>1391</v>
      </c>
    </row>
    <row r="1392" spans="1:7" x14ac:dyDescent="0.25">
      <c r="A1392" s="62" t="s">
        <v>3160</v>
      </c>
      <c r="B1392" s="62">
        <v>1403</v>
      </c>
      <c r="C1392" s="62">
        <v>2388</v>
      </c>
      <c r="D1392" s="63" t="s">
        <v>1578</v>
      </c>
      <c r="E1392" s="64" t="s">
        <v>24</v>
      </c>
      <c r="F1392" s="64">
        <v>1397</v>
      </c>
      <c r="G1392" s="67">
        <v>1392</v>
      </c>
    </row>
    <row r="1393" spans="1:7" x14ac:dyDescent="0.25">
      <c r="A1393" s="62" t="s">
        <v>3161</v>
      </c>
      <c r="B1393" s="62">
        <v>1404</v>
      </c>
      <c r="C1393" s="62">
        <v>2389</v>
      </c>
      <c r="D1393" s="63" t="s">
        <v>1579</v>
      </c>
      <c r="E1393" s="64" t="s">
        <v>24</v>
      </c>
      <c r="F1393" s="64">
        <v>1398</v>
      </c>
      <c r="G1393" s="67">
        <v>1393</v>
      </c>
    </row>
    <row r="1394" spans="1:7" x14ac:dyDescent="0.25">
      <c r="A1394" s="62" t="s">
        <v>3162</v>
      </c>
      <c r="B1394" s="62">
        <v>1405</v>
      </c>
      <c r="C1394" s="62">
        <v>2390</v>
      </c>
      <c r="D1394" s="63" t="s">
        <v>1580</v>
      </c>
      <c r="E1394" s="64" t="s">
        <v>176</v>
      </c>
      <c r="F1394" s="64">
        <v>1399</v>
      </c>
      <c r="G1394" s="67">
        <v>1394</v>
      </c>
    </row>
    <row r="1395" spans="1:7" x14ac:dyDescent="0.25">
      <c r="A1395" s="62" t="s">
        <v>3163</v>
      </c>
      <c r="B1395" s="62">
        <v>1406</v>
      </c>
      <c r="C1395" s="62">
        <v>2391</v>
      </c>
      <c r="D1395" s="63" t="s">
        <v>1581</v>
      </c>
      <c r="E1395" s="64" t="s">
        <v>24</v>
      </c>
      <c r="F1395" s="64">
        <v>1400</v>
      </c>
      <c r="G1395" s="67">
        <v>1395</v>
      </c>
    </row>
    <row r="1396" spans="1:7" x14ac:dyDescent="0.25">
      <c r="A1396" s="62" t="s">
        <v>3164</v>
      </c>
      <c r="B1396" s="62">
        <v>1407</v>
      </c>
      <c r="C1396" s="62">
        <v>2392</v>
      </c>
      <c r="D1396" s="63" t="s">
        <v>1582</v>
      </c>
      <c r="E1396" s="64" t="s">
        <v>24</v>
      </c>
      <c r="F1396" s="64">
        <v>1401</v>
      </c>
      <c r="G1396" s="67">
        <v>1396</v>
      </c>
    </row>
    <row r="1397" spans="1:7" x14ac:dyDescent="0.25">
      <c r="A1397" s="62" t="s">
        <v>3165</v>
      </c>
      <c r="B1397" s="62">
        <v>1408</v>
      </c>
      <c r="C1397" s="62">
        <v>2393</v>
      </c>
      <c r="D1397" s="63" t="s">
        <v>1583</v>
      </c>
      <c r="E1397" s="64" t="s">
        <v>24</v>
      </c>
      <c r="F1397" s="64">
        <v>1402</v>
      </c>
      <c r="G1397" s="67">
        <v>1397</v>
      </c>
    </row>
    <row r="1398" spans="1:7" x14ac:dyDescent="0.25">
      <c r="A1398" s="62" t="s">
        <v>3166</v>
      </c>
      <c r="B1398" s="62">
        <v>1410</v>
      </c>
      <c r="C1398" s="62">
        <v>2394</v>
      </c>
      <c r="D1398" s="63" t="s">
        <v>1584</v>
      </c>
      <c r="E1398" s="64" t="s">
        <v>24</v>
      </c>
      <c r="F1398" s="64">
        <v>1403</v>
      </c>
      <c r="G1398" s="67">
        <v>1398</v>
      </c>
    </row>
    <row r="1399" spans="1:7" x14ac:dyDescent="0.25">
      <c r="A1399" s="62" t="s">
        <v>3167</v>
      </c>
      <c r="B1399" s="62">
        <v>1411</v>
      </c>
      <c r="C1399" s="62">
        <v>2395</v>
      </c>
      <c r="D1399" s="63" t="s">
        <v>1585</v>
      </c>
      <c r="E1399" s="64" t="s">
        <v>24</v>
      </c>
      <c r="F1399" s="64">
        <v>1404</v>
      </c>
      <c r="G1399" s="67">
        <v>1399</v>
      </c>
    </row>
    <row r="1400" spans="1:7" x14ac:dyDescent="0.25">
      <c r="A1400" s="62" t="s">
        <v>3168</v>
      </c>
      <c r="B1400" s="62">
        <v>1412</v>
      </c>
      <c r="C1400" s="62">
        <v>2396</v>
      </c>
      <c r="D1400" s="63" t="s">
        <v>1587</v>
      </c>
      <c r="E1400" s="64" t="s">
        <v>24</v>
      </c>
      <c r="F1400" s="64">
        <v>1405</v>
      </c>
      <c r="G1400" s="67">
        <v>1400</v>
      </c>
    </row>
    <row r="1401" spans="1:7" x14ac:dyDescent="0.25">
      <c r="A1401" s="62" t="s">
        <v>3169</v>
      </c>
      <c r="B1401" s="62">
        <v>1413</v>
      </c>
      <c r="C1401" s="62">
        <v>2397</v>
      </c>
      <c r="D1401" s="63" t="s">
        <v>1588</v>
      </c>
      <c r="E1401" s="64" t="s">
        <v>24</v>
      </c>
      <c r="F1401" s="64">
        <v>1406</v>
      </c>
      <c r="G1401" s="67">
        <v>1401</v>
      </c>
    </row>
    <row r="1402" spans="1:7" x14ac:dyDescent="0.25">
      <c r="A1402" s="62" t="s">
        <v>3170</v>
      </c>
      <c r="B1402" s="62">
        <v>1414</v>
      </c>
      <c r="C1402" s="62">
        <v>2398</v>
      </c>
      <c r="D1402" s="63" t="s">
        <v>1589</v>
      </c>
      <c r="E1402" s="64" t="s">
        <v>24</v>
      </c>
      <c r="F1402" s="64">
        <v>1405</v>
      </c>
      <c r="G1402" s="67">
        <v>1402</v>
      </c>
    </row>
    <row r="1403" spans="1:7" x14ac:dyDescent="0.25">
      <c r="A1403" s="62" t="s">
        <v>3171</v>
      </c>
      <c r="B1403" s="62">
        <v>1415</v>
      </c>
      <c r="C1403" s="62">
        <v>2399</v>
      </c>
      <c r="D1403" s="63" t="s">
        <v>1591</v>
      </c>
      <c r="E1403" s="64" t="s">
        <v>24</v>
      </c>
      <c r="F1403" s="64">
        <v>1408</v>
      </c>
      <c r="G1403" s="67">
        <v>1403</v>
      </c>
    </row>
    <row r="1404" spans="1:7" x14ac:dyDescent="0.25">
      <c r="A1404" s="62" t="s">
        <v>3172</v>
      </c>
      <c r="B1404" s="62">
        <v>1416</v>
      </c>
      <c r="C1404" s="62">
        <v>2400</v>
      </c>
      <c r="D1404" s="63" t="s">
        <v>1592</v>
      </c>
      <c r="E1404" s="64" t="s">
        <v>24</v>
      </c>
      <c r="F1404" s="64">
        <v>1409</v>
      </c>
      <c r="G1404" s="67">
        <v>1404</v>
      </c>
    </row>
    <row r="1405" spans="1:7" x14ac:dyDescent="0.25">
      <c r="A1405" s="62" t="s">
        <v>3173</v>
      </c>
      <c r="B1405" s="62">
        <v>1417</v>
      </c>
      <c r="C1405" s="62">
        <v>2401</v>
      </c>
      <c r="D1405" s="63" t="s">
        <v>1593</v>
      </c>
      <c r="E1405" s="64" t="s">
        <v>24</v>
      </c>
      <c r="F1405" s="64">
        <v>1410</v>
      </c>
      <c r="G1405" s="67">
        <v>1405</v>
      </c>
    </row>
    <row r="1406" spans="1:7" x14ac:dyDescent="0.25">
      <c r="A1406" s="62" t="s">
        <v>3174</v>
      </c>
      <c r="B1406" s="62">
        <v>1418</v>
      </c>
      <c r="C1406" s="62">
        <v>2402</v>
      </c>
      <c r="D1406" s="63" t="s">
        <v>1594</v>
      </c>
      <c r="E1406" s="64" t="s">
        <v>24</v>
      </c>
      <c r="F1406" s="64">
        <v>1411</v>
      </c>
      <c r="G1406" s="67">
        <v>1406</v>
      </c>
    </row>
    <row r="1407" spans="1:7" x14ac:dyDescent="0.25">
      <c r="A1407" s="62" t="s">
        <v>3175</v>
      </c>
      <c r="B1407" s="62">
        <v>1419</v>
      </c>
      <c r="C1407" s="62">
        <v>2403</v>
      </c>
      <c r="D1407" s="63" t="s">
        <v>1595</v>
      </c>
      <c r="E1407" s="64" t="s">
        <v>24</v>
      </c>
      <c r="F1407" s="64">
        <v>1412</v>
      </c>
      <c r="G1407" s="67">
        <v>1407</v>
      </c>
    </row>
    <row r="1408" spans="1:7" x14ac:dyDescent="0.25">
      <c r="A1408" s="62" t="s">
        <v>3176</v>
      </c>
      <c r="B1408" s="62">
        <v>1420</v>
      </c>
      <c r="C1408" s="62">
        <v>2404</v>
      </c>
      <c r="D1408" s="63" t="s">
        <v>1596</v>
      </c>
      <c r="E1408" s="64" t="s">
        <v>93</v>
      </c>
      <c r="F1408" s="64">
        <v>1413</v>
      </c>
      <c r="G1408" s="67">
        <v>1408</v>
      </c>
    </row>
    <row r="1409" spans="1:7" x14ac:dyDescent="0.25">
      <c r="A1409" s="62" t="s">
        <v>3177</v>
      </c>
      <c r="B1409" s="62">
        <v>1421</v>
      </c>
      <c r="C1409" s="62">
        <v>2405</v>
      </c>
      <c r="D1409" s="63" t="s">
        <v>1598</v>
      </c>
      <c r="E1409" s="64" t="s">
        <v>24</v>
      </c>
      <c r="F1409" s="64">
        <v>1414</v>
      </c>
      <c r="G1409" s="67">
        <v>1409</v>
      </c>
    </row>
    <row r="1410" spans="1:7" x14ac:dyDescent="0.25">
      <c r="A1410" s="62" t="s">
        <v>3178</v>
      </c>
      <c r="B1410" s="62">
        <v>1422</v>
      </c>
      <c r="C1410" s="62">
        <v>2406</v>
      </c>
      <c r="D1410" s="63" t="s">
        <v>1600</v>
      </c>
      <c r="E1410" s="64" t="s">
        <v>24</v>
      </c>
      <c r="F1410" s="64">
        <v>1415</v>
      </c>
      <c r="G1410" s="67">
        <v>1410</v>
      </c>
    </row>
    <row r="1411" spans="1:7" x14ac:dyDescent="0.25">
      <c r="A1411" s="62" t="s">
        <v>3179</v>
      </c>
      <c r="B1411" s="62">
        <v>1423</v>
      </c>
      <c r="C1411" s="62">
        <v>2407</v>
      </c>
      <c r="D1411" s="63" t="s">
        <v>1601</v>
      </c>
      <c r="E1411" s="64" t="s">
        <v>24</v>
      </c>
      <c r="F1411" s="64">
        <v>1416</v>
      </c>
      <c r="G1411" s="67">
        <v>1411</v>
      </c>
    </row>
    <row r="1412" spans="1:7" x14ac:dyDescent="0.25">
      <c r="A1412" s="62" t="s">
        <v>3180</v>
      </c>
      <c r="B1412" s="62">
        <v>1424</v>
      </c>
      <c r="C1412" s="62">
        <v>2408</v>
      </c>
      <c r="D1412" s="63" t="s">
        <v>1602</v>
      </c>
      <c r="E1412" s="64" t="s">
        <v>93</v>
      </c>
      <c r="F1412" s="64">
        <v>1417</v>
      </c>
      <c r="G1412" s="67">
        <v>1412</v>
      </c>
    </row>
    <row r="1413" spans="1:7" x14ac:dyDescent="0.25">
      <c r="A1413" s="62" t="s">
        <v>3181</v>
      </c>
      <c r="B1413" s="62">
        <v>1425</v>
      </c>
      <c r="C1413" s="62">
        <v>2409</v>
      </c>
      <c r="D1413" s="63" t="s">
        <v>1603</v>
      </c>
      <c r="E1413" s="64" t="s">
        <v>24</v>
      </c>
      <c r="F1413" s="64">
        <v>1418</v>
      </c>
      <c r="G1413" s="67">
        <v>1413</v>
      </c>
    </row>
    <row r="1414" spans="1:7" x14ac:dyDescent="0.25">
      <c r="A1414" s="62" t="s">
        <v>3182</v>
      </c>
      <c r="B1414" s="62">
        <v>1426</v>
      </c>
      <c r="C1414" s="62">
        <v>2410</v>
      </c>
      <c r="D1414" s="63" t="s">
        <v>1604</v>
      </c>
      <c r="E1414" s="64" t="s">
        <v>24</v>
      </c>
      <c r="F1414" s="64">
        <v>1419</v>
      </c>
      <c r="G1414" s="67">
        <v>1414</v>
      </c>
    </row>
    <row r="1415" spans="1:7" x14ac:dyDescent="0.25">
      <c r="A1415" s="62" t="s">
        <v>3183</v>
      </c>
      <c r="B1415" s="62">
        <v>1427</v>
      </c>
      <c r="C1415" s="62">
        <v>2411</v>
      </c>
      <c r="D1415" s="63" t="s">
        <v>1606</v>
      </c>
      <c r="E1415" s="64" t="s">
        <v>24</v>
      </c>
      <c r="F1415" s="64">
        <v>1420</v>
      </c>
      <c r="G1415" s="67">
        <v>1415</v>
      </c>
    </row>
    <row r="1416" spans="1:7" x14ac:dyDescent="0.25">
      <c r="A1416" s="62" t="s">
        <v>3184</v>
      </c>
      <c r="B1416" s="62">
        <v>1428</v>
      </c>
      <c r="C1416" s="62">
        <v>2412</v>
      </c>
      <c r="D1416" s="63" t="s">
        <v>1607</v>
      </c>
      <c r="E1416" s="64" t="s">
        <v>24</v>
      </c>
      <c r="F1416" s="64">
        <v>1421</v>
      </c>
      <c r="G1416" s="67">
        <v>1416</v>
      </c>
    </row>
    <row r="1417" spans="1:7" x14ac:dyDescent="0.25">
      <c r="A1417" s="62" t="s">
        <v>3185</v>
      </c>
      <c r="B1417" s="62">
        <v>1429</v>
      </c>
      <c r="C1417" s="62">
        <v>2413</v>
      </c>
      <c r="D1417" s="63" t="s">
        <v>1608</v>
      </c>
      <c r="E1417" s="64" t="s">
        <v>24</v>
      </c>
      <c r="F1417" s="64">
        <v>1422</v>
      </c>
      <c r="G1417" s="67">
        <v>1417</v>
      </c>
    </row>
    <row r="1418" spans="1:7" x14ac:dyDescent="0.25">
      <c r="A1418" s="62" t="s">
        <v>3186</v>
      </c>
      <c r="B1418" s="62">
        <v>1430</v>
      </c>
      <c r="C1418" s="62">
        <v>2414</v>
      </c>
      <c r="D1418" s="63" t="s">
        <v>1609</v>
      </c>
      <c r="E1418" s="64" t="s">
        <v>24</v>
      </c>
      <c r="F1418" s="64">
        <v>1423</v>
      </c>
      <c r="G1418" s="67">
        <v>1418</v>
      </c>
    </row>
    <row r="1419" spans="1:7" x14ac:dyDescent="0.25">
      <c r="A1419" s="62" t="s">
        <v>3187</v>
      </c>
      <c r="B1419" s="62">
        <v>1431</v>
      </c>
      <c r="C1419" s="62">
        <v>2415</v>
      </c>
      <c r="D1419" s="63" t="s">
        <v>1610</v>
      </c>
      <c r="E1419" s="64" t="s">
        <v>24</v>
      </c>
      <c r="F1419" s="64">
        <v>1424</v>
      </c>
      <c r="G1419" s="67">
        <v>1419</v>
      </c>
    </row>
    <row r="1420" spans="1:7" x14ac:dyDescent="0.25">
      <c r="A1420" s="62" t="s">
        <v>3188</v>
      </c>
      <c r="B1420" s="62">
        <v>1432</v>
      </c>
      <c r="C1420" s="62">
        <v>2416</v>
      </c>
      <c r="D1420" s="63" t="s">
        <v>1611</v>
      </c>
      <c r="E1420" s="64" t="s">
        <v>24</v>
      </c>
      <c r="F1420" s="64">
        <v>1425</v>
      </c>
      <c r="G1420" s="67">
        <v>1420</v>
      </c>
    </row>
    <row r="1421" spans="1:7" x14ac:dyDescent="0.25">
      <c r="A1421" s="62" t="s">
        <v>3189</v>
      </c>
      <c r="B1421" s="62">
        <v>1433</v>
      </c>
      <c r="C1421" s="62">
        <v>2417</v>
      </c>
      <c r="D1421" s="63" t="s">
        <v>1612</v>
      </c>
      <c r="E1421" s="64" t="s">
        <v>24</v>
      </c>
      <c r="F1421" s="64">
        <v>1426</v>
      </c>
      <c r="G1421" s="67">
        <v>1421</v>
      </c>
    </row>
    <row r="1422" spans="1:7" x14ac:dyDescent="0.25">
      <c r="A1422" s="62" t="s">
        <v>3190</v>
      </c>
      <c r="B1422" s="62">
        <v>1434</v>
      </c>
      <c r="C1422" s="62">
        <v>2418</v>
      </c>
      <c r="D1422" s="63" t="s">
        <v>1613</v>
      </c>
      <c r="E1422" s="64" t="s">
        <v>24</v>
      </c>
      <c r="F1422" s="64">
        <v>1427</v>
      </c>
      <c r="G1422" s="67">
        <v>1422</v>
      </c>
    </row>
    <row r="1423" spans="1:7" x14ac:dyDescent="0.25">
      <c r="A1423" s="62" t="s">
        <v>3191</v>
      </c>
      <c r="B1423" s="62">
        <v>1435</v>
      </c>
      <c r="C1423" s="62">
        <v>2419</v>
      </c>
      <c r="D1423" s="63" t="s">
        <v>1614</v>
      </c>
      <c r="E1423" s="64" t="s">
        <v>24</v>
      </c>
      <c r="F1423" s="64">
        <v>1428</v>
      </c>
      <c r="G1423" s="67">
        <v>1423</v>
      </c>
    </row>
    <row r="1424" spans="1:7" x14ac:dyDescent="0.25">
      <c r="A1424" s="62" t="s">
        <v>3192</v>
      </c>
      <c r="B1424" s="62">
        <v>1436</v>
      </c>
      <c r="C1424" s="62">
        <v>2420</v>
      </c>
      <c r="D1424" s="63" t="s">
        <v>1615</v>
      </c>
      <c r="E1424" s="64" t="s">
        <v>24</v>
      </c>
      <c r="F1424" s="64">
        <v>1429</v>
      </c>
      <c r="G1424" s="67">
        <v>1424</v>
      </c>
    </row>
    <row r="1425" spans="1:7" x14ac:dyDescent="0.25">
      <c r="A1425" s="62" t="s">
        <v>3193</v>
      </c>
      <c r="B1425" s="62">
        <v>1437</v>
      </c>
      <c r="C1425" s="62">
        <v>2421</v>
      </c>
      <c r="D1425" s="63" t="s">
        <v>1616</v>
      </c>
      <c r="E1425" s="64" t="s">
        <v>24</v>
      </c>
      <c r="F1425" s="64">
        <v>1430</v>
      </c>
      <c r="G1425" s="67">
        <v>1425</v>
      </c>
    </row>
    <row r="1426" spans="1:7" x14ac:dyDescent="0.25">
      <c r="A1426" s="62" t="s">
        <v>3194</v>
      </c>
      <c r="B1426" s="62">
        <v>1438</v>
      </c>
      <c r="C1426" s="62">
        <v>2422</v>
      </c>
      <c r="D1426" s="63" t="s">
        <v>1617</v>
      </c>
      <c r="E1426" s="64" t="s">
        <v>24</v>
      </c>
      <c r="F1426" s="64">
        <v>1431</v>
      </c>
      <c r="G1426" s="67">
        <v>1426</v>
      </c>
    </row>
    <row r="1427" spans="1:7" x14ac:dyDescent="0.25">
      <c r="A1427" s="62" t="s">
        <v>3195</v>
      </c>
      <c r="B1427" s="62">
        <v>1439</v>
      </c>
      <c r="C1427" s="62">
        <v>2423</v>
      </c>
      <c r="D1427" s="63" t="s">
        <v>1618</v>
      </c>
      <c r="E1427" s="64" t="s">
        <v>24</v>
      </c>
      <c r="F1427" s="64">
        <v>1432</v>
      </c>
      <c r="G1427" s="67">
        <v>1427</v>
      </c>
    </row>
    <row r="1428" spans="1:7" x14ac:dyDescent="0.25">
      <c r="A1428" s="62" t="s">
        <v>3196</v>
      </c>
      <c r="B1428" s="62">
        <v>1440</v>
      </c>
      <c r="C1428" s="62">
        <v>2424</v>
      </c>
      <c r="D1428" s="63" t="s">
        <v>1619</v>
      </c>
      <c r="E1428" s="64" t="s">
        <v>24</v>
      </c>
      <c r="F1428" s="64">
        <v>1433</v>
      </c>
      <c r="G1428" s="67">
        <v>1428</v>
      </c>
    </row>
    <row r="1429" spans="1:7" x14ac:dyDescent="0.25">
      <c r="A1429" s="62" t="s">
        <v>3197</v>
      </c>
      <c r="B1429" s="62">
        <v>1441</v>
      </c>
      <c r="C1429" s="62">
        <v>2425</v>
      </c>
      <c r="D1429" s="63" t="s">
        <v>1620</v>
      </c>
      <c r="E1429" s="64" t="s">
        <v>24</v>
      </c>
      <c r="F1429" s="64">
        <v>1434</v>
      </c>
      <c r="G1429" s="67">
        <v>1429</v>
      </c>
    </row>
    <row r="1430" spans="1:7" x14ac:dyDescent="0.25">
      <c r="A1430" s="62" t="s">
        <v>3198</v>
      </c>
      <c r="B1430" s="62">
        <v>1442</v>
      </c>
      <c r="C1430" s="62">
        <v>2426</v>
      </c>
      <c r="D1430" s="63" t="s">
        <v>1621</v>
      </c>
      <c r="E1430" s="64" t="s">
        <v>24</v>
      </c>
      <c r="F1430" s="64">
        <v>1435</v>
      </c>
      <c r="G1430" s="67">
        <v>1430</v>
      </c>
    </row>
    <row r="1431" spans="1:7" x14ac:dyDescent="0.25">
      <c r="A1431" s="62" t="s">
        <v>3199</v>
      </c>
      <c r="B1431" s="62">
        <v>1443</v>
      </c>
      <c r="C1431" s="62">
        <v>2427</v>
      </c>
      <c r="D1431" s="63" t="s">
        <v>1622</v>
      </c>
      <c r="E1431" s="64" t="s">
        <v>24</v>
      </c>
      <c r="F1431" s="64">
        <v>1436</v>
      </c>
      <c r="G1431" s="67">
        <v>1431</v>
      </c>
    </row>
    <row r="1432" spans="1:7" x14ac:dyDescent="0.25">
      <c r="A1432" s="62" t="s">
        <v>3200</v>
      </c>
      <c r="B1432" s="62">
        <v>1444</v>
      </c>
      <c r="C1432" s="62">
        <v>2428</v>
      </c>
      <c r="D1432" s="63" t="s">
        <v>1623</v>
      </c>
      <c r="E1432" s="64" t="s">
        <v>24</v>
      </c>
      <c r="F1432" s="64">
        <v>1437</v>
      </c>
      <c r="G1432" s="67">
        <v>1432</v>
      </c>
    </row>
    <row r="1433" spans="1:7" x14ac:dyDescent="0.25">
      <c r="A1433" s="62" t="s">
        <v>3201</v>
      </c>
      <c r="B1433" s="62">
        <v>1445</v>
      </c>
      <c r="C1433" s="62">
        <v>2429</v>
      </c>
      <c r="D1433" s="63" t="s">
        <v>1624</v>
      </c>
      <c r="E1433" s="64" t="s">
        <v>24</v>
      </c>
      <c r="F1433" s="64">
        <v>1438</v>
      </c>
      <c r="G1433" s="67">
        <v>1433</v>
      </c>
    </row>
    <row r="1434" spans="1:7" x14ac:dyDescent="0.25">
      <c r="A1434" s="62" t="s">
        <v>3202</v>
      </c>
      <c r="B1434" s="62">
        <v>1446</v>
      </c>
      <c r="C1434" s="62">
        <v>2430</v>
      </c>
      <c r="D1434" s="63" t="s">
        <v>1626</v>
      </c>
      <c r="E1434" s="64" t="s">
        <v>24</v>
      </c>
      <c r="F1434" s="64">
        <v>1439</v>
      </c>
      <c r="G1434" s="67">
        <v>1434</v>
      </c>
    </row>
    <row r="1435" spans="1:7" x14ac:dyDescent="0.25">
      <c r="A1435" s="62" t="s">
        <v>3203</v>
      </c>
      <c r="B1435" s="62">
        <v>1447</v>
      </c>
      <c r="C1435" s="62">
        <v>2431</v>
      </c>
      <c r="D1435" s="63" t="s">
        <v>1627</v>
      </c>
      <c r="E1435" s="64" t="s">
        <v>24</v>
      </c>
      <c r="F1435" s="64">
        <v>1440</v>
      </c>
      <c r="G1435" s="67">
        <v>1435</v>
      </c>
    </row>
    <row r="1436" spans="1:7" x14ac:dyDescent="0.25">
      <c r="A1436" s="62" t="s">
        <v>3204</v>
      </c>
      <c r="B1436" s="62">
        <v>1448</v>
      </c>
      <c r="C1436" s="62">
        <v>2432</v>
      </c>
      <c r="D1436" s="63" t="s">
        <v>1628</v>
      </c>
      <c r="E1436" s="64" t="s">
        <v>24</v>
      </c>
      <c r="F1436" s="64">
        <v>1441</v>
      </c>
      <c r="G1436" s="67">
        <v>1436</v>
      </c>
    </row>
    <row r="1437" spans="1:7" x14ac:dyDescent="0.25">
      <c r="A1437" s="62" t="s">
        <v>3205</v>
      </c>
      <c r="B1437" s="62">
        <v>1449</v>
      </c>
      <c r="C1437" s="62">
        <v>2433</v>
      </c>
      <c r="D1437" s="63" t="s">
        <v>1629</v>
      </c>
      <c r="E1437" s="64" t="s">
        <v>24</v>
      </c>
      <c r="F1437" s="64">
        <v>1442</v>
      </c>
      <c r="G1437" s="67">
        <v>1437</v>
      </c>
    </row>
    <row r="1438" spans="1:7" x14ac:dyDescent="0.25">
      <c r="A1438" s="62" t="s">
        <v>3206</v>
      </c>
      <c r="B1438" s="62">
        <v>1450</v>
      </c>
      <c r="C1438" s="62">
        <v>2434</v>
      </c>
      <c r="D1438" s="63" t="s">
        <v>1630</v>
      </c>
      <c r="E1438" s="64" t="s">
        <v>24</v>
      </c>
      <c r="F1438" s="64">
        <v>1443</v>
      </c>
      <c r="G1438" s="67">
        <v>1438</v>
      </c>
    </row>
    <row r="1439" spans="1:7" x14ac:dyDescent="0.25">
      <c r="A1439" s="62" t="s">
        <v>3207</v>
      </c>
      <c r="B1439" s="62">
        <v>1451</v>
      </c>
      <c r="C1439" s="62">
        <v>2435</v>
      </c>
      <c r="D1439" s="63" t="s">
        <v>1631</v>
      </c>
      <c r="E1439" s="64" t="s">
        <v>24</v>
      </c>
      <c r="F1439" s="64">
        <v>1444</v>
      </c>
      <c r="G1439" s="67">
        <v>1439</v>
      </c>
    </row>
    <row r="1440" spans="1:7" x14ac:dyDescent="0.25">
      <c r="A1440" s="62" t="s">
        <v>3208</v>
      </c>
      <c r="B1440" s="62">
        <v>1452</v>
      </c>
      <c r="C1440" s="62">
        <v>2436</v>
      </c>
      <c r="D1440" s="63" t="s">
        <v>1632</v>
      </c>
      <c r="E1440" s="64" t="s">
        <v>24</v>
      </c>
      <c r="F1440" s="64">
        <v>1445</v>
      </c>
      <c r="G1440" s="67">
        <v>1440</v>
      </c>
    </row>
    <row r="1441" spans="1:7" x14ac:dyDescent="0.25">
      <c r="A1441" s="62" t="s">
        <v>3209</v>
      </c>
      <c r="B1441" s="62">
        <v>1453</v>
      </c>
      <c r="C1441" s="62">
        <v>2437</v>
      </c>
      <c r="D1441" s="63" t="s">
        <v>1633</v>
      </c>
      <c r="E1441" s="64" t="s">
        <v>24</v>
      </c>
      <c r="F1441" s="64">
        <v>1446</v>
      </c>
      <c r="G1441" s="67">
        <v>1441</v>
      </c>
    </row>
    <row r="1442" spans="1:7" x14ac:dyDescent="0.25">
      <c r="A1442" s="62" t="s">
        <v>3210</v>
      </c>
      <c r="B1442" s="62">
        <v>1454</v>
      </c>
      <c r="C1442" s="62">
        <v>2438</v>
      </c>
      <c r="D1442" s="63" t="s">
        <v>1634</v>
      </c>
      <c r="E1442" s="64" t="s">
        <v>24</v>
      </c>
      <c r="F1442" s="64">
        <v>1447</v>
      </c>
      <c r="G1442" s="67">
        <v>1442</v>
      </c>
    </row>
    <row r="1443" spans="1:7" x14ac:dyDescent="0.25">
      <c r="A1443" s="62" t="s">
        <v>3211</v>
      </c>
      <c r="B1443" s="62">
        <v>1455</v>
      </c>
      <c r="C1443" s="62">
        <v>2439</v>
      </c>
      <c r="D1443" s="63" t="s">
        <v>1635</v>
      </c>
      <c r="E1443" s="64" t="s">
        <v>24</v>
      </c>
      <c r="F1443" s="64">
        <v>1448</v>
      </c>
      <c r="G1443" s="67">
        <v>1443</v>
      </c>
    </row>
    <row r="1444" spans="1:7" x14ac:dyDescent="0.25">
      <c r="A1444" s="62" t="s">
        <v>3212</v>
      </c>
      <c r="B1444" s="62">
        <v>1456</v>
      </c>
      <c r="C1444" s="62">
        <v>2440</v>
      </c>
      <c r="D1444" s="63" t="s">
        <v>1636</v>
      </c>
      <c r="E1444" s="64" t="s">
        <v>24</v>
      </c>
      <c r="F1444" s="64">
        <v>1449</v>
      </c>
      <c r="G1444" s="67">
        <v>1444</v>
      </c>
    </row>
    <row r="1445" spans="1:7" x14ac:dyDescent="0.25">
      <c r="A1445" s="62" t="s">
        <v>3213</v>
      </c>
      <c r="B1445" s="62">
        <v>1457</v>
      </c>
      <c r="C1445" s="62">
        <v>2441</v>
      </c>
      <c r="D1445" s="63" t="s">
        <v>1637</v>
      </c>
      <c r="E1445" s="64" t="s">
        <v>24</v>
      </c>
      <c r="F1445" s="64">
        <v>1450</v>
      </c>
      <c r="G1445" s="67">
        <v>1445</v>
      </c>
    </row>
    <row r="1446" spans="1:7" x14ac:dyDescent="0.25">
      <c r="A1446" s="62" t="s">
        <v>3214</v>
      </c>
      <c r="B1446" s="62">
        <v>1458</v>
      </c>
      <c r="C1446" s="62">
        <v>2442</v>
      </c>
      <c r="D1446" s="63" t="s">
        <v>1638</v>
      </c>
      <c r="E1446" s="64" t="s">
        <v>24</v>
      </c>
      <c r="F1446" s="64">
        <v>1451</v>
      </c>
      <c r="G1446" s="67">
        <v>1446</v>
      </c>
    </row>
    <row r="1447" spans="1:7" x14ac:dyDescent="0.25">
      <c r="A1447" s="62" t="s">
        <v>3215</v>
      </c>
      <c r="B1447" s="62">
        <v>1459</v>
      </c>
      <c r="C1447" s="62">
        <v>2443</v>
      </c>
      <c r="D1447" s="63" t="s">
        <v>1640</v>
      </c>
      <c r="E1447" s="64" t="s">
        <v>24</v>
      </c>
      <c r="F1447" s="64">
        <v>1452</v>
      </c>
      <c r="G1447" s="67">
        <v>1447</v>
      </c>
    </row>
    <row r="1448" spans="1:7" x14ac:dyDescent="0.25">
      <c r="A1448" s="62" t="s">
        <v>3216</v>
      </c>
      <c r="B1448" s="62">
        <v>1460</v>
      </c>
      <c r="C1448" s="62">
        <v>2444</v>
      </c>
      <c r="D1448" s="63" t="s">
        <v>1641</v>
      </c>
      <c r="E1448" s="64" t="s">
        <v>24</v>
      </c>
      <c r="F1448" s="64">
        <v>1453</v>
      </c>
      <c r="G1448" s="67">
        <v>1448</v>
      </c>
    </row>
    <row r="1449" spans="1:7" x14ac:dyDescent="0.25">
      <c r="A1449" s="62" t="s">
        <v>3217</v>
      </c>
      <c r="B1449" s="62">
        <v>1461</v>
      </c>
      <c r="C1449" s="62">
        <v>2445</v>
      </c>
      <c r="D1449" s="63" t="s">
        <v>1642</v>
      </c>
      <c r="E1449" s="64" t="s">
        <v>24</v>
      </c>
      <c r="F1449" s="64">
        <v>1454</v>
      </c>
      <c r="G1449" s="67">
        <v>1449</v>
      </c>
    </row>
    <row r="1450" spans="1:7" x14ac:dyDescent="0.25">
      <c r="A1450" s="62" t="s">
        <v>3218</v>
      </c>
      <c r="B1450" s="62">
        <v>1462</v>
      </c>
      <c r="C1450" s="62">
        <v>2446</v>
      </c>
      <c r="D1450" s="63" t="s">
        <v>1643</v>
      </c>
      <c r="E1450" s="64" t="s">
        <v>24</v>
      </c>
      <c r="F1450" s="64">
        <v>1455</v>
      </c>
      <c r="G1450" s="67">
        <v>1450</v>
      </c>
    </row>
    <row r="1451" spans="1:7" x14ac:dyDescent="0.25">
      <c r="A1451" s="62" t="s">
        <v>3219</v>
      </c>
      <c r="B1451" s="62">
        <v>1463</v>
      </c>
      <c r="C1451" s="62">
        <v>2447</v>
      </c>
      <c r="D1451" s="63" t="s">
        <v>1644</v>
      </c>
      <c r="E1451" s="64" t="s">
        <v>24</v>
      </c>
      <c r="F1451" s="64">
        <v>1456</v>
      </c>
      <c r="G1451" s="67">
        <v>1451</v>
      </c>
    </row>
    <row r="1452" spans="1:7" x14ac:dyDescent="0.25">
      <c r="A1452" s="62" t="s">
        <v>3220</v>
      </c>
      <c r="B1452" s="62">
        <v>1464</v>
      </c>
      <c r="C1452" s="62">
        <v>2448</v>
      </c>
      <c r="D1452" s="63" t="s">
        <v>1645</v>
      </c>
      <c r="E1452" s="64" t="s">
        <v>24</v>
      </c>
      <c r="F1452" s="64">
        <v>1457</v>
      </c>
      <c r="G1452" s="67">
        <v>1452</v>
      </c>
    </row>
    <row r="1453" spans="1:7" x14ac:dyDescent="0.25">
      <c r="A1453" s="62" t="s">
        <v>3221</v>
      </c>
      <c r="B1453" s="62">
        <v>1465</v>
      </c>
      <c r="C1453" s="62">
        <v>2449</v>
      </c>
      <c r="D1453" s="63" t="s">
        <v>1646</v>
      </c>
      <c r="E1453" s="64" t="s">
        <v>24</v>
      </c>
      <c r="F1453" s="64">
        <v>1458</v>
      </c>
      <c r="G1453" s="67">
        <v>1453</v>
      </c>
    </row>
    <row r="1454" spans="1:7" x14ac:dyDescent="0.25">
      <c r="A1454" s="62" t="s">
        <v>3222</v>
      </c>
      <c r="B1454" s="62">
        <v>1466</v>
      </c>
      <c r="C1454" s="62">
        <v>2450</v>
      </c>
      <c r="D1454" s="63" t="s">
        <v>1647</v>
      </c>
      <c r="E1454" s="64" t="s">
        <v>24</v>
      </c>
      <c r="F1454" s="64">
        <v>1459</v>
      </c>
      <c r="G1454" s="67">
        <v>1454</v>
      </c>
    </row>
    <row r="1455" spans="1:7" x14ac:dyDescent="0.25">
      <c r="A1455" s="62" t="s">
        <v>3223</v>
      </c>
      <c r="B1455" s="62">
        <v>1467</v>
      </c>
      <c r="C1455" s="62">
        <v>2451</v>
      </c>
      <c r="D1455" s="63" t="s">
        <v>1648</v>
      </c>
      <c r="E1455" s="64" t="s">
        <v>24</v>
      </c>
      <c r="F1455" s="64">
        <v>1460</v>
      </c>
      <c r="G1455" s="67">
        <v>1455</v>
      </c>
    </row>
    <row r="1456" spans="1:7" x14ac:dyDescent="0.25">
      <c r="A1456" s="62" t="s">
        <v>3224</v>
      </c>
      <c r="B1456" s="62">
        <v>1468</v>
      </c>
      <c r="C1456" s="62">
        <v>2452</v>
      </c>
      <c r="D1456" s="63" t="s">
        <v>1649</v>
      </c>
      <c r="E1456" s="64" t="s">
        <v>24</v>
      </c>
      <c r="F1456" s="64">
        <v>1461</v>
      </c>
      <c r="G1456" s="67">
        <v>1456</v>
      </c>
    </row>
    <row r="1457" spans="1:7" x14ac:dyDescent="0.25">
      <c r="A1457" s="62" t="s">
        <v>3225</v>
      </c>
      <c r="B1457" s="62">
        <v>1469</v>
      </c>
      <c r="C1457" s="62">
        <v>2453</v>
      </c>
      <c r="D1457" s="63" t="s">
        <v>1650</v>
      </c>
      <c r="E1457" s="64" t="s">
        <v>24</v>
      </c>
      <c r="F1457" s="64">
        <v>1462</v>
      </c>
      <c r="G1457" s="67">
        <v>1457</v>
      </c>
    </row>
    <row r="1458" spans="1:7" x14ac:dyDescent="0.25">
      <c r="A1458" s="62" t="s">
        <v>3226</v>
      </c>
      <c r="B1458" s="62">
        <v>1470</v>
      </c>
      <c r="C1458" s="62">
        <v>2454</v>
      </c>
      <c r="D1458" s="63" t="s">
        <v>1651</v>
      </c>
      <c r="E1458" s="64" t="s">
        <v>24</v>
      </c>
      <c r="F1458" s="64">
        <v>1463</v>
      </c>
      <c r="G1458" s="67">
        <v>1458</v>
      </c>
    </row>
    <row r="1459" spans="1:7" x14ac:dyDescent="0.25">
      <c r="A1459" s="62" t="s">
        <v>3227</v>
      </c>
      <c r="B1459" s="62">
        <v>1471</v>
      </c>
      <c r="C1459" s="62">
        <v>2455</v>
      </c>
      <c r="D1459" s="63" t="s">
        <v>1652</v>
      </c>
      <c r="E1459" s="64" t="s">
        <v>24</v>
      </c>
      <c r="F1459" s="64">
        <v>1464</v>
      </c>
      <c r="G1459" s="67">
        <v>1459</v>
      </c>
    </row>
    <row r="1460" spans="1:7" x14ac:dyDescent="0.25">
      <c r="A1460" s="62" t="s">
        <v>3228</v>
      </c>
      <c r="B1460" s="62">
        <v>1472</v>
      </c>
      <c r="C1460" s="62">
        <v>2456</v>
      </c>
      <c r="D1460" s="63" t="s">
        <v>1653</v>
      </c>
      <c r="E1460" s="64" t="s">
        <v>176</v>
      </c>
      <c r="F1460" s="64">
        <v>1465</v>
      </c>
      <c r="G1460" s="67">
        <v>1460</v>
      </c>
    </row>
    <row r="1461" spans="1:7" x14ac:dyDescent="0.25">
      <c r="A1461" s="62" t="s">
        <v>3229</v>
      </c>
      <c r="B1461" s="62">
        <v>1473</v>
      </c>
      <c r="C1461" s="62">
        <v>2457</v>
      </c>
      <c r="D1461" s="63" t="s">
        <v>1654</v>
      </c>
      <c r="E1461" s="64" t="s">
        <v>24</v>
      </c>
      <c r="F1461" s="64">
        <v>1466</v>
      </c>
      <c r="G1461" s="67">
        <v>1461</v>
      </c>
    </row>
    <row r="1462" spans="1:7" x14ac:dyDescent="0.25">
      <c r="A1462" s="62" t="s">
        <v>3230</v>
      </c>
      <c r="B1462" s="62">
        <v>1474</v>
      </c>
      <c r="C1462" s="62">
        <v>2458</v>
      </c>
      <c r="D1462" s="63" t="s">
        <v>1655</v>
      </c>
      <c r="E1462" s="64" t="s">
        <v>176</v>
      </c>
      <c r="F1462" s="64">
        <v>1471</v>
      </c>
      <c r="G1462" s="67">
        <v>1462</v>
      </c>
    </row>
    <row r="1463" spans="1:7" x14ac:dyDescent="0.25">
      <c r="A1463" s="62" t="s">
        <v>3231</v>
      </c>
      <c r="B1463" s="62">
        <v>1475</v>
      </c>
      <c r="C1463" s="62">
        <v>2459</v>
      </c>
      <c r="D1463" s="63" t="s">
        <v>1656</v>
      </c>
      <c r="E1463" s="64" t="s">
        <v>24</v>
      </c>
      <c r="F1463" s="64">
        <v>1468</v>
      </c>
      <c r="G1463" s="67">
        <v>1463</v>
      </c>
    </row>
    <row r="1464" spans="1:7" x14ac:dyDescent="0.25">
      <c r="A1464" s="62" t="s">
        <v>3232</v>
      </c>
      <c r="B1464" s="62">
        <v>1476</v>
      </c>
      <c r="C1464" s="62">
        <v>2460</v>
      </c>
      <c r="D1464" s="63" t="s">
        <v>1657</v>
      </c>
      <c r="E1464" s="64" t="s">
        <v>176</v>
      </c>
      <c r="F1464" s="64">
        <v>1469</v>
      </c>
      <c r="G1464" s="67">
        <v>1464</v>
      </c>
    </row>
    <row r="1465" spans="1:7" x14ac:dyDescent="0.25">
      <c r="A1465" s="62" t="s">
        <v>3233</v>
      </c>
      <c r="B1465" s="62">
        <v>1477</v>
      </c>
      <c r="C1465" s="62">
        <v>2461</v>
      </c>
      <c r="D1465" s="63" t="s">
        <v>1658</v>
      </c>
      <c r="E1465" s="64" t="s">
        <v>24</v>
      </c>
      <c r="F1465" s="64">
        <v>1470</v>
      </c>
      <c r="G1465" s="67">
        <v>1465</v>
      </c>
    </row>
    <row r="1466" spans="1:7" x14ac:dyDescent="0.25">
      <c r="A1466" s="62" t="s">
        <v>3234</v>
      </c>
      <c r="B1466" s="62">
        <v>1478</v>
      </c>
      <c r="C1466" s="62">
        <v>2462</v>
      </c>
      <c r="D1466" s="63" t="s">
        <v>1659</v>
      </c>
      <c r="E1466" s="64" t="s">
        <v>24</v>
      </c>
      <c r="F1466" s="64">
        <v>1471</v>
      </c>
      <c r="G1466" s="67">
        <v>1466</v>
      </c>
    </row>
    <row r="1467" spans="1:7" x14ac:dyDescent="0.25">
      <c r="A1467" s="62" t="s">
        <v>3235</v>
      </c>
      <c r="B1467" s="62">
        <v>1479</v>
      </c>
      <c r="C1467" s="62">
        <v>2463</v>
      </c>
      <c r="D1467" s="63" t="s">
        <v>1660</v>
      </c>
      <c r="E1467" s="64" t="s">
        <v>24</v>
      </c>
      <c r="F1467" s="64">
        <v>1472</v>
      </c>
      <c r="G1467" s="67">
        <v>1467</v>
      </c>
    </row>
    <row r="1468" spans="1:7" x14ac:dyDescent="0.25">
      <c r="A1468" s="62" t="s">
        <v>3236</v>
      </c>
      <c r="B1468" s="62">
        <v>1480</v>
      </c>
      <c r="C1468" s="62">
        <v>2464</v>
      </c>
      <c r="D1468" s="63" t="s">
        <v>1661</v>
      </c>
      <c r="E1468" s="64" t="s">
        <v>24</v>
      </c>
      <c r="F1468" s="64">
        <v>1473</v>
      </c>
      <c r="G1468" s="67">
        <v>1468</v>
      </c>
    </row>
    <row r="1469" spans="1:7" x14ac:dyDescent="0.25">
      <c r="A1469" s="62" t="s">
        <v>3237</v>
      </c>
      <c r="B1469" s="62">
        <v>1481</v>
      </c>
      <c r="C1469" s="62">
        <v>2465</v>
      </c>
      <c r="D1469" s="63" t="s">
        <v>1663</v>
      </c>
      <c r="E1469" s="64" t="s">
        <v>24</v>
      </c>
      <c r="F1469" s="64">
        <v>1474</v>
      </c>
      <c r="G1469" s="67">
        <v>1469</v>
      </c>
    </row>
    <row r="1470" spans="1:7" x14ac:dyDescent="0.25">
      <c r="A1470" s="62" t="s">
        <v>3238</v>
      </c>
      <c r="B1470" s="62">
        <v>1482</v>
      </c>
      <c r="C1470" s="62">
        <v>2466</v>
      </c>
      <c r="D1470" s="63" t="s">
        <v>1664</v>
      </c>
      <c r="E1470" s="64" t="s">
        <v>24</v>
      </c>
      <c r="F1470" s="64">
        <v>1475</v>
      </c>
      <c r="G1470" s="67">
        <v>1470</v>
      </c>
    </row>
    <row r="1471" spans="1:7" x14ac:dyDescent="0.25">
      <c r="A1471" s="62" t="s">
        <v>3239</v>
      </c>
      <c r="B1471" s="62">
        <v>1483</v>
      </c>
      <c r="C1471" s="62">
        <v>2467</v>
      </c>
      <c r="D1471" s="63" t="s">
        <v>1665</v>
      </c>
      <c r="E1471" s="64" t="s">
        <v>24</v>
      </c>
      <c r="F1471" s="64">
        <v>1476</v>
      </c>
      <c r="G1471" s="67">
        <v>1471</v>
      </c>
    </row>
    <row r="1472" spans="1:7" x14ac:dyDescent="0.25">
      <c r="A1472" s="62" t="s">
        <v>3240</v>
      </c>
      <c r="B1472" s="62">
        <v>1484</v>
      </c>
      <c r="C1472" s="62">
        <v>2468</v>
      </c>
      <c r="D1472" s="63" t="s">
        <v>1666</v>
      </c>
      <c r="E1472" s="64" t="s">
        <v>24</v>
      </c>
      <c r="F1472" s="64">
        <v>1477</v>
      </c>
      <c r="G1472" s="67">
        <v>1472</v>
      </c>
    </row>
    <row r="1473" spans="1:7" x14ac:dyDescent="0.25">
      <c r="A1473" s="62" t="s">
        <v>3241</v>
      </c>
      <c r="B1473" s="62">
        <v>1485</v>
      </c>
      <c r="C1473" s="62">
        <v>2469</v>
      </c>
      <c r="D1473" s="63" t="s">
        <v>1668</v>
      </c>
      <c r="E1473" s="64" t="s">
        <v>24</v>
      </c>
      <c r="F1473" s="64">
        <v>1478</v>
      </c>
      <c r="G1473" s="67">
        <v>1473</v>
      </c>
    </row>
    <row r="1474" spans="1:7" x14ac:dyDescent="0.25">
      <c r="A1474" s="62" t="s">
        <v>3242</v>
      </c>
      <c r="B1474" s="62">
        <v>1486</v>
      </c>
      <c r="C1474" s="62">
        <v>2470</v>
      </c>
      <c r="D1474" s="63" t="s">
        <v>1669</v>
      </c>
      <c r="E1474" s="64" t="s">
        <v>24</v>
      </c>
      <c r="F1474" s="64">
        <v>1479</v>
      </c>
      <c r="G1474" s="67">
        <v>1474</v>
      </c>
    </row>
    <row r="1475" spans="1:7" x14ac:dyDescent="0.25">
      <c r="A1475" s="62" t="s">
        <v>3243</v>
      </c>
      <c r="B1475" s="62">
        <v>1487</v>
      </c>
      <c r="C1475" s="62">
        <v>2471</v>
      </c>
      <c r="D1475" s="63" t="s">
        <v>1670</v>
      </c>
      <c r="E1475" s="64" t="s">
        <v>24</v>
      </c>
      <c r="F1475" s="64">
        <v>1480</v>
      </c>
      <c r="G1475" s="67">
        <v>1475</v>
      </c>
    </row>
    <row r="1476" spans="1:7" x14ac:dyDescent="0.25">
      <c r="A1476" s="62" t="s">
        <v>3244</v>
      </c>
      <c r="B1476" s="62">
        <v>1488</v>
      </c>
      <c r="C1476" s="62">
        <v>2472</v>
      </c>
      <c r="D1476" s="63" t="s">
        <v>1671</v>
      </c>
      <c r="E1476" s="64" t="s">
        <v>24</v>
      </c>
      <c r="F1476" s="64">
        <v>1481</v>
      </c>
      <c r="G1476" s="67">
        <v>1476</v>
      </c>
    </row>
    <row r="1477" spans="1:7" x14ac:dyDescent="0.25">
      <c r="A1477" s="62" t="s">
        <v>3245</v>
      </c>
      <c r="B1477" s="62">
        <v>1489</v>
      </c>
      <c r="C1477" s="62">
        <v>2473</v>
      </c>
      <c r="D1477" s="63" t="s">
        <v>1672</v>
      </c>
      <c r="E1477" s="64" t="s">
        <v>24</v>
      </c>
      <c r="F1477" s="64">
        <v>1482</v>
      </c>
      <c r="G1477" s="67">
        <v>1477</v>
      </c>
    </row>
    <row r="1478" spans="1:7" x14ac:dyDescent="0.25">
      <c r="A1478" s="62" t="s">
        <v>3246</v>
      </c>
      <c r="B1478" s="62">
        <v>1490</v>
      </c>
      <c r="C1478" s="62">
        <v>2474</v>
      </c>
      <c r="D1478" s="63" t="s">
        <v>1673</v>
      </c>
      <c r="E1478" s="64" t="s">
        <v>24</v>
      </c>
      <c r="F1478" s="64">
        <v>1483</v>
      </c>
      <c r="G1478" s="67">
        <v>1478</v>
      </c>
    </row>
    <row r="1479" spans="1:7" x14ac:dyDescent="0.25">
      <c r="A1479" s="62" t="s">
        <v>3247</v>
      </c>
      <c r="B1479" s="62">
        <v>1491</v>
      </c>
      <c r="C1479" s="62">
        <v>2475</v>
      </c>
      <c r="D1479" s="63" t="s">
        <v>1674</v>
      </c>
      <c r="E1479" s="64" t="s">
        <v>24</v>
      </c>
      <c r="F1479" s="64">
        <v>1484</v>
      </c>
      <c r="G1479" s="67">
        <v>1479</v>
      </c>
    </row>
    <row r="1480" spans="1:7" x14ac:dyDescent="0.25">
      <c r="A1480" s="62" t="s">
        <v>3248</v>
      </c>
      <c r="B1480" s="62">
        <v>1492</v>
      </c>
      <c r="C1480" s="62">
        <v>2476</v>
      </c>
      <c r="D1480" s="63" t="s">
        <v>1675</v>
      </c>
      <c r="E1480" s="64" t="s">
        <v>24</v>
      </c>
      <c r="F1480" s="64">
        <v>1485</v>
      </c>
      <c r="G1480" s="67">
        <v>1480</v>
      </c>
    </row>
    <row r="1481" spans="1:7" x14ac:dyDescent="0.25">
      <c r="A1481" s="62" t="s">
        <v>3249</v>
      </c>
      <c r="B1481" s="62">
        <v>1493</v>
      </c>
      <c r="C1481" s="62">
        <v>2477</v>
      </c>
      <c r="D1481" s="63" t="s">
        <v>1676</v>
      </c>
      <c r="E1481" s="64" t="s">
        <v>24</v>
      </c>
      <c r="F1481" s="64">
        <v>1486</v>
      </c>
      <c r="G1481" s="67">
        <v>1481</v>
      </c>
    </row>
    <row r="1482" spans="1:7" x14ac:dyDescent="0.25">
      <c r="A1482" s="62" t="s">
        <v>3250</v>
      </c>
      <c r="B1482" s="62">
        <v>1494</v>
      </c>
      <c r="C1482" s="62">
        <v>2478</v>
      </c>
      <c r="D1482" s="63" t="s">
        <v>1677</v>
      </c>
      <c r="E1482" s="64" t="s">
        <v>24</v>
      </c>
      <c r="F1482" s="64">
        <v>1487</v>
      </c>
      <c r="G1482" s="67">
        <v>1482</v>
      </c>
    </row>
    <row r="1483" spans="1:7" x14ac:dyDescent="0.25">
      <c r="A1483" s="62" t="s">
        <v>3251</v>
      </c>
      <c r="B1483" s="62">
        <v>1495</v>
      </c>
      <c r="C1483" s="62">
        <v>2479</v>
      </c>
      <c r="D1483" s="63" t="s">
        <v>1678</v>
      </c>
      <c r="E1483" s="64" t="s">
        <v>24</v>
      </c>
      <c r="F1483" s="64">
        <v>1488</v>
      </c>
      <c r="G1483" s="67">
        <v>1483</v>
      </c>
    </row>
    <row r="1484" spans="1:7" x14ac:dyDescent="0.25">
      <c r="A1484" s="62" t="s">
        <v>3252</v>
      </c>
      <c r="B1484" s="62">
        <v>1496</v>
      </c>
      <c r="C1484" s="62">
        <v>2480</v>
      </c>
      <c r="D1484" s="63" t="s">
        <v>1679</v>
      </c>
      <c r="E1484" s="64" t="s">
        <v>24</v>
      </c>
      <c r="F1484" s="64">
        <v>1489</v>
      </c>
      <c r="G1484" s="67">
        <v>1484</v>
      </c>
    </row>
    <row r="1485" spans="1:7" x14ac:dyDescent="0.25">
      <c r="A1485" s="62" t="s">
        <v>3253</v>
      </c>
      <c r="B1485" s="62">
        <v>1497</v>
      </c>
      <c r="C1485" s="62">
        <v>2481</v>
      </c>
      <c r="D1485" s="63" t="s">
        <v>1680</v>
      </c>
      <c r="E1485" s="64" t="s">
        <v>24</v>
      </c>
      <c r="F1485" s="64">
        <v>1490</v>
      </c>
      <c r="G1485" s="67">
        <v>1485</v>
      </c>
    </row>
    <row r="1486" spans="1:7" x14ac:dyDescent="0.25">
      <c r="A1486" s="62" t="s">
        <v>3254</v>
      </c>
      <c r="B1486" s="62">
        <v>1498</v>
      </c>
      <c r="C1486" s="62">
        <v>2482</v>
      </c>
      <c r="D1486" s="63" t="s">
        <v>1681</v>
      </c>
      <c r="E1486" s="64" t="s">
        <v>24</v>
      </c>
      <c r="F1486" s="64">
        <v>1491</v>
      </c>
      <c r="G1486" s="67">
        <v>1486</v>
      </c>
    </row>
    <row r="1487" spans="1:7" x14ac:dyDescent="0.25">
      <c r="A1487" s="62" t="s">
        <v>3255</v>
      </c>
      <c r="B1487" s="62">
        <v>1499</v>
      </c>
      <c r="C1487" s="62">
        <v>2483</v>
      </c>
      <c r="D1487" s="63" t="s">
        <v>1682</v>
      </c>
      <c r="E1487" s="64" t="s">
        <v>24</v>
      </c>
      <c r="F1487" s="64">
        <v>1492</v>
      </c>
      <c r="G1487" s="67">
        <v>1487</v>
      </c>
    </row>
    <row r="1488" spans="1:7" x14ac:dyDescent="0.25">
      <c r="A1488" s="62" t="s">
        <v>3256</v>
      </c>
      <c r="B1488" s="62">
        <v>1500</v>
      </c>
      <c r="C1488" s="62">
        <v>2484</v>
      </c>
      <c r="D1488" s="63" t="s">
        <v>1683</v>
      </c>
      <c r="E1488" s="64" t="s">
        <v>24</v>
      </c>
      <c r="F1488" s="64">
        <v>1493</v>
      </c>
      <c r="G1488" s="67">
        <v>1488</v>
      </c>
    </row>
    <row r="1489" spans="1:7" x14ac:dyDescent="0.25">
      <c r="A1489" s="62" t="s">
        <v>3257</v>
      </c>
      <c r="B1489" s="62">
        <v>1501</v>
      </c>
      <c r="C1489" s="62">
        <v>2485</v>
      </c>
      <c r="D1489" s="63" t="s">
        <v>1684</v>
      </c>
      <c r="E1489" s="64" t="s">
        <v>24</v>
      </c>
      <c r="F1489" s="64">
        <v>1494</v>
      </c>
      <c r="G1489" s="67">
        <v>1489</v>
      </c>
    </row>
    <row r="1490" spans="1:7" x14ac:dyDescent="0.25">
      <c r="A1490" s="62" t="s">
        <v>3258</v>
      </c>
      <c r="B1490" s="62">
        <v>1502</v>
      </c>
      <c r="C1490" s="62">
        <v>2486</v>
      </c>
      <c r="D1490" s="63" t="s">
        <v>1685</v>
      </c>
      <c r="E1490" s="64" t="s">
        <v>24</v>
      </c>
      <c r="F1490" s="64">
        <v>1495</v>
      </c>
      <c r="G1490" s="67">
        <v>1490</v>
      </c>
    </row>
    <row r="1491" spans="1:7" x14ac:dyDescent="0.25">
      <c r="A1491" s="62" t="s">
        <v>3259</v>
      </c>
      <c r="B1491" s="62">
        <v>1503</v>
      </c>
      <c r="C1491" s="62">
        <v>2487</v>
      </c>
      <c r="D1491" s="63" t="s">
        <v>1686</v>
      </c>
      <c r="E1491" s="64" t="s">
        <v>24</v>
      </c>
      <c r="F1491" s="64">
        <v>1496</v>
      </c>
      <c r="G1491" s="67">
        <v>1491</v>
      </c>
    </row>
    <row r="1492" spans="1:7" x14ac:dyDescent="0.25">
      <c r="A1492" s="62" t="s">
        <v>3260</v>
      </c>
      <c r="B1492" s="62">
        <v>1504</v>
      </c>
      <c r="C1492" s="62">
        <v>2488</v>
      </c>
      <c r="D1492" s="63" t="s">
        <v>1687</v>
      </c>
      <c r="E1492" s="64" t="s">
        <v>24</v>
      </c>
      <c r="F1492" s="64">
        <v>1497</v>
      </c>
      <c r="G1492" s="67">
        <v>1492</v>
      </c>
    </row>
    <row r="1493" spans="1:7" x14ac:dyDescent="0.25">
      <c r="A1493" s="62" t="s">
        <v>3261</v>
      </c>
      <c r="B1493" s="62">
        <v>1505</v>
      </c>
      <c r="C1493" s="62">
        <v>2489</v>
      </c>
      <c r="D1493" s="63" t="s">
        <v>1688</v>
      </c>
      <c r="E1493" s="64" t="s">
        <v>24</v>
      </c>
      <c r="F1493" s="64">
        <v>1498</v>
      </c>
      <c r="G1493" s="67">
        <v>1493</v>
      </c>
    </row>
    <row r="1494" spans="1:7" x14ac:dyDescent="0.25">
      <c r="A1494" s="62" t="s">
        <v>3262</v>
      </c>
      <c r="B1494" s="62">
        <v>1506</v>
      </c>
      <c r="C1494" s="62">
        <v>2490</v>
      </c>
      <c r="D1494" s="63" t="s">
        <v>1689</v>
      </c>
      <c r="E1494" s="64" t="s">
        <v>24</v>
      </c>
      <c r="F1494" s="64">
        <v>1499</v>
      </c>
      <c r="G1494" s="67">
        <v>1494</v>
      </c>
    </row>
    <row r="1495" spans="1:7" x14ac:dyDescent="0.25">
      <c r="A1495" s="62" t="s">
        <v>3263</v>
      </c>
      <c r="B1495" s="62">
        <v>1507</v>
      </c>
      <c r="C1495" s="62">
        <v>2491</v>
      </c>
      <c r="D1495" s="63" t="s">
        <v>1690</v>
      </c>
      <c r="E1495" s="64" t="s">
        <v>24</v>
      </c>
      <c r="F1495" s="64">
        <v>1500</v>
      </c>
      <c r="G1495" s="67">
        <v>1495</v>
      </c>
    </row>
    <row r="1496" spans="1:7" x14ac:dyDescent="0.25">
      <c r="A1496" s="62" t="s">
        <v>3264</v>
      </c>
      <c r="B1496" s="62">
        <v>1508</v>
      </c>
      <c r="C1496" s="62">
        <v>2492</v>
      </c>
      <c r="D1496" s="63" t="s">
        <v>1691</v>
      </c>
      <c r="E1496" s="64" t="s">
        <v>24</v>
      </c>
      <c r="F1496" s="64">
        <v>1501</v>
      </c>
      <c r="G1496" s="67">
        <v>1496</v>
      </c>
    </row>
    <row r="1497" spans="1:7" x14ac:dyDescent="0.25">
      <c r="A1497" s="62" t="s">
        <v>3265</v>
      </c>
      <c r="B1497" s="62">
        <v>1509</v>
      </c>
      <c r="C1497" s="62">
        <v>2493</v>
      </c>
      <c r="D1497" s="63" t="s">
        <v>1692</v>
      </c>
      <c r="E1497" s="64" t="s">
        <v>24</v>
      </c>
      <c r="F1497" s="64">
        <v>1502</v>
      </c>
      <c r="G1497" s="67">
        <v>1497</v>
      </c>
    </row>
    <row r="1498" spans="1:7" x14ac:dyDescent="0.25">
      <c r="A1498" s="62" t="s">
        <v>3266</v>
      </c>
      <c r="B1498" s="62">
        <v>1510</v>
      </c>
      <c r="C1498" s="62">
        <v>2494</v>
      </c>
      <c r="D1498" s="63" t="s">
        <v>1693</v>
      </c>
      <c r="E1498" s="64" t="s">
        <v>24</v>
      </c>
      <c r="F1498" s="64">
        <v>1503</v>
      </c>
      <c r="G1498" s="67">
        <v>1498</v>
      </c>
    </row>
    <row r="1499" spans="1:7" x14ac:dyDescent="0.25">
      <c r="A1499" s="62" t="s">
        <v>3267</v>
      </c>
      <c r="B1499" s="62">
        <v>1511</v>
      </c>
      <c r="C1499" s="62">
        <v>2495</v>
      </c>
      <c r="D1499" s="63" t="s">
        <v>1694</v>
      </c>
      <c r="E1499" s="64" t="s">
        <v>176</v>
      </c>
      <c r="F1499" s="64">
        <v>1504</v>
      </c>
      <c r="G1499" s="67">
        <v>1499</v>
      </c>
    </row>
    <row r="1500" spans="1:7" x14ac:dyDescent="0.25">
      <c r="A1500" s="62" t="s">
        <v>3268</v>
      </c>
      <c r="B1500" s="62">
        <v>1512</v>
      </c>
      <c r="C1500" s="62">
        <v>2496</v>
      </c>
      <c r="D1500" s="63" t="s">
        <v>1695</v>
      </c>
      <c r="E1500" s="64" t="s">
        <v>176</v>
      </c>
      <c r="F1500" s="64">
        <v>1505</v>
      </c>
      <c r="G1500" s="67">
        <v>1500</v>
      </c>
    </row>
    <row r="1501" spans="1:7" x14ac:dyDescent="0.25">
      <c r="A1501" s="62" t="s">
        <v>3269</v>
      </c>
      <c r="B1501" s="62">
        <v>1513</v>
      </c>
      <c r="C1501" s="62">
        <v>2497</v>
      </c>
      <c r="D1501" s="63" t="s">
        <v>1696</v>
      </c>
      <c r="E1501" s="64" t="s">
        <v>176</v>
      </c>
      <c r="F1501" s="64">
        <v>1506</v>
      </c>
      <c r="G1501" s="67">
        <v>1501</v>
      </c>
    </row>
    <row r="1502" spans="1:7" x14ac:dyDescent="0.25">
      <c r="A1502" s="62" t="s">
        <v>3270</v>
      </c>
      <c r="B1502" s="62">
        <v>1514</v>
      </c>
      <c r="C1502" s="62">
        <v>2498</v>
      </c>
      <c r="D1502" s="63" t="s">
        <v>1697</v>
      </c>
      <c r="E1502" s="64" t="s">
        <v>24</v>
      </c>
      <c r="F1502" s="64">
        <v>1507</v>
      </c>
      <c r="G1502" s="67">
        <v>1502</v>
      </c>
    </row>
    <row r="1503" spans="1:7" x14ac:dyDescent="0.25">
      <c r="A1503" s="62" t="s">
        <v>3271</v>
      </c>
      <c r="B1503" s="62">
        <v>1515</v>
      </c>
      <c r="C1503" s="62">
        <v>2499</v>
      </c>
      <c r="D1503" s="63" t="s">
        <v>1698</v>
      </c>
      <c r="E1503" s="64" t="s">
        <v>24</v>
      </c>
      <c r="F1503" s="64">
        <v>1508</v>
      </c>
      <c r="G1503" s="67">
        <v>1503</v>
      </c>
    </row>
    <row r="1504" spans="1:7" x14ac:dyDescent="0.25">
      <c r="A1504" s="62" t="s">
        <v>3272</v>
      </c>
      <c r="B1504" s="62">
        <v>1516</v>
      </c>
      <c r="C1504" s="62">
        <v>2500</v>
      </c>
      <c r="D1504" s="63" t="s">
        <v>1699</v>
      </c>
      <c r="E1504" s="64" t="s">
        <v>24</v>
      </c>
      <c r="F1504" s="64">
        <v>1509</v>
      </c>
      <c r="G1504" s="67">
        <v>1504</v>
      </c>
    </row>
    <row r="1505" spans="1:7" x14ac:dyDescent="0.25">
      <c r="A1505" s="62" t="s">
        <v>3273</v>
      </c>
      <c r="B1505" s="62">
        <v>1517</v>
      </c>
      <c r="C1505" s="62">
        <v>2501</v>
      </c>
      <c r="D1505" s="63" t="s">
        <v>1700</v>
      </c>
      <c r="E1505" s="64" t="s">
        <v>24</v>
      </c>
      <c r="F1505" s="64">
        <v>1510</v>
      </c>
      <c r="G1505" s="67">
        <v>1505</v>
      </c>
    </row>
    <row r="1506" spans="1:7" x14ac:dyDescent="0.25">
      <c r="A1506" s="62" t="s">
        <v>3274</v>
      </c>
      <c r="B1506" s="62">
        <v>1518</v>
      </c>
      <c r="C1506" s="62">
        <v>2502</v>
      </c>
      <c r="D1506" s="63" t="s">
        <v>1701</v>
      </c>
      <c r="E1506" s="64" t="s">
        <v>24</v>
      </c>
      <c r="F1506" s="64">
        <v>1511</v>
      </c>
      <c r="G1506" s="67">
        <v>1506</v>
      </c>
    </row>
    <row r="1507" spans="1:7" x14ac:dyDescent="0.25">
      <c r="A1507" s="62" t="s">
        <v>3275</v>
      </c>
      <c r="B1507" s="62">
        <v>1519</v>
      </c>
      <c r="C1507" s="62">
        <v>2503</v>
      </c>
      <c r="D1507" s="63" t="s">
        <v>1703</v>
      </c>
      <c r="E1507" s="64" t="s">
        <v>24</v>
      </c>
      <c r="F1507" s="64">
        <v>1512</v>
      </c>
      <c r="G1507" s="67">
        <v>1507</v>
      </c>
    </row>
    <row r="1508" spans="1:7" x14ac:dyDescent="0.25">
      <c r="A1508" s="62" t="s">
        <v>3276</v>
      </c>
      <c r="B1508" s="62">
        <v>1520</v>
      </c>
      <c r="C1508" s="62">
        <v>2504</v>
      </c>
      <c r="D1508" s="63" t="s">
        <v>1704</v>
      </c>
      <c r="E1508" s="64" t="s">
        <v>24</v>
      </c>
      <c r="F1508" s="64">
        <v>1513</v>
      </c>
      <c r="G1508" s="67">
        <v>1508</v>
      </c>
    </row>
    <row r="1509" spans="1:7" x14ac:dyDescent="0.25">
      <c r="A1509" s="62" t="s">
        <v>3277</v>
      </c>
      <c r="B1509" s="62">
        <v>1521</v>
      </c>
      <c r="C1509" s="62">
        <v>2505</v>
      </c>
      <c r="D1509" s="63" t="s">
        <v>1706</v>
      </c>
      <c r="E1509" s="64" t="s">
        <v>24</v>
      </c>
      <c r="F1509" s="64">
        <v>1514</v>
      </c>
      <c r="G1509" s="67">
        <v>1509</v>
      </c>
    </row>
    <row r="1510" spans="1:7" x14ac:dyDescent="0.25">
      <c r="A1510" s="62" t="s">
        <v>3278</v>
      </c>
      <c r="B1510" s="62">
        <v>1522</v>
      </c>
      <c r="C1510" s="62">
        <v>2506</v>
      </c>
      <c r="D1510" s="63" t="s">
        <v>1707</v>
      </c>
      <c r="E1510" s="64" t="s">
        <v>24</v>
      </c>
      <c r="F1510" s="64">
        <v>1515</v>
      </c>
      <c r="G1510" s="67">
        <v>1510</v>
      </c>
    </row>
    <row r="1511" spans="1:7" x14ac:dyDescent="0.25">
      <c r="A1511" s="62" t="s">
        <v>3279</v>
      </c>
      <c r="B1511" s="62">
        <v>1523</v>
      </c>
      <c r="C1511" s="62">
        <v>2507</v>
      </c>
      <c r="D1511" s="63" t="s">
        <v>1708</v>
      </c>
      <c r="E1511" s="64" t="s">
        <v>24</v>
      </c>
      <c r="F1511" s="64">
        <v>1516</v>
      </c>
      <c r="G1511" s="67">
        <v>1511</v>
      </c>
    </row>
    <row r="1512" spans="1:7" x14ac:dyDescent="0.25">
      <c r="A1512" s="62" t="s">
        <v>3280</v>
      </c>
      <c r="B1512" s="62">
        <v>1524</v>
      </c>
      <c r="C1512" s="62">
        <v>2508</v>
      </c>
      <c r="D1512" s="63" t="s">
        <v>1710</v>
      </c>
      <c r="E1512" s="64" t="s">
        <v>24</v>
      </c>
      <c r="F1512" s="64">
        <v>1517</v>
      </c>
      <c r="G1512" s="67">
        <v>1512</v>
      </c>
    </row>
    <row r="1513" spans="1:7" x14ac:dyDescent="0.25">
      <c r="A1513" s="62" t="s">
        <v>3281</v>
      </c>
      <c r="B1513" s="62">
        <v>1525</v>
      </c>
      <c r="C1513" s="62">
        <v>2509</v>
      </c>
      <c r="D1513" s="63" t="s">
        <v>1711</v>
      </c>
      <c r="E1513" s="64" t="s">
        <v>24</v>
      </c>
      <c r="F1513" s="64">
        <v>1518</v>
      </c>
      <c r="G1513" s="67">
        <v>1513</v>
      </c>
    </row>
    <row r="1514" spans="1:7" x14ac:dyDescent="0.25">
      <c r="A1514" s="62" t="s">
        <v>3282</v>
      </c>
      <c r="B1514" s="62">
        <v>1526</v>
      </c>
      <c r="C1514" s="62">
        <v>2510</v>
      </c>
      <c r="D1514" s="63" t="s">
        <v>1712</v>
      </c>
      <c r="E1514" s="64" t="s">
        <v>24</v>
      </c>
      <c r="F1514" s="64">
        <v>1519</v>
      </c>
      <c r="G1514" s="67">
        <v>1514</v>
      </c>
    </row>
    <row r="1515" spans="1:7" x14ac:dyDescent="0.25">
      <c r="A1515" s="62" t="s">
        <v>3283</v>
      </c>
      <c r="B1515" s="62">
        <v>1527</v>
      </c>
      <c r="C1515" s="62">
        <v>2511</v>
      </c>
      <c r="D1515" s="63" t="s">
        <v>1713</v>
      </c>
      <c r="E1515" s="64" t="s">
        <v>24</v>
      </c>
      <c r="F1515" s="64">
        <v>1520</v>
      </c>
      <c r="G1515" s="67">
        <v>1515</v>
      </c>
    </row>
    <row r="1516" spans="1:7" x14ac:dyDescent="0.25">
      <c r="A1516" s="62" t="s">
        <v>3284</v>
      </c>
      <c r="B1516" s="62">
        <v>1528</v>
      </c>
      <c r="C1516" s="62">
        <v>2512</v>
      </c>
      <c r="D1516" s="63" t="s">
        <v>1714</v>
      </c>
      <c r="E1516" s="64" t="s">
        <v>24</v>
      </c>
      <c r="F1516" s="64">
        <v>1521</v>
      </c>
      <c r="G1516" s="67">
        <v>1516</v>
      </c>
    </row>
    <row r="1517" spans="1:7" x14ac:dyDescent="0.25">
      <c r="A1517" s="62" t="s">
        <v>3285</v>
      </c>
      <c r="B1517" s="62">
        <v>1529</v>
      </c>
      <c r="C1517" s="62">
        <v>2513</v>
      </c>
      <c r="D1517" s="63" t="s">
        <v>1716</v>
      </c>
      <c r="E1517" s="64" t="s">
        <v>24</v>
      </c>
      <c r="F1517" s="64">
        <v>1522</v>
      </c>
      <c r="G1517" s="67">
        <v>1517</v>
      </c>
    </row>
    <row r="1518" spans="1:7" x14ac:dyDescent="0.25">
      <c r="A1518" s="62" t="s">
        <v>3286</v>
      </c>
      <c r="B1518" s="62">
        <v>1530</v>
      </c>
      <c r="C1518" s="62">
        <v>2514</v>
      </c>
      <c r="D1518" s="63" t="s">
        <v>1717</v>
      </c>
      <c r="E1518" s="64" t="s">
        <v>24</v>
      </c>
      <c r="F1518" s="64">
        <v>1523</v>
      </c>
      <c r="G1518" s="67">
        <v>1518</v>
      </c>
    </row>
    <row r="1519" spans="1:7" x14ac:dyDescent="0.25">
      <c r="A1519" s="62" t="s">
        <v>3287</v>
      </c>
      <c r="B1519" s="62">
        <v>1531</v>
      </c>
      <c r="C1519" s="62">
        <v>2515</v>
      </c>
      <c r="D1519" s="63" t="s">
        <v>1718</v>
      </c>
      <c r="E1519" s="64" t="s">
        <v>24</v>
      </c>
      <c r="F1519" s="64">
        <v>1524</v>
      </c>
      <c r="G1519" s="67">
        <v>1519</v>
      </c>
    </row>
    <row r="1520" spans="1:7" x14ac:dyDescent="0.25">
      <c r="A1520" s="62" t="s">
        <v>3288</v>
      </c>
      <c r="B1520" s="62">
        <v>1532</v>
      </c>
      <c r="C1520" s="62">
        <v>2516</v>
      </c>
      <c r="D1520" s="63" t="s">
        <v>1720</v>
      </c>
      <c r="E1520" s="64" t="s">
        <v>24</v>
      </c>
      <c r="F1520" s="64">
        <v>1525</v>
      </c>
      <c r="G1520" s="67">
        <v>1520</v>
      </c>
    </row>
    <row r="1521" spans="1:7" x14ac:dyDescent="0.25">
      <c r="A1521" s="62" t="s">
        <v>3289</v>
      </c>
      <c r="B1521" s="62">
        <v>1533</v>
      </c>
      <c r="C1521" s="62">
        <v>2517</v>
      </c>
      <c r="D1521" s="63" t="s">
        <v>1722</v>
      </c>
      <c r="E1521" s="64" t="s">
        <v>24</v>
      </c>
      <c r="F1521" s="64">
        <v>1526</v>
      </c>
      <c r="G1521" s="67">
        <v>1521</v>
      </c>
    </row>
    <row r="1522" spans="1:7" x14ac:dyDescent="0.25">
      <c r="A1522" s="62" t="s">
        <v>3290</v>
      </c>
      <c r="B1522" s="62">
        <v>1534</v>
      </c>
      <c r="C1522" s="62">
        <v>2518</v>
      </c>
      <c r="D1522" s="63" t="s">
        <v>1724</v>
      </c>
      <c r="E1522" s="64" t="s">
        <v>24</v>
      </c>
      <c r="F1522" s="64">
        <v>1527</v>
      </c>
      <c r="G1522" s="67">
        <v>1522</v>
      </c>
    </row>
    <row r="1523" spans="1:7" x14ac:dyDescent="0.25">
      <c r="A1523" s="62" t="s">
        <v>3291</v>
      </c>
      <c r="B1523" s="62">
        <v>1535</v>
      </c>
      <c r="C1523" s="62">
        <v>2519</v>
      </c>
      <c r="D1523" s="63" t="s">
        <v>1726</v>
      </c>
      <c r="E1523" s="64" t="s">
        <v>24</v>
      </c>
      <c r="F1523" s="64">
        <v>1528</v>
      </c>
      <c r="G1523" s="67">
        <v>1523</v>
      </c>
    </row>
    <row r="1524" spans="1:7" x14ac:dyDescent="0.25">
      <c r="A1524" s="62" t="s">
        <v>3292</v>
      </c>
      <c r="B1524" s="62">
        <v>1536</v>
      </c>
      <c r="C1524" s="62">
        <v>2520</v>
      </c>
      <c r="D1524" s="63" t="s">
        <v>1728</v>
      </c>
      <c r="E1524" s="64" t="s">
        <v>24</v>
      </c>
      <c r="F1524" s="64">
        <v>1529</v>
      </c>
      <c r="G1524" s="67">
        <v>1524</v>
      </c>
    </row>
    <row r="1525" spans="1:7" x14ac:dyDescent="0.25">
      <c r="A1525" s="62" t="s">
        <v>3293</v>
      </c>
      <c r="B1525" s="62">
        <v>1537</v>
      </c>
      <c r="C1525" s="62">
        <v>2521</v>
      </c>
      <c r="D1525" s="63" t="s">
        <v>1729</v>
      </c>
      <c r="E1525" s="64" t="s">
        <v>24</v>
      </c>
      <c r="F1525" s="64">
        <v>1530</v>
      </c>
      <c r="G1525" s="67">
        <v>1525</v>
      </c>
    </row>
    <row r="1526" spans="1:7" x14ac:dyDescent="0.25">
      <c r="A1526" s="62" t="s">
        <v>3294</v>
      </c>
      <c r="B1526" s="62">
        <v>1538</v>
      </c>
      <c r="C1526" s="62">
        <v>2522</v>
      </c>
      <c r="D1526" s="63" t="s">
        <v>1730</v>
      </c>
      <c r="E1526" s="64" t="s">
        <v>24</v>
      </c>
      <c r="F1526" s="64">
        <v>1531</v>
      </c>
      <c r="G1526" s="67">
        <v>1526</v>
      </c>
    </row>
    <row r="1527" spans="1:7" x14ac:dyDescent="0.25">
      <c r="A1527" s="62" t="s">
        <v>3295</v>
      </c>
      <c r="B1527" s="62">
        <v>1539</v>
      </c>
      <c r="C1527" s="62">
        <v>2523</v>
      </c>
      <c r="D1527" s="63" t="s">
        <v>1731</v>
      </c>
      <c r="E1527" s="64" t="s">
        <v>176</v>
      </c>
      <c r="F1527" s="64">
        <v>1531</v>
      </c>
      <c r="G1527" s="67">
        <v>1527</v>
      </c>
    </row>
    <row r="1528" spans="1:7" x14ac:dyDescent="0.25">
      <c r="A1528" s="62" t="s">
        <v>3296</v>
      </c>
      <c r="B1528" s="62">
        <v>1540</v>
      </c>
      <c r="C1528" s="62">
        <v>2524</v>
      </c>
      <c r="D1528" s="63" t="s">
        <v>1732</v>
      </c>
      <c r="E1528" s="64" t="s">
        <v>55</v>
      </c>
      <c r="F1528" s="64">
        <v>1533</v>
      </c>
      <c r="G1528" s="67">
        <v>1528</v>
      </c>
    </row>
    <row r="1529" spans="1:7" x14ac:dyDescent="0.25">
      <c r="A1529" s="62" t="s">
        <v>3297</v>
      </c>
      <c r="B1529" s="62">
        <v>1541</v>
      </c>
      <c r="C1529" s="62">
        <v>2525</v>
      </c>
      <c r="D1529" s="63" t="s">
        <v>1733</v>
      </c>
      <c r="E1529" s="64" t="s">
        <v>1008</v>
      </c>
      <c r="F1529" s="64">
        <v>1534</v>
      </c>
      <c r="G1529" s="67">
        <v>1529</v>
      </c>
    </row>
    <row r="1530" spans="1:7" x14ac:dyDescent="0.25">
      <c r="A1530" s="62" t="s">
        <v>3298</v>
      </c>
      <c r="B1530" s="62">
        <v>1542</v>
      </c>
      <c r="C1530" s="62">
        <v>2526</v>
      </c>
      <c r="D1530" s="63" t="s">
        <v>1734</v>
      </c>
      <c r="E1530" s="64" t="s">
        <v>24</v>
      </c>
      <c r="F1530" s="64">
        <v>1535</v>
      </c>
      <c r="G1530" s="67">
        <v>1530</v>
      </c>
    </row>
    <row r="1531" spans="1:7" x14ac:dyDescent="0.25">
      <c r="A1531" s="62" t="s">
        <v>3299</v>
      </c>
      <c r="B1531" s="62">
        <v>1543</v>
      </c>
      <c r="C1531" s="62">
        <v>2527</v>
      </c>
      <c r="D1531" s="63" t="s">
        <v>1735</v>
      </c>
      <c r="E1531" s="64" t="s">
        <v>24</v>
      </c>
      <c r="F1531" s="64">
        <v>1536</v>
      </c>
      <c r="G1531" s="67">
        <v>1531</v>
      </c>
    </row>
    <row r="1532" spans="1:7" x14ac:dyDescent="0.25">
      <c r="A1532" s="62" t="s">
        <v>3300</v>
      </c>
      <c r="B1532" s="62">
        <v>1544</v>
      </c>
      <c r="C1532" s="62">
        <v>2528</v>
      </c>
      <c r="D1532" s="63" t="s">
        <v>1736</v>
      </c>
      <c r="E1532" s="64" t="s">
        <v>24</v>
      </c>
      <c r="F1532" s="64">
        <v>1537</v>
      </c>
      <c r="G1532" s="67">
        <v>1532</v>
      </c>
    </row>
    <row r="1533" spans="1:7" x14ac:dyDescent="0.25">
      <c r="A1533" s="62" t="s">
        <v>3301</v>
      </c>
      <c r="B1533" s="62">
        <v>1545</v>
      </c>
      <c r="C1533" s="62">
        <v>2529</v>
      </c>
      <c r="D1533" s="63" t="s">
        <v>1738</v>
      </c>
      <c r="E1533" s="64" t="s">
        <v>24</v>
      </c>
      <c r="F1533" s="64">
        <v>1538</v>
      </c>
      <c r="G1533" s="67">
        <v>1533</v>
      </c>
    </row>
    <row r="1534" spans="1:7" x14ac:dyDescent="0.25">
      <c r="A1534" s="62" t="s">
        <v>3302</v>
      </c>
      <c r="B1534" s="62">
        <v>1546</v>
      </c>
      <c r="C1534" s="62">
        <v>2530</v>
      </c>
      <c r="D1534" s="63" t="s">
        <v>1739</v>
      </c>
      <c r="E1534" s="64" t="s">
        <v>24</v>
      </c>
      <c r="F1534" s="64">
        <v>1539</v>
      </c>
      <c r="G1534" s="67">
        <v>1534</v>
      </c>
    </row>
    <row r="1535" spans="1:7" x14ac:dyDescent="0.25">
      <c r="A1535" s="62" t="s">
        <v>3303</v>
      </c>
      <c r="B1535" s="62">
        <v>1547</v>
      </c>
      <c r="C1535" s="62">
        <v>2531</v>
      </c>
      <c r="D1535" s="63" t="s">
        <v>1740</v>
      </c>
      <c r="E1535" s="64" t="s">
        <v>24</v>
      </c>
      <c r="F1535" s="64">
        <v>1540</v>
      </c>
      <c r="G1535" s="67">
        <v>1535</v>
      </c>
    </row>
    <row r="1536" spans="1:7" x14ac:dyDescent="0.25">
      <c r="A1536" s="62" t="s">
        <v>3304</v>
      </c>
      <c r="B1536" s="62">
        <v>1548</v>
      </c>
      <c r="C1536" s="62">
        <v>2532</v>
      </c>
      <c r="D1536" s="63" t="s">
        <v>1741</v>
      </c>
      <c r="E1536" s="64" t="s">
        <v>24</v>
      </c>
      <c r="F1536" s="64">
        <v>1541</v>
      </c>
      <c r="G1536" s="67">
        <v>1536</v>
      </c>
    </row>
    <row r="1537" spans="1:7" x14ac:dyDescent="0.25">
      <c r="A1537" s="62" t="s">
        <v>3305</v>
      </c>
      <c r="B1537" s="62">
        <v>1549</v>
      </c>
      <c r="C1537" s="62">
        <v>2533</v>
      </c>
      <c r="D1537" s="63" t="s">
        <v>1742</v>
      </c>
      <c r="E1537" s="64" t="s">
        <v>24</v>
      </c>
      <c r="F1537" s="64">
        <v>1542</v>
      </c>
      <c r="G1537" s="67">
        <v>1537</v>
      </c>
    </row>
    <row r="1538" spans="1:7" x14ac:dyDescent="0.25">
      <c r="A1538" s="62" t="s">
        <v>3306</v>
      </c>
      <c r="B1538" s="62">
        <v>1550</v>
      </c>
      <c r="C1538" s="62">
        <v>2534</v>
      </c>
      <c r="D1538" s="63" t="s">
        <v>1744</v>
      </c>
      <c r="E1538" s="64" t="s">
        <v>24</v>
      </c>
      <c r="F1538" s="64">
        <v>1543</v>
      </c>
      <c r="G1538" s="67">
        <v>1538</v>
      </c>
    </row>
    <row r="1539" spans="1:7" x14ac:dyDescent="0.25">
      <c r="A1539" s="62" t="s">
        <v>3307</v>
      </c>
      <c r="B1539" s="62">
        <v>1551</v>
      </c>
      <c r="C1539" s="62">
        <v>2535</v>
      </c>
      <c r="D1539" s="63" t="s">
        <v>1745</v>
      </c>
      <c r="E1539" s="64" t="s">
        <v>24</v>
      </c>
      <c r="F1539" s="64">
        <v>1544</v>
      </c>
      <c r="G1539" s="67">
        <v>1539</v>
      </c>
    </row>
    <row r="1540" spans="1:7" x14ac:dyDescent="0.25">
      <c r="A1540" s="62" t="s">
        <v>3308</v>
      </c>
      <c r="B1540" s="62">
        <v>1552</v>
      </c>
      <c r="C1540" s="62">
        <v>2536</v>
      </c>
      <c r="D1540" s="63" t="s">
        <v>1746</v>
      </c>
      <c r="E1540" s="64" t="s">
        <v>24</v>
      </c>
      <c r="F1540" s="64">
        <v>1545</v>
      </c>
      <c r="G1540" s="67">
        <v>1540</v>
      </c>
    </row>
    <row r="1541" spans="1:7" x14ac:dyDescent="0.25">
      <c r="A1541" s="62" t="s">
        <v>3309</v>
      </c>
      <c r="B1541" s="62">
        <v>1553</v>
      </c>
      <c r="C1541" s="62">
        <v>2537</v>
      </c>
      <c r="D1541" s="63" t="s">
        <v>1748</v>
      </c>
      <c r="E1541" s="64" t="s">
        <v>1393</v>
      </c>
      <c r="F1541" s="64">
        <v>1546</v>
      </c>
      <c r="G1541" s="67">
        <v>1541</v>
      </c>
    </row>
    <row r="1542" spans="1:7" x14ac:dyDescent="0.25">
      <c r="A1542" s="62" t="s">
        <v>3310</v>
      </c>
      <c r="B1542" s="62">
        <v>1554</v>
      </c>
      <c r="C1542" s="62">
        <v>2538</v>
      </c>
      <c r="D1542" s="63" t="s">
        <v>1749</v>
      </c>
      <c r="E1542" s="64" t="s">
        <v>24</v>
      </c>
      <c r="F1542" s="64">
        <v>1547</v>
      </c>
      <c r="G1542" s="67">
        <v>1542</v>
      </c>
    </row>
    <row r="1543" spans="1:7" x14ac:dyDescent="0.25">
      <c r="A1543" s="62" t="s">
        <v>3311</v>
      </c>
      <c r="B1543" s="62">
        <v>1555</v>
      </c>
      <c r="C1543" s="62">
        <v>2539</v>
      </c>
      <c r="D1543" s="63" t="s">
        <v>1750</v>
      </c>
      <c r="E1543" s="64" t="s">
        <v>24</v>
      </c>
      <c r="F1543" s="64">
        <v>1548</v>
      </c>
      <c r="G1543" s="67">
        <v>1543</v>
      </c>
    </row>
    <row r="1544" spans="1:7" x14ac:dyDescent="0.25">
      <c r="A1544" s="62" t="s">
        <v>3312</v>
      </c>
      <c r="B1544" s="62">
        <v>1556</v>
      </c>
      <c r="C1544" s="62">
        <v>2540</v>
      </c>
      <c r="D1544" s="63" t="s">
        <v>1751</v>
      </c>
      <c r="E1544" s="64" t="s">
        <v>24</v>
      </c>
      <c r="F1544" s="64">
        <v>1549</v>
      </c>
      <c r="G1544" s="67">
        <v>1544</v>
      </c>
    </row>
    <row r="1545" spans="1:7" x14ac:dyDescent="0.25">
      <c r="A1545" s="62" t="s">
        <v>3313</v>
      </c>
      <c r="B1545" s="62">
        <v>1557</v>
      </c>
      <c r="C1545" s="62">
        <v>2541</v>
      </c>
      <c r="D1545" s="63" t="s">
        <v>1752</v>
      </c>
      <c r="E1545" s="64" t="s">
        <v>24</v>
      </c>
      <c r="F1545" s="64">
        <v>1550</v>
      </c>
      <c r="G1545" s="67">
        <v>1545</v>
      </c>
    </row>
    <row r="1546" spans="1:7" x14ac:dyDescent="0.25">
      <c r="A1546" s="62" t="s">
        <v>3314</v>
      </c>
      <c r="B1546" s="62">
        <v>1558</v>
      </c>
      <c r="C1546" s="62">
        <v>2542</v>
      </c>
      <c r="D1546" s="63" t="s">
        <v>1753</v>
      </c>
      <c r="E1546" s="64" t="s">
        <v>24</v>
      </c>
      <c r="F1546" s="64">
        <v>1551</v>
      </c>
      <c r="G1546" s="67">
        <v>1546</v>
      </c>
    </row>
    <row r="1547" spans="1:7" x14ac:dyDescent="0.25">
      <c r="A1547" s="62" t="s">
        <v>3315</v>
      </c>
      <c r="B1547" s="62">
        <v>1559</v>
      </c>
      <c r="C1547" s="62">
        <v>2543</v>
      </c>
      <c r="D1547" s="63" t="s">
        <v>1755</v>
      </c>
      <c r="E1547" s="64" t="s">
        <v>24</v>
      </c>
      <c r="F1547" s="64">
        <v>1552</v>
      </c>
      <c r="G1547" s="67">
        <v>1547</v>
      </c>
    </row>
    <row r="1548" spans="1:7" x14ac:dyDescent="0.25">
      <c r="A1548" s="62" t="s">
        <v>3316</v>
      </c>
      <c r="B1548" s="62">
        <v>1560</v>
      </c>
      <c r="C1548" s="62">
        <v>2544</v>
      </c>
      <c r="D1548" s="63" t="s">
        <v>1757</v>
      </c>
      <c r="E1548" s="64" t="s">
        <v>24</v>
      </c>
      <c r="F1548" s="64">
        <v>1553</v>
      </c>
      <c r="G1548" s="67">
        <v>1548</v>
      </c>
    </row>
    <row r="1549" spans="1:7" x14ac:dyDescent="0.25">
      <c r="A1549" s="62" t="s">
        <v>3317</v>
      </c>
      <c r="B1549" s="62">
        <v>1561</v>
      </c>
      <c r="C1549" s="62">
        <v>2545</v>
      </c>
      <c r="D1549" s="63" t="s">
        <v>1758</v>
      </c>
      <c r="E1549" s="64" t="s">
        <v>24</v>
      </c>
      <c r="F1549" s="64">
        <v>1500</v>
      </c>
      <c r="G1549" s="67">
        <v>1549</v>
      </c>
    </row>
    <row r="1550" spans="1:7" x14ac:dyDescent="0.25">
      <c r="A1550" s="62" t="s">
        <v>3318</v>
      </c>
      <c r="B1550" s="62">
        <v>1562</v>
      </c>
      <c r="C1550" s="62">
        <v>2546</v>
      </c>
      <c r="D1550" s="63" t="s">
        <v>1760</v>
      </c>
      <c r="E1550" s="64" t="s">
        <v>24</v>
      </c>
      <c r="F1550" s="64">
        <v>1555</v>
      </c>
      <c r="G1550" s="67">
        <v>1550</v>
      </c>
    </row>
    <row r="1551" spans="1:7" x14ac:dyDescent="0.25">
      <c r="A1551" s="62" t="s">
        <v>3319</v>
      </c>
      <c r="B1551" s="62">
        <v>1563</v>
      </c>
      <c r="C1551" s="62">
        <v>2547</v>
      </c>
      <c r="D1551" s="63" t="s">
        <v>1761</v>
      </c>
      <c r="E1551" s="64" t="s">
        <v>24</v>
      </c>
      <c r="F1551" s="64">
        <v>1556</v>
      </c>
      <c r="G1551" s="67">
        <v>1551</v>
      </c>
    </row>
    <row r="1552" spans="1:7" x14ac:dyDescent="0.25">
      <c r="A1552" s="62" t="s">
        <v>3320</v>
      </c>
      <c r="B1552" s="62">
        <v>1564</v>
      </c>
      <c r="C1552" s="62">
        <v>2548</v>
      </c>
      <c r="D1552" s="63" t="s">
        <v>1762</v>
      </c>
      <c r="E1552" s="64" t="s">
        <v>24</v>
      </c>
      <c r="F1552" s="64">
        <v>1552</v>
      </c>
      <c r="G1552" s="67">
        <v>1552</v>
      </c>
    </row>
    <row r="1553" spans="1:7" x14ac:dyDescent="0.25">
      <c r="A1553" s="62" t="s">
        <v>3321</v>
      </c>
      <c r="B1553" s="62">
        <v>1565</v>
      </c>
      <c r="C1553" s="62">
        <v>2549</v>
      </c>
      <c r="D1553" s="63" t="s">
        <v>1763</v>
      </c>
      <c r="E1553" s="64" t="s">
        <v>24</v>
      </c>
      <c r="F1553" s="64">
        <v>1558</v>
      </c>
      <c r="G1553" s="67">
        <v>1553</v>
      </c>
    </row>
    <row r="1554" spans="1:7" x14ac:dyDescent="0.25">
      <c r="A1554" s="62" t="s">
        <v>3322</v>
      </c>
      <c r="B1554" s="62">
        <v>1566</v>
      </c>
      <c r="C1554" s="62">
        <v>2550</v>
      </c>
      <c r="D1554" s="63" t="s">
        <v>1765</v>
      </c>
      <c r="E1554" s="64" t="s">
        <v>24</v>
      </c>
      <c r="F1554" s="64">
        <v>1559</v>
      </c>
      <c r="G1554" s="67">
        <v>1554</v>
      </c>
    </row>
    <row r="1555" spans="1:7" x14ac:dyDescent="0.25">
      <c r="A1555" s="62" t="s">
        <v>3323</v>
      </c>
      <c r="B1555" s="62">
        <v>1567</v>
      </c>
      <c r="C1555" s="62">
        <v>2551</v>
      </c>
      <c r="D1555" s="63" t="s">
        <v>1766</v>
      </c>
      <c r="E1555" s="64" t="s">
        <v>24</v>
      </c>
      <c r="F1555" s="64">
        <v>1560</v>
      </c>
      <c r="G1555" s="67">
        <v>1555</v>
      </c>
    </row>
    <row r="1556" spans="1:7" x14ac:dyDescent="0.25">
      <c r="A1556" s="62" t="s">
        <v>3324</v>
      </c>
      <c r="B1556" s="62">
        <v>1568</v>
      </c>
      <c r="C1556" s="62">
        <v>2552</v>
      </c>
      <c r="D1556" s="63" t="s">
        <v>1767</v>
      </c>
      <c r="E1556" s="64" t="s">
        <v>24</v>
      </c>
      <c r="F1556" s="64">
        <v>1561</v>
      </c>
      <c r="G1556" s="67">
        <v>1556</v>
      </c>
    </row>
    <row r="1557" spans="1:7" x14ac:dyDescent="0.25">
      <c r="A1557" s="62" t="s">
        <v>3325</v>
      </c>
      <c r="B1557" s="62">
        <v>1569</v>
      </c>
      <c r="C1557" s="62">
        <v>2553</v>
      </c>
      <c r="D1557" s="63" t="s">
        <v>1768</v>
      </c>
      <c r="E1557" s="64" t="s">
        <v>24</v>
      </c>
      <c r="F1557" s="64">
        <v>1562</v>
      </c>
      <c r="G1557" s="67">
        <v>1557</v>
      </c>
    </row>
    <row r="1558" spans="1:7" x14ac:dyDescent="0.25">
      <c r="A1558" s="62" t="s">
        <v>3326</v>
      </c>
      <c r="B1558" s="62">
        <v>1570</v>
      </c>
      <c r="C1558" s="62">
        <v>2554</v>
      </c>
      <c r="D1558" s="63" t="s">
        <v>1769</v>
      </c>
      <c r="E1558" s="64" t="s">
        <v>24</v>
      </c>
      <c r="F1558" s="64">
        <v>1563</v>
      </c>
      <c r="G1558" s="67">
        <v>1558</v>
      </c>
    </row>
    <row r="1559" spans="1:7" x14ac:dyDescent="0.25">
      <c r="A1559" s="62" t="s">
        <v>3327</v>
      </c>
      <c r="B1559" s="62">
        <v>1571</v>
      </c>
      <c r="C1559" s="62">
        <v>2555</v>
      </c>
      <c r="D1559" s="63" t="s">
        <v>1770</v>
      </c>
      <c r="E1559" s="64" t="s">
        <v>24</v>
      </c>
      <c r="F1559" s="64">
        <v>1564</v>
      </c>
      <c r="G1559" s="67">
        <v>1559</v>
      </c>
    </row>
    <row r="1560" spans="1:7" x14ac:dyDescent="0.25">
      <c r="A1560" s="62" t="s">
        <v>3328</v>
      </c>
      <c r="B1560" s="62">
        <v>1572</v>
      </c>
      <c r="C1560" s="62">
        <v>2556</v>
      </c>
      <c r="D1560" s="63" t="s">
        <v>3329</v>
      </c>
      <c r="E1560" s="64" t="s">
        <v>176</v>
      </c>
      <c r="F1560" s="64">
        <v>1565</v>
      </c>
      <c r="G1560" s="67">
        <v>1560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43209-C75E-4BCA-9D41-86A79EB1AD79}">
  <sheetPr codeName="Sheet8"/>
  <dimension ref="A1:AK40"/>
  <sheetViews>
    <sheetView topLeftCell="X1" workbookViewId="0">
      <selection activeCell="AJ28" sqref="AJ28"/>
    </sheetView>
  </sheetViews>
  <sheetFormatPr defaultRowHeight="15" x14ac:dyDescent="0.25"/>
  <cols>
    <col min="2" max="2" width="16.5703125" bestFit="1" customWidth="1"/>
    <col min="3" max="3" width="20.140625" bestFit="1" customWidth="1"/>
    <col min="4" max="4" width="15.7109375" bestFit="1" customWidth="1"/>
    <col min="5" max="5" width="19.85546875" customWidth="1"/>
    <col min="6" max="6" width="42.42578125" customWidth="1"/>
    <col min="7" max="7" width="11.85546875" customWidth="1"/>
    <col min="8" max="8" width="15" bestFit="1" customWidth="1"/>
    <col min="9" max="9" width="18.28515625" bestFit="1" customWidth="1"/>
    <col min="10" max="10" width="15.7109375" bestFit="1" customWidth="1"/>
    <col min="11" max="11" width="13.7109375" bestFit="1" customWidth="1"/>
    <col min="12" max="12" width="11.28515625" bestFit="1" customWidth="1"/>
    <col min="17" max="17" width="12.28515625" customWidth="1"/>
    <col min="18" max="18" width="14.7109375" customWidth="1"/>
    <col min="19" max="19" width="14.140625" customWidth="1"/>
    <col min="20" max="20" width="14" customWidth="1"/>
    <col min="21" max="21" width="13.7109375" customWidth="1"/>
    <col min="29" max="30" width="13.42578125" customWidth="1"/>
    <col min="31" max="31" width="10.5703125" customWidth="1"/>
    <col min="34" max="34" width="15.28515625" customWidth="1"/>
  </cols>
  <sheetData>
    <row r="1" spans="1:37" x14ac:dyDescent="0.25">
      <c r="B1" t="s">
        <v>3344</v>
      </c>
      <c r="H1" t="s">
        <v>3349</v>
      </c>
      <c r="N1" t="s">
        <v>17</v>
      </c>
      <c r="Q1" t="s">
        <v>3362</v>
      </c>
      <c r="X1" t="s">
        <v>3462</v>
      </c>
      <c r="AC1" t="s">
        <v>3642</v>
      </c>
      <c r="AI1" t="s">
        <v>3683</v>
      </c>
    </row>
    <row r="2" spans="1:37" x14ac:dyDescent="0.25">
      <c r="A2" s="243" t="s">
        <v>3480</v>
      </c>
    </row>
    <row r="3" spans="1:37" x14ac:dyDescent="0.25">
      <c r="B3">
        <f>IFERROR(LARGE(CustomerTable[custID],1),0)</f>
        <v>1001</v>
      </c>
      <c r="C3">
        <f>IFERROR(COUNTA(CustomerTable[CUSTOMER_NAME],1),0)-1</f>
        <v>2</v>
      </c>
      <c r="H3">
        <f>IFERROR(LARGE(SupplierTable[supID],1),0)</f>
        <v>1006</v>
      </c>
      <c r="I3">
        <f>IFERROR(COUNTA(SupplierTable[SUPPLIER NAME],1),0)-1</f>
        <v>7</v>
      </c>
    </row>
    <row r="4" spans="1:37" x14ac:dyDescent="0.25">
      <c r="B4" s="1" t="s">
        <v>3350</v>
      </c>
      <c r="C4" s="1" t="s">
        <v>3345</v>
      </c>
      <c r="D4" s="1" t="s">
        <v>3347</v>
      </c>
      <c r="E4" s="1" t="s">
        <v>3348</v>
      </c>
      <c r="F4" s="1" t="s">
        <v>3346</v>
      </c>
      <c r="H4" s="1" t="s">
        <v>3351</v>
      </c>
      <c r="I4" s="1" t="s">
        <v>3360</v>
      </c>
      <c r="J4" s="1" t="s">
        <v>3347</v>
      </c>
      <c r="K4" s="1" t="s">
        <v>3348</v>
      </c>
      <c r="L4" s="1" t="s">
        <v>3346</v>
      </c>
      <c r="N4" t="s">
        <v>3361</v>
      </c>
      <c r="Q4" t="s">
        <v>3363</v>
      </c>
      <c r="R4" t="s">
        <v>3364</v>
      </c>
      <c r="S4" t="s">
        <v>3365</v>
      </c>
      <c r="T4" t="s">
        <v>3366</v>
      </c>
      <c r="U4" t="s">
        <v>3378</v>
      </c>
      <c r="X4" t="s">
        <v>3463</v>
      </c>
      <c r="AC4" s="332" t="s">
        <v>3560</v>
      </c>
      <c r="AD4" s="332" t="s">
        <v>3640</v>
      </c>
      <c r="AE4" s="332" t="s">
        <v>3641</v>
      </c>
      <c r="AI4" t="s">
        <v>3684</v>
      </c>
      <c r="AJ4" t="s">
        <v>3685</v>
      </c>
    </row>
    <row r="5" spans="1:37" x14ac:dyDescent="0.25">
      <c r="B5" s="1">
        <v>1000</v>
      </c>
      <c r="C5" s="1" t="s">
        <v>3481</v>
      </c>
      <c r="D5" s="56">
        <v>9509564677</v>
      </c>
      <c r="E5" s="1" t="s">
        <v>3482</v>
      </c>
      <c r="F5" s="1" t="s">
        <v>3483</v>
      </c>
      <c r="H5" s="1">
        <v>1000</v>
      </c>
      <c r="I5" s="1" t="s">
        <v>3352</v>
      </c>
      <c r="J5" s="56">
        <v>9506965933</v>
      </c>
      <c r="K5" s="1" t="s">
        <v>3353</v>
      </c>
      <c r="L5" s="1" t="s">
        <v>3354</v>
      </c>
      <c r="N5" t="s">
        <v>994</v>
      </c>
      <c r="Q5" s="11" t="s">
        <v>3367</v>
      </c>
      <c r="S5">
        <v>10</v>
      </c>
      <c r="T5" t="s">
        <v>3377</v>
      </c>
      <c r="U5" t="str">
        <f>CONCATENATE(S5,LEFT(T5,4))</f>
        <v>101000</v>
      </c>
      <c r="X5" t="s">
        <v>3334</v>
      </c>
      <c r="AC5" s="330" t="s">
        <v>3561</v>
      </c>
      <c r="AD5" s="330">
        <v>1</v>
      </c>
      <c r="AE5" s="330">
        <v>15</v>
      </c>
      <c r="AG5" t="s">
        <v>3643</v>
      </c>
      <c r="AI5">
        <v>1</v>
      </c>
      <c r="AJ5" t="s">
        <v>3686</v>
      </c>
      <c r="AK5" t="s">
        <v>3698</v>
      </c>
    </row>
    <row r="6" spans="1:37" x14ac:dyDescent="0.25">
      <c r="B6" s="1">
        <v>1001</v>
      </c>
      <c r="C6" s="1" t="s">
        <v>3486</v>
      </c>
      <c r="D6" s="56">
        <v>1234568999</v>
      </c>
      <c r="E6" s="1" t="s">
        <v>3484</v>
      </c>
      <c r="F6" s="1" t="s">
        <v>3485</v>
      </c>
      <c r="H6" s="1">
        <v>1001</v>
      </c>
      <c r="I6" s="1" t="s">
        <v>3342</v>
      </c>
      <c r="J6" s="56">
        <v>9506965933</v>
      </c>
      <c r="K6" s="1" t="s">
        <v>3353</v>
      </c>
      <c r="L6" s="1" t="s">
        <v>3354</v>
      </c>
      <c r="N6" t="s">
        <v>1008</v>
      </c>
      <c r="Q6" s="11" t="s">
        <v>3368</v>
      </c>
      <c r="S6">
        <v>20</v>
      </c>
      <c r="T6" t="s">
        <v>3377</v>
      </c>
      <c r="U6" t="str">
        <f t="shared" ref="U6:U14" si="0">CONCATENATE(S6,LEFT(T6,4))</f>
        <v>201000</v>
      </c>
      <c r="X6" t="s">
        <v>3389</v>
      </c>
      <c r="AC6" s="331" t="s">
        <v>3562</v>
      </c>
      <c r="AD6" s="331">
        <v>16</v>
      </c>
      <c r="AE6" s="331">
        <v>31</v>
      </c>
      <c r="AG6" t="s">
        <v>3645</v>
      </c>
      <c r="AI6">
        <v>2</v>
      </c>
      <c r="AJ6" t="s">
        <v>3687</v>
      </c>
      <c r="AK6" t="s">
        <v>3699</v>
      </c>
    </row>
    <row r="7" spans="1:37" x14ac:dyDescent="0.25">
      <c r="B7" s="1"/>
      <c r="C7" s="1"/>
      <c r="D7" s="1"/>
      <c r="E7" s="1"/>
      <c r="F7" s="1"/>
      <c r="H7" s="1">
        <v>1002</v>
      </c>
      <c r="I7" s="1" t="s">
        <v>3359</v>
      </c>
      <c r="J7" s="56">
        <v>9506965933</v>
      </c>
      <c r="K7" s="1" t="s">
        <v>3353</v>
      </c>
      <c r="L7" s="1" t="s">
        <v>3354</v>
      </c>
      <c r="N7" t="s">
        <v>176</v>
      </c>
      <c r="Q7" s="11" t="s">
        <v>3369</v>
      </c>
      <c r="S7">
        <v>30</v>
      </c>
      <c r="T7" t="s">
        <v>3377</v>
      </c>
      <c r="U7" t="str">
        <f t="shared" si="0"/>
        <v>301000</v>
      </c>
      <c r="X7" t="s">
        <v>3464</v>
      </c>
      <c r="AC7" s="330" t="s">
        <v>3563</v>
      </c>
      <c r="AD7" s="330">
        <v>1</v>
      </c>
      <c r="AE7" s="330">
        <v>15</v>
      </c>
      <c r="AG7" t="s">
        <v>3643</v>
      </c>
      <c r="AI7">
        <v>3</v>
      </c>
      <c r="AJ7" t="s">
        <v>3688</v>
      </c>
      <c r="AK7" t="s">
        <v>3700</v>
      </c>
    </row>
    <row r="8" spans="1:37" x14ac:dyDescent="0.25">
      <c r="B8" s="1"/>
      <c r="C8" s="1"/>
      <c r="D8" s="1"/>
      <c r="E8" s="1"/>
      <c r="F8" s="1"/>
      <c r="H8" s="1">
        <v>1003</v>
      </c>
      <c r="I8" s="1" t="s">
        <v>3341</v>
      </c>
      <c r="J8" s="56"/>
      <c r="K8" s="1"/>
      <c r="L8" s="1"/>
      <c r="N8" t="s">
        <v>1393</v>
      </c>
      <c r="Q8" s="11" t="s">
        <v>3370</v>
      </c>
      <c r="S8">
        <v>40</v>
      </c>
      <c r="T8" t="s">
        <v>3377</v>
      </c>
      <c r="U8" t="str">
        <f t="shared" si="0"/>
        <v>401000</v>
      </c>
      <c r="X8" t="s">
        <v>3465</v>
      </c>
      <c r="AC8" s="331" t="s">
        <v>3564</v>
      </c>
      <c r="AD8" s="331">
        <v>16</v>
      </c>
      <c r="AE8" s="331">
        <v>29</v>
      </c>
      <c r="AG8" t="s">
        <v>3391</v>
      </c>
      <c r="AI8">
        <v>4</v>
      </c>
      <c r="AJ8" t="s">
        <v>3689</v>
      </c>
      <c r="AK8" t="s">
        <v>3701</v>
      </c>
    </row>
    <row r="9" spans="1:37" x14ac:dyDescent="0.25">
      <c r="B9" s="1"/>
      <c r="C9" s="1"/>
      <c r="D9" s="1"/>
      <c r="E9" s="1"/>
      <c r="F9" s="1"/>
      <c r="H9" s="1">
        <v>1004</v>
      </c>
      <c r="I9" s="1" t="s">
        <v>3390</v>
      </c>
      <c r="J9" s="56"/>
      <c r="K9" s="1"/>
      <c r="L9" s="1"/>
      <c r="N9" t="s">
        <v>55</v>
      </c>
      <c r="Q9" s="11" t="s">
        <v>3371</v>
      </c>
      <c r="S9">
        <v>50</v>
      </c>
      <c r="T9" t="s">
        <v>3377</v>
      </c>
      <c r="U9" t="str">
        <f t="shared" si="0"/>
        <v>501000</v>
      </c>
      <c r="X9" t="s">
        <v>3466</v>
      </c>
      <c r="AC9" s="330" t="s">
        <v>3565</v>
      </c>
      <c r="AD9" s="330">
        <v>1</v>
      </c>
      <c r="AE9" s="330">
        <v>15</v>
      </c>
      <c r="AG9" t="s">
        <v>3643</v>
      </c>
      <c r="AI9">
        <v>5</v>
      </c>
      <c r="AJ9" t="s">
        <v>3690</v>
      </c>
      <c r="AK9" t="s">
        <v>3690</v>
      </c>
    </row>
    <row r="10" spans="1:37" x14ac:dyDescent="0.25">
      <c r="B10" s="1"/>
      <c r="C10" s="1"/>
      <c r="D10" s="1"/>
      <c r="E10" s="1"/>
      <c r="F10" s="1"/>
      <c r="H10" s="1">
        <v>1005</v>
      </c>
      <c r="I10" s="1" t="s">
        <v>3391</v>
      </c>
      <c r="J10" s="56"/>
      <c r="K10" s="1"/>
      <c r="L10" s="1"/>
      <c r="N10" t="s">
        <v>93</v>
      </c>
      <c r="Q10" s="11" t="s">
        <v>3372</v>
      </c>
      <c r="S10">
        <v>60</v>
      </c>
      <c r="T10" t="s">
        <v>3377</v>
      </c>
      <c r="U10" t="str">
        <f t="shared" si="0"/>
        <v>601000</v>
      </c>
      <c r="AC10" s="331" t="s">
        <v>3566</v>
      </c>
      <c r="AD10" s="331">
        <v>16</v>
      </c>
      <c r="AE10" s="331">
        <v>31</v>
      </c>
      <c r="AG10" t="s">
        <v>3645</v>
      </c>
      <c r="AI10">
        <v>6</v>
      </c>
      <c r="AJ10" t="s">
        <v>3691</v>
      </c>
      <c r="AK10" t="s">
        <v>3702</v>
      </c>
    </row>
    <row r="11" spans="1:37" x14ac:dyDescent="0.25">
      <c r="B11" s="1"/>
      <c r="C11" s="1"/>
      <c r="D11" s="1"/>
      <c r="E11" s="1"/>
      <c r="F11" s="1"/>
      <c r="H11" s="1">
        <v>1006</v>
      </c>
      <c r="I11" s="1" t="s">
        <v>3469</v>
      </c>
      <c r="J11" s="56">
        <v>1111</v>
      </c>
      <c r="K11" s="1" t="s">
        <v>3470</v>
      </c>
      <c r="L11" s="1" t="s">
        <v>3354</v>
      </c>
      <c r="N11" t="s">
        <v>24</v>
      </c>
      <c r="Q11" s="11" t="s">
        <v>3373</v>
      </c>
      <c r="S11">
        <v>70</v>
      </c>
      <c r="T11" t="s">
        <v>3377</v>
      </c>
      <c r="U11" t="str">
        <f t="shared" si="0"/>
        <v>701000</v>
      </c>
      <c r="AC11" s="330" t="s">
        <v>3567</v>
      </c>
      <c r="AD11" s="330">
        <v>1</v>
      </c>
      <c r="AE11" s="330">
        <v>15</v>
      </c>
      <c r="AG11" t="s">
        <v>3643</v>
      </c>
      <c r="AI11">
        <v>7</v>
      </c>
      <c r="AJ11" t="s">
        <v>3692</v>
      </c>
      <c r="AK11" t="s">
        <v>3703</v>
      </c>
    </row>
    <row r="12" spans="1:37" x14ac:dyDescent="0.25">
      <c r="B12" s="1"/>
      <c r="C12" s="1"/>
      <c r="D12" s="1"/>
      <c r="E12" s="1"/>
      <c r="F12" s="1"/>
      <c r="N12" t="s">
        <v>608</v>
      </c>
      <c r="Q12" s="11" t="s">
        <v>3374</v>
      </c>
      <c r="S12">
        <v>80</v>
      </c>
      <c r="T12" t="s">
        <v>3377</v>
      </c>
      <c r="U12" t="str">
        <f t="shared" si="0"/>
        <v>801000</v>
      </c>
      <c r="AC12" s="331" t="s">
        <v>3568</v>
      </c>
      <c r="AD12" s="331">
        <v>16</v>
      </c>
      <c r="AE12" s="331">
        <v>30</v>
      </c>
      <c r="AG12" t="s">
        <v>3644</v>
      </c>
      <c r="AI12">
        <v>8</v>
      </c>
      <c r="AJ12" t="s">
        <v>3693</v>
      </c>
      <c r="AK12" t="s">
        <v>3704</v>
      </c>
    </row>
    <row r="13" spans="1:37" x14ac:dyDescent="0.25">
      <c r="B13" s="1"/>
      <c r="C13" s="1"/>
      <c r="D13" s="1"/>
      <c r="E13" s="1"/>
      <c r="F13" s="1"/>
      <c r="N13" t="s">
        <v>546</v>
      </c>
      <c r="Q13" s="11" t="s">
        <v>3375</v>
      </c>
      <c r="S13">
        <v>90</v>
      </c>
      <c r="T13" t="s">
        <v>3377</v>
      </c>
      <c r="U13" t="str">
        <f t="shared" si="0"/>
        <v>901000</v>
      </c>
      <c r="AC13" s="330" t="s">
        <v>3569</v>
      </c>
      <c r="AD13" s="330">
        <v>1</v>
      </c>
      <c r="AE13" s="330">
        <v>15</v>
      </c>
      <c r="AG13" t="s">
        <v>3643</v>
      </c>
      <c r="AI13">
        <v>9</v>
      </c>
      <c r="AJ13" t="s">
        <v>3694</v>
      </c>
      <c r="AK13" t="s">
        <v>3705</v>
      </c>
    </row>
    <row r="14" spans="1:37" x14ac:dyDescent="0.25">
      <c r="B14" s="1"/>
      <c r="C14" s="1"/>
      <c r="D14" s="1"/>
      <c r="E14" s="1"/>
      <c r="F14" s="1"/>
      <c r="N14" t="s">
        <v>3358</v>
      </c>
      <c r="Q14" s="11" t="s">
        <v>3376</v>
      </c>
      <c r="S14">
        <v>100</v>
      </c>
      <c r="T14" t="s">
        <v>3377</v>
      </c>
      <c r="U14" t="str">
        <f t="shared" si="0"/>
        <v>1001000</v>
      </c>
      <c r="AC14" s="331" t="s">
        <v>3570</v>
      </c>
      <c r="AD14" s="331">
        <v>16</v>
      </c>
      <c r="AE14" s="331">
        <v>31</v>
      </c>
      <c r="AG14" t="s">
        <v>3645</v>
      </c>
      <c r="AI14">
        <v>10</v>
      </c>
      <c r="AJ14" t="s">
        <v>3695</v>
      </c>
      <c r="AK14" t="s">
        <v>3706</v>
      </c>
    </row>
    <row r="15" spans="1:37" x14ac:dyDescent="0.25">
      <c r="B15" s="1"/>
      <c r="C15" s="1"/>
      <c r="D15" s="1"/>
      <c r="E15" s="1"/>
      <c r="F15" s="1"/>
      <c r="AC15" s="330" t="s">
        <v>3571</v>
      </c>
      <c r="AD15" s="330">
        <v>1</v>
      </c>
      <c r="AE15" s="330">
        <v>15</v>
      </c>
      <c r="AG15" t="s">
        <v>3643</v>
      </c>
      <c r="AI15">
        <v>11</v>
      </c>
      <c r="AJ15" t="s">
        <v>3696</v>
      </c>
      <c r="AK15" t="s">
        <v>3707</v>
      </c>
    </row>
    <row r="16" spans="1:37" x14ac:dyDescent="0.25">
      <c r="B16" s="1"/>
      <c r="C16" s="1"/>
      <c r="D16" s="1"/>
      <c r="E16" s="1"/>
      <c r="F16" s="1"/>
      <c r="AC16" s="331" t="s">
        <v>3572</v>
      </c>
      <c r="AD16" s="331">
        <v>16</v>
      </c>
      <c r="AE16" s="331">
        <v>30</v>
      </c>
      <c r="AG16" t="s">
        <v>3644</v>
      </c>
      <c r="AI16">
        <v>12</v>
      </c>
      <c r="AJ16" t="s">
        <v>3697</v>
      </c>
      <c r="AK16" t="s">
        <v>3708</v>
      </c>
    </row>
    <row r="17" spans="2:33" x14ac:dyDescent="0.25">
      <c r="B17" s="1"/>
      <c r="C17" s="1"/>
      <c r="D17" s="1"/>
      <c r="E17" s="1"/>
      <c r="F17" s="1"/>
      <c r="AC17" s="330" t="s">
        <v>3573</v>
      </c>
      <c r="AD17" s="330">
        <v>1</v>
      </c>
      <c r="AE17" s="330">
        <v>15</v>
      </c>
      <c r="AG17" t="s">
        <v>3643</v>
      </c>
    </row>
    <row r="18" spans="2:33" x14ac:dyDescent="0.25">
      <c r="B18" s="1"/>
      <c r="C18" s="1"/>
      <c r="D18" s="1"/>
      <c r="E18" s="1"/>
      <c r="F18" s="1"/>
      <c r="AC18" s="331" t="s">
        <v>3574</v>
      </c>
      <c r="AD18" s="331">
        <v>16</v>
      </c>
      <c r="AE18" s="331">
        <v>31</v>
      </c>
      <c r="AG18" t="s">
        <v>3645</v>
      </c>
    </row>
    <row r="19" spans="2:33" x14ac:dyDescent="0.25">
      <c r="B19" s="1"/>
      <c r="C19" s="1"/>
      <c r="D19" s="1"/>
      <c r="E19" s="1"/>
      <c r="F19" s="1"/>
      <c r="AC19" s="330" t="s">
        <v>3575</v>
      </c>
      <c r="AD19" s="330">
        <v>1</v>
      </c>
      <c r="AE19" s="330">
        <v>15</v>
      </c>
      <c r="AG19" t="s">
        <v>3643</v>
      </c>
    </row>
    <row r="20" spans="2:33" x14ac:dyDescent="0.25">
      <c r="B20" s="1"/>
      <c r="C20" s="1"/>
      <c r="D20" s="1"/>
      <c r="E20" s="1"/>
      <c r="F20" s="1"/>
      <c r="AC20" s="331" t="s">
        <v>3576</v>
      </c>
      <c r="AD20" s="331">
        <v>16</v>
      </c>
      <c r="AE20" s="331">
        <v>31</v>
      </c>
      <c r="AG20" t="s">
        <v>3645</v>
      </c>
    </row>
    <row r="21" spans="2:33" x14ac:dyDescent="0.25">
      <c r="B21" s="1"/>
      <c r="C21" s="1"/>
      <c r="D21" s="1"/>
      <c r="E21" s="1"/>
      <c r="F21" s="1"/>
      <c r="AC21" s="330" t="s">
        <v>3577</v>
      </c>
      <c r="AD21" s="330">
        <v>1</v>
      </c>
      <c r="AE21" s="330">
        <v>15</v>
      </c>
      <c r="AG21" t="s">
        <v>3643</v>
      </c>
    </row>
    <row r="22" spans="2:33" x14ac:dyDescent="0.25">
      <c r="B22" s="1"/>
      <c r="C22" s="1"/>
      <c r="D22" s="1"/>
      <c r="E22" s="1"/>
      <c r="F22" s="1"/>
      <c r="AC22" s="331" t="s">
        <v>3578</v>
      </c>
      <c r="AD22" s="331">
        <v>16</v>
      </c>
      <c r="AE22" s="331">
        <v>30</v>
      </c>
      <c r="AG22" t="s">
        <v>3644</v>
      </c>
    </row>
    <row r="23" spans="2:33" x14ac:dyDescent="0.25">
      <c r="B23" s="1"/>
      <c r="C23" s="1"/>
      <c r="D23" s="1"/>
      <c r="E23" s="1"/>
      <c r="F23" s="1"/>
      <c r="AC23" s="330" t="s">
        <v>3579</v>
      </c>
      <c r="AD23" s="330">
        <v>1</v>
      </c>
      <c r="AE23" s="330">
        <v>15</v>
      </c>
      <c r="AG23" t="s">
        <v>3643</v>
      </c>
    </row>
    <row r="24" spans="2:33" x14ac:dyDescent="0.25">
      <c r="B24" s="1"/>
      <c r="C24" s="1"/>
      <c r="D24" s="1"/>
      <c r="E24" s="1"/>
      <c r="F24" s="1"/>
      <c r="AC24" s="331" t="s">
        <v>3580</v>
      </c>
      <c r="AD24" s="331">
        <v>16</v>
      </c>
      <c r="AE24" s="331">
        <v>31</v>
      </c>
      <c r="AG24" t="s">
        <v>3645</v>
      </c>
    </row>
    <row r="25" spans="2:33" x14ac:dyDescent="0.25">
      <c r="B25" s="1"/>
      <c r="C25" s="1"/>
      <c r="D25" s="1"/>
      <c r="E25" s="1"/>
      <c r="F25" s="1"/>
      <c r="AC25" s="330" t="s">
        <v>3581</v>
      </c>
      <c r="AD25" s="330">
        <v>1</v>
      </c>
      <c r="AE25" s="330">
        <v>15</v>
      </c>
      <c r="AG25" t="s">
        <v>3643</v>
      </c>
    </row>
    <row r="26" spans="2:33" x14ac:dyDescent="0.25">
      <c r="B26" s="1"/>
      <c r="C26" s="1"/>
      <c r="D26" s="1"/>
      <c r="E26" s="1"/>
      <c r="F26" s="1"/>
      <c r="AC26" s="331" t="s">
        <v>3582</v>
      </c>
      <c r="AD26" s="331">
        <v>16</v>
      </c>
      <c r="AE26" s="331">
        <v>30</v>
      </c>
      <c r="AG26" t="s">
        <v>3644</v>
      </c>
    </row>
    <row r="27" spans="2:33" x14ac:dyDescent="0.25">
      <c r="B27" s="1"/>
      <c r="C27" s="1"/>
      <c r="D27" s="1"/>
      <c r="E27" s="1"/>
      <c r="F27" s="1"/>
      <c r="AC27" s="330" t="s">
        <v>3583</v>
      </c>
      <c r="AD27" s="330">
        <v>1</v>
      </c>
      <c r="AE27" s="330">
        <v>15</v>
      </c>
      <c r="AG27" t="s">
        <v>3643</v>
      </c>
    </row>
    <row r="28" spans="2:33" x14ac:dyDescent="0.25">
      <c r="B28" s="1"/>
      <c r="C28" s="1"/>
      <c r="D28" s="1"/>
      <c r="E28" s="1"/>
      <c r="F28" s="1"/>
      <c r="AC28" s="331" t="s">
        <v>3584</v>
      </c>
      <c r="AD28" s="331">
        <v>16</v>
      </c>
      <c r="AE28" s="331">
        <v>31</v>
      </c>
      <c r="AG28" t="s">
        <v>3645</v>
      </c>
    </row>
    <row r="29" spans="2:33" x14ac:dyDescent="0.25">
      <c r="B29" s="1"/>
      <c r="C29" s="1"/>
      <c r="D29" s="1"/>
      <c r="E29" s="1"/>
      <c r="F29" s="1"/>
      <c r="AC29" s="331"/>
      <c r="AD29" s="331"/>
      <c r="AE29" s="331"/>
    </row>
    <row r="30" spans="2:33" x14ac:dyDescent="0.25">
      <c r="B30" s="1"/>
      <c r="C30" s="1"/>
      <c r="D30" s="1"/>
      <c r="E30" s="1"/>
      <c r="F30" s="1"/>
      <c r="AC30" s="331"/>
      <c r="AD30" s="331"/>
      <c r="AE30" s="331"/>
    </row>
    <row r="31" spans="2:33" x14ac:dyDescent="0.25">
      <c r="B31" s="1"/>
      <c r="C31" s="1"/>
      <c r="D31" s="1"/>
      <c r="E31" s="1"/>
      <c r="F31" s="1"/>
    </row>
    <row r="32" spans="2:33" x14ac:dyDescent="0.25">
      <c r="B32" s="1"/>
      <c r="C32" s="1"/>
      <c r="D32" s="1"/>
      <c r="E32" s="1"/>
      <c r="F32" s="1"/>
    </row>
    <row r="33" spans="2:6" x14ac:dyDescent="0.25">
      <c r="B33" s="1"/>
      <c r="C33" s="1"/>
      <c r="D33" s="1"/>
      <c r="E33" s="1"/>
      <c r="F33" s="1"/>
    </row>
    <row r="34" spans="2:6" x14ac:dyDescent="0.25">
      <c r="B34" s="1"/>
      <c r="C34" s="1"/>
      <c r="D34" s="1"/>
      <c r="E34" s="1"/>
      <c r="F34" s="1"/>
    </row>
    <row r="35" spans="2:6" x14ac:dyDescent="0.25">
      <c r="B35" s="1"/>
      <c r="C35" s="1"/>
      <c r="D35" s="1"/>
      <c r="E35" s="1"/>
      <c r="F35" s="1"/>
    </row>
    <row r="36" spans="2:6" x14ac:dyDescent="0.25">
      <c r="B36" s="1"/>
      <c r="C36" s="1"/>
      <c r="D36" s="1"/>
      <c r="E36" s="1"/>
      <c r="F36" s="1"/>
    </row>
    <row r="37" spans="2:6" x14ac:dyDescent="0.25">
      <c r="B37" s="1"/>
      <c r="C37" s="1"/>
      <c r="D37" s="1"/>
      <c r="E37" s="1"/>
      <c r="F37" s="1"/>
    </row>
    <row r="38" spans="2:6" x14ac:dyDescent="0.25">
      <c r="B38" s="1"/>
      <c r="C38" s="1"/>
      <c r="D38" s="1"/>
      <c r="E38" s="1"/>
      <c r="F38" s="1"/>
    </row>
    <row r="39" spans="2:6" x14ac:dyDescent="0.25">
      <c r="B39" s="1"/>
      <c r="C39" s="1"/>
      <c r="D39" s="1"/>
      <c r="E39" s="1"/>
      <c r="F39" s="1"/>
    </row>
    <row r="40" spans="2:6" x14ac:dyDescent="0.25">
      <c r="B40" s="1"/>
      <c r="C40" s="1"/>
      <c r="D40" s="1"/>
      <c r="E40" s="1"/>
      <c r="F40" s="1"/>
    </row>
  </sheetData>
  <phoneticPr fontId="8" type="noConversion"/>
  <hyperlinks>
    <hyperlink ref="A2" location="MAIN_DASHBOARD!A1" display="BACK" xr:uid="{EEEB6CE3-8DE8-4DE8-B24E-578ACB276303}"/>
  </hyperlinks>
  <pageMargins left="0.7" right="0.7" top="0.75" bottom="0.75" header="0.3" footer="0.3"/>
  <pageSetup paperSize="9" orientation="portrait" horizontalDpi="0" verticalDpi="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PROGRESS BOARD</vt:lpstr>
      <vt:lpstr>MAIN_DASHBOARD</vt:lpstr>
      <vt:lpstr>AnalysisTable</vt:lpstr>
      <vt:lpstr>SalesMenu</vt:lpstr>
      <vt:lpstr>PurchaseMenu</vt:lpstr>
      <vt:lpstr>CashSalesMenu</vt:lpstr>
      <vt:lpstr>ExpensesMenu</vt:lpstr>
      <vt:lpstr>PayrollTemplate</vt:lpstr>
      <vt:lpstr>ExpensesTable</vt:lpstr>
      <vt:lpstr>CashSalesTable</vt:lpstr>
      <vt:lpstr>EmpProfile</vt:lpstr>
      <vt:lpstr>Attendance</vt:lpstr>
      <vt:lpstr>PayrollTable</vt:lpstr>
      <vt:lpstr>SOASheet</vt:lpstr>
      <vt:lpstr>IRSheet</vt:lpstr>
      <vt:lpstr>ItemTable</vt:lpstr>
      <vt:lpstr>SalesTable</vt:lpstr>
      <vt:lpstr>PurchaseHistTable</vt:lpstr>
      <vt:lpstr>COST_SRP_Table</vt:lpstr>
      <vt:lpstr>RunningInv</vt:lpstr>
      <vt:lpstr>CodeTable</vt:lpstr>
      <vt:lpstr>NJCALENDAR</vt:lpstr>
      <vt:lpstr>IRSheet!SUPPLIER_NAME</vt:lpstr>
      <vt:lpstr>SUPPLIER_NAME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Mhelcabs</dc:creator>
  <cp:lastModifiedBy>Mhelcabs</cp:lastModifiedBy>
  <cp:lastPrinted>2024-01-19T15:52:04Z</cp:lastPrinted>
  <dcterms:created xsi:type="dcterms:W3CDTF">2023-12-01T05:03:57Z</dcterms:created>
  <dcterms:modified xsi:type="dcterms:W3CDTF">2024-01-31T15:58:21Z</dcterms:modified>
</cp:coreProperties>
</file>